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hree\Downloads\"/>
    </mc:Choice>
  </mc:AlternateContent>
  <bookViews>
    <workbookView xWindow="0" yWindow="0" windowWidth="19200" windowHeight="6470" activeTab="4"/>
  </bookViews>
  <sheets>
    <sheet name="01_Raw_Data" sheetId="1" r:id="rId1"/>
    <sheet name="02_Clean_Data" sheetId="3" r:id="rId2"/>
    <sheet name="03_Calculations" sheetId="4" r:id="rId3"/>
    <sheet name="04_Dashboard" sheetId="7" r:id="rId4"/>
    <sheet name="05_ReadMe" sheetId="2" r:id="rId5"/>
  </sheets>
  <definedNames>
    <definedName name="Slicer_Category1">#N/A</definedName>
    <definedName name="Slicer_Order_Year">#N/A</definedName>
    <definedName name="Slicer_Region">#N/A</definedName>
    <definedName name="Slicer_Salesperson">#N/A</definedName>
  </definedNames>
  <calcPr calcId="162913"/>
  <pivotCaches>
    <pivotCache cacheId="0" r:id="rId6"/>
    <pivotCache cacheId="28" r:id="rId7"/>
  </pivotCaches>
  <fileRecoveryPr repairLoad="1"/>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B8" i="4" l="1"/>
  <c r="B7" i="4"/>
  <c r="B6" i="4"/>
  <c r="B5" i="4"/>
  <c r="B4" i="4"/>
  <c r="B3" i="4"/>
  <c r="B2" i="4"/>
  <c r="T1001" i="3"/>
  <c r="S1001" i="3"/>
  <c r="R1001" i="3"/>
  <c r="Q1001" i="3"/>
  <c r="P1001" i="3"/>
  <c r="O1001" i="3"/>
  <c r="T1000" i="3"/>
  <c r="S1000" i="3"/>
  <c r="R1000" i="3"/>
  <c r="Q1000" i="3"/>
  <c r="P1000" i="3"/>
  <c r="O1000" i="3"/>
  <c r="T999" i="3"/>
  <c r="S999" i="3"/>
  <c r="R999" i="3"/>
  <c r="Q999" i="3"/>
  <c r="P999" i="3"/>
  <c r="O999" i="3"/>
  <c r="T998" i="3"/>
  <c r="S998" i="3"/>
  <c r="R998" i="3"/>
  <c r="Q998" i="3"/>
  <c r="P998" i="3"/>
  <c r="O998" i="3"/>
  <c r="T997" i="3"/>
  <c r="S997" i="3"/>
  <c r="R997" i="3"/>
  <c r="Q997" i="3"/>
  <c r="P997" i="3"/>
  <c r="O997" i="3"/>
  <c r="T996" i="3"/>
  <c r="S996" i="3"/>
  <c r="R996" i="3"/>
  <c r="Q996" i="3"/>
  <c r="P996" i="3"/>
  <c r="O996" i="3"/>
  <c r="T995" i="3"/>
  <c r="S995" i="3"/>
  <c r="R995" i="3"/>
  <c r="Q995" i="3"/>
  <c r="P995" i="3"/>
  <c r="O995" i="3"/>
  <c r="T994" i="3"/>
  <c r="S994" i="3"/>
  <c r="R994" i="3"/>
  <c r="Q994" i="3"/>
  <c r="P994" i="3"/>
  <c r="O994" i="3"/>
  <c r="T993" i="3"/>
  <c r="S993" i="3"/>
  <c r="R993" i="3"/>
  <c r="Q993" i="3"/>
  <c r="P993" i="3"/>
  <c r="O993" i="3"/>
  <c r="T992" i="3"/>
  <c r="S992" i="3"/>
  <c r="R992" i="3"/>
  <c r="Q992" i="3"/>
  <c r="P992" i="3"/>
  <c r="O992" i="3"/>
  <c r="T991" i="3"/>
  <c r="S991" i="3"/>
  <c r="R991" i="3"/>
  <c r="Q991" i="3"/>
  <c r="P991" i="3"/>
  <c r="O991" i="3"/>
  <c r="T990" i="3"/>
  <c r="S990" i="3"/>
  <c r="R990" i="3"/>
  <c r="Q990" i="3"/>
  <c r="P990" i="3"/>
  <c r="O990" i="3"/>
  <c r="T989" i="3"/>
  <c r="S989" i="3"/>
  <c r="R989" i="3"/>
  <c r="Q989" i="3"/>
  <c r="P989" i="3"/>
  <c r="O989" i="3"/>
  <c r="T988" i="3"/>
  <c r="S988" i="3"/>
  <c r="R988" i="3"/>
  <c r="Q988" i="3"/>
  <c r="P988" i="3"/>
  <c r="O988" i="3"/>
  <c r="T987" i="3"/>
  <c r="S987" i="3"/>
  <c r="R987" i="3"/>
  <c r="Q987" i="3"/>
  <c r="P987" i="3"/>
  <c r="O987" i="3"/>
  <c r="T986" i="3"/>
  <c r="S986" i="3"/>
  <c r="R986" i="3"/>
  <c r="Q986" i="3"/>
  <c r="P986" i="3"/>
  <c r="O986" i="3"/>
  <c r="T985" i="3"/>
  <c r="S985" i="3"/>
  <c r="R985" i="3"/>
  <c r="Q985" i="3"/>
  <c r="P985" i="3"/>
  <c r="O985" i="3"/>
  <c r="T984" i="3"/>
  <c r="S984" i="3"/>
  <c r="R984" i="3"/>
  <c r="Q984" i="3"/>
  <c r="P984" i="3"/>
  <c r="O984" i="3"/>
  <c r="T983" i="3"/>
  <c r="S983" i="3"/>
  <c r="R983" i="3"/>
  <c r="Q983" i="3"/>
  <c r="P983" i="3"/>
  <c r="O983" i="3"/>
  <c r="T982" i="3"/>
  <c r="S982" i="3"/>
  <c r="R982" i="3"/>
  <c r="Q982" i="3"/>
  <c r="P982" i="3"/>
  <c r="O982" i="3"/>
  <c r="T981" i="3"/>
  <c r="S981" i="3"/>
  <c r="R981" i="3"/>
  <c r="Q981" i="3"/>
  <c r="P981" i="3"/>
  <c r="O981" i="3"/>
  <c r="T980" i="3"/>
  <c r="S980" i="3"/>
  <c r="R980" i="3"/>
  <c r="Q980" i="3"/>
  <c r="P980" i="3"/>
  <c r="O980" i="3"/>
  <c r="T979" i="3"/>
  <c r="S979" i="3"/>
  <c r="R979" i="3"/>
  <c r="Q979" i="3"/>
  <c r="P979" i="3"/>
  <c r="O979" i="3"/>
  <c r="T978" i="3"/>
  <c r="S978" i="3"/>
  <c r="R978" i="3"/>
  <c r="Q978" i="3"/>
  <c r="P978" i="3"/>
  <c r="O978" i="3"/>
  <c r="T977" i="3"/>
  <c r="S977" i="3"/>
  <c r="R977" i="3"/>
  <c r="Q977" i="3"/>
  <c r="P977" i="3"/>
  <c r="O977" i="3"/>
  <c r="T976" i="3"/>
  <c r="S976" i="3"/>
  <c r="R976" i="3"/>
  <c r="Q976" i="3"/>
  <c r="P976" i="3"/>
  <c r="O976" i="3"/>
  <c r="T975" i="3"/>
  <c r="S975" i="3"/>
  <c r="R975" i="3"/>
  <c r="Q975" i="3"/>
  <c r="P975" i="3"/>
  <c r="O975" i="3"/>
  <c r="T974" i="3"/>
  <c r="S974" i="3"/>
  <c r="R974" i="3"/>
  <c r="Q974" i="3"/>
  <c r="P974" i="3"/>
  <c r="O974" i="3"/>
  <c r="T973" i="3"/>
  <c r="S973" i="3"/>
  <c r="R973" i="3"/>
  <c r="Q973" i="3"/>
  <c r="P973" i="3"/>
  <c r="O973" i="3"/>
  <c r="T972" i="3"/>
  <c r="S972" i="3"/>
  <c r="R972" i="3"/>
  <c r="Q972" i="3"/>
  <c r="P972" i="3"/>
  <c r="O972" i="3"/>
  <c r="T971" i="3"/>
  <c r="S971" i="3"/>
  <c r="R971" i="3"/>
  <c r="Q971" i="3"/>
  <c r="P971" i="3"/>
  <c r="O971" i="3"/>
  <c r="T970" i="3"/>
  <c r="S970" i="3"/>
  <c r="R970" i="3"/>
  <c r="Q970" i="3"/>
  <c r="P970" i="3"/>
  <c r="O970" i="3"/>
  <c r="T969" i="3"/>
  <c r="S969" i="3"/>
  <c r="R969" i="3"/>
  <c r="Q969" i="3"/>
  <c r="P969" i="3"/>
  <c r="O969" i="3"/>
  <c r="T968" i="3"/>
  <c r="S968" i="3"/>
  <c r="R968" i="3"/>
  <c r="Q968" i="3"/>
  <c r="P968" i="3"/>
  <c r="O968" i="3"/>
  <c r="T967" i="3"/>
  <c r="S967" i="3"/>
  <c r="R967" i="3"/>
  <c r="Q967" i="3"/>
  <c r="P967" i="3"/>
  <c r="O967" i="3"/>
  <c r="T966" i="3"/>
  <c r="S966" i="3"/>
  <c r="R966" i="3"/>
  <c r="Q966" i="3"/>
  <c r="P966" i="3"/>
  <c r="O966" i="3"/>
  <c r="T965" i="3"/>
  <c r="S965" i="3"/>
  <c r="R965" i="3"/>
  <c r="Q965" i="3"/>
  <c r="P965" i="3"/>
  <c r="O965" i="3"/>
  <c r="T964" i="3"/>
  <c r="S964" i="3"/>
  <c r="R964" i="3"/>
  <c r="Q964" i="3"/>
  <c r="P964" i="3"/>
  <c r="O964" i="3"/>
  <c r="T963" i="3"/>
  <c r="S963" i="3"/>
  <c r="R963" i="3"/>
  <c r="Q963" i="3"/>
  <c r="P963" i="3"/>
  <c r="O963" i="3"/>
  <c r="T962" i="3"/>
  <c r="S962" i="3"/>
  <c r="R962" i="3"/>
  <c r="Q962" i="3"/>
  <c r="P962" i="3"/>
  <c r="O962" i="3"/>
  <c r="T961" i="3"/>
  <c r="S961" i="3"/>
  <c r="R961" i="3"/>
  <c r="Q961" i="3"/>
  <c r="P961" i="3"/>
  <c r="O961" i="3"/>
  <c r="T960" i="3"/>
  <c r="S960" i="3"/>
  <c r="R960" i="3"/>
  <c r="Q960" i="3"/>
  <c r="P960" i="3"/>
  <c r="O960" i="3"/>
  <c r="T959" i="3"/>
  <c r="S959" i="3"/>
  <c r="R959" i="3"/>
  <c r="Q959" i="3"/>
  <c r="P959" i="3"/>
  <c r="O959" i="3"/>
  <c r="T958" i="3"/>
  <c r="S958" i="3"/>
  <c r="R958" i="3"/>
  <c r="Q958" i="3"/>
  <c r="P958" i="3"/>
  <c r="O958" i="3"/>
  <c r="T957" i="3"/>
  <c r="S957" i="3"/>
  <c r="R957" i="3"/>
  <c r="Q957" i="3"/>
  <c r="P957" i="3"/>
  <c r="O957" i="3"/>
  <c r="T956" i="3"/>
  <c r="S956" i="3"/>
  <c r="R956" i="3"/>
  <c r="Q956" i="3"/>
  <c r="P956" i="3"/>
  <c r="O956" i="3"/>
  <c r="T955" i="3"/>
  <c r="S955" i="3"/>
  <c r="R955" i="3"/>
  <c r="Q955" i="3"/>
  <c r="P955" i="3"/>
  <c r="O955" i="3"/>
  <c r="T954" i="3"/>
  <c r="S954" i="3"/>
  <c r="R954" i="3"/>
  <c r="Q954" i="3"/>
  <c r="P954" i="3"/>
  <c r="O954" i="3"/>
  <c r="T953" i="3"/>
  <c r="S953" i="3"/>
  <c r="R953" i="3"/>
  <c r="Q953" i="3"/>
  <c r="P953" i="3"/>
  <c r="O953" i="3"/>
  <c r="T952" i="3"/>
  <c r="S952" i="3"/>
  <c r="R952" i="3"/>
  <c r="Q952" i="3"/>
  <c r="P952" i="3"/>
  <c r="O952" i="3"/>
  <c r="T951" i="3"/>
  <c r="S951" i="3"/>
  <c r="R951" i="3"/>
  <c r="Q951" i="3"/>
  <c r="P951" i="3"/>
  <c r="O951" i="3"/>
  <c r="T950" i="3"/>
  <c r="S950" i="3"/>
  <c r="R950" i="3"/>
  <c r="Q950" i="3"/>
  <c r="P950" i="3"/>
  <c r="O950" i="3"/>
  <c r="T949" i="3"/>
  <c r="S949" i="3"/>
  <c r="R949" i="3"/>
  <c r="Q949" i="3"/>
  <c r="P949" i="3"/>
  <c r="O949" i="3"/>
  <c r="T948" i="3"/>
  <c r="S948" i="3"/>
  <c r="R948" i="3"/>
  <c r="Q948" i="3"/>
  <c r="P948" i="3"/>
  <c r="O948" i="3"/>
  <c r="T947" i="3"/>
  <c r="S947" i="3"/>
  <c r="R947" i="3"/>
  <c r="Q947" i="3"/>
  <c r="P947" i="3"/>
  <c r="O947" i="3"/>
  <c r="T946" i="3"/>
  <c r="S946" i="3"/>
  <c r="R946" i="3"/>
  <c r="Q946" i="3"/>
  <c r="P946" i="3"/>
  <c r="O946" i="3"/>
  <c r="T945" i="3"/>
  <c r="S945" i="3"/>
  <c r="R945" i="3"/>
  <c r="Q945" i="3"/>
  <c r="P945" i="3"/>
  <c r="O945" i="3"/>
  <c r="T944" i="3"/>
  <c r="S944" i="3"/>
  <c r="R944" i="3"/>
  <c r="Q944" i="3"/>
  <c r="P944" i="3"/>
  <c r="O944" i="3"/>
  <c r="T943" i="3"/>
  <c r="S943" i="3"/>
  <c r="R943" i="3"/>
  <c r="Q943" i="3"/>
  <c r="P943" i="3"/>
  <c r="O943" i="3"/>
  <c r="T942" i="3"/>
  <c r="S942" i="3"/>
  <c r="R942" i="3"/>
  <c r="Q942" i="3"/>
  <c r="P942" i="3"/>
  <c r="O942" i="3"/>
  <c r="T941" i="3"/>
  <c r="S941" i="3"/>
  <c r="R941" i="3"/>
  <c r="Q941" i="3"/>
  <c r="P941" i="3"/>
  <c r="O941" i="3"/>
  <c r="T940" i="3"/>
  <c r="S940" i="3"/>
  <c r="R940" i="3"/>
  <c r="Q940" i="3"/>
  <c r="P940" i="3"/>
  <c r="O940" i="3"/>
  <c r="T939" i="3"/>
  <c r="S939" i="3"/>
  <c r="R939" i="3"/>
  <c r="Q939" i="3"/>
  <c r="P939" i="3"/>
  <c r="O939" i="3"/>
  <c r="T938" i="3"/>
  <c r="S938" i="3"/>
  <c r="R938" i="3"/>
  <c r="Q938" i="3"/>
  <c r="P938" i="3"/>
  <c r="O938" i="3"/>
  <c r="T937" i="3"/>
  <c r="S937" i="3"/>
  <c r="R937" i="3"/>
  <c r="Q937" i="3"/>
  <c r="P937" i="3"/>
  <c r="O937" i="3"/>
  <c r="T936" i="3"/>
  <c r="S936" i="3"/>
  <c r="R936" i="3"/>
  <c r="Q936" i="3"/>
  <c r="P936" i="3"/>
  <c r="O936" i="3"/>
  <c r="T935" i="3"/>
  <c r="S935" i="3"/>
  <c r="R935" i="3"/>
  <c r="Q935" i="3"/>
  <c r="P935" i="3"/>
  <c r="O935" i="3"/>
  <c r="T934" i="3"/>
  <c r="S934" i="3"/>
  <c r="R934" i="3"/>
  <c r="Q934" i="3"/>
  <c r="P934" i="3"/>
  <c r="O934" i="3"/>
  <c r="T933" i="3"/>
  <c r="S933" i="3"/>
  <c r="R933" i="3"/>
  <c r="Q933" i="3"/>
  <c r="P933" i="3"/>
  <c r="O933" i="3"/>
  <c r="T932" i="3"/>
  <c r="S932" i="3"/>
  <c r="R932" i="3"/>
  <c r="Q932" i="3"/>
  <c r="P932" i="3"/>
  <c r="O932" i="3"/>
  <c r="T931" i="3"/>
  <c r="S931" i="3"/>
  <c r="R931" i="3"/>
  <c r="Q931" i="3"/>
  <c r="P931" i="3"/>
  <c r="O931" i="3"/>
  <c r="T930" i="3"/>
  <c r="S930" i="3"/>
  <c r="R930" i="3"/>
  <c r="Q930" i="3"/>
  <c r="P930" i="3"/>
  <c r="O930" i="3"/>
  <c r="T929" i="3"/>
  <c r="S929" i="3"/>
  <c r="R929" i="3"/>
  <c r="Q929" i="3"/>
  <c r="P929" i="3"/>
  <c r="O929" i="3"/>
  <c r="T928" i="3"/>
  <c r="S928" i="3"/>
  <c r="R928" i="3"/>
  <c r="Q928" i="3"/>
  <c r="P928" i="3"/>
  <c r="O928" i="3"/>
  <c r="T927" i="3"/>
  <c r="S927" i="3"/>
  <c r="R927" i="3"/>
  <c r="Q927" i="3"/>
  <c r="P927" i="3"/>
  <c r="O927" i="3"/>
  <c r="T926" i="3"/>
  <c r="S926" i="3"/>
  <c r="R926" i="3"/>
  <c r="Q926" i="3"/>
  <c r="P926" i="3"/>
  <c r="O926" i="3"/>
  <c r="T925" i="3"/>
  <c r="S925" i="3"/>
  <c r="R925" i="3"/>
  <c r="Q925" i="3"/>
  <c r="P925" i="3"/>
  <c r="O925" i="3"/>
  <c r="T924" i="3"/>
  <c r="S924" i="3"/>
  <c r="R924" i="3"/>
  <c r="Q924" i="3"/>
  <c r="P924" i="3"/>
  <c r="O924" i="3"/>
  <c r="T923" i="3"/>
  <c r="S923" i="3"/>
  <c r="R923" i="3"/>
  <c r="Q923" i="3"/>
  <c r="P923" i="3"/>
  <c r="O923" i="3"/>
  <c r="T922" i="3"/>
  <c r="S922" i="3"/>
  <c r="R922" i="3"/>
  <c r="Q922" i="3"/>
  <c r="P922" i="3"/>
  <c r="O922" i="3"/>
  <c r="T921" i="3"/>
  <c r="S921" i="3"/>
  <c r="R921" i="3"/>
  <c r="Q921" i="3"/>
  <c r="P921" i="3"/>
  <c r="O921" i="3"/>
  <c r="T920" i="3"/>
  <c r="S920" i="3"/>
  <c r="R920" i="3"/>
  <c r="Q920" i="3"/>
  <c r="P920" i="3"/>
  <c r="O920" i="3"/>
  <c r="T919" i="3"/>
  <c r="S919" i="3"/>
  <c r="R919" i="3"/>
  <c r="Q919" i="3"/>
  <c r="P919" i="3"/>
  <c r="O919" i="3"/>
  <c r="T918" i="3"/>
  <c r="S918" i="3"/>
  <c r="R918" i="3"/>
  <c r="Q918" i="3"/>
  <c r="P918" i="3"/>
  <c r="O918" i="3"/>
  <c r="T917" i="3"/>
  <c r="S917" i="3"/>
  <c r="R917" i="3"/>
  <c r="Q917" i="3"/>
  <c r="P917" i="3"/>
  <c r="O917" i="3"/>
  <c r="T916" i="3"/>
  <c r="S916" i="3"/>
  <c r="R916" i="3"/>
  <c r="Q916" i="3"/>
  <c r="P916" i="3"/>
  <c r="O916" i="3"/>
  <c r="T915" i="3"/>
  <c r="S915" i="3"/>
  <c r="R915" i="3"/>
  <c r="Q915" i="3"/>
  <c r="P915" i="3"/>
  <c r="O915" i="3"/>
  <c r="T914" i="3"/>
  <c r="S914" i="3"/>
  <c r="R914" i="3"/>
  <c r="Q914" i="3"/>
  <c r="P914" i="3"/>
  <c r="O914" i="3"/>
  <c r="T913" i="3"/>
  <c r="S913" i="3"/>
  <c r="R913" i="3"/>
  <c r="Q913" i="3"/>
  <c r="P913" i="3"/>
  <c r="O913" i="3"/>
  <c r="T912" i="3"/>
  <c r="S912" i="3"/>
  <c r="R912" i="3"/>
  <c r="Q912" i="3"/>
  <c r="P912" i="3"/>
  <c r="O912" i="3"/>
  <c r="T911" i="3"/>
  <c r="S911" i="3"/>
  <c r="R911" i="3"/>
  <c r="Q911" i="3"/>
  <c r="P911" i="3"/>
  <c r="O911" i="3"/>
  <c r="T910" i="3"/>
  <c r="S910" i="3"/>
  <c r="R910" i="3"/>
  <c r="Q910" i="3"/>
  <c r="P910" i="3"/>
  <c r="O910" i="3"/>
  <c r="T909" i="3"/>
  <c r="S909" i="3"/>
  <c r="R909" i="3"/>
  <c r="Q909" i="3"/>
  <c r="P909" i="3"/>
  <c r="O909" i="3"/>
  <c r="T908" i="3"/>
  <c r="S908" i="3"/>
  <c r="R908" i="3"/>
  <c r="Q908" i="3"/>
  <c r="P908" i="3"/>
  <c r="O908" i="3"/>
  <c r="T907" i="3"/>
  <c r="S907" i="3"/>
  <c r="R907" i="3"/>
  <c r="Q907" i="3"/>
  <c r="P907" i="3"/>
  <c r="O907" i="3"/>
  <c r="T906" i="3"/>
  <c r="S906" i="3"/>
  <c r="R906" i="3"/>
  <c r="Q906" i="3"/>
  <c r="P906" i="3"/>
  <c r="O906" i="3"/>
  <c r="T905" i="3"/>
  <c r="S905" i="3"/>
  <c r="R905" i="3"/>
  <c r="Q905" i="3"/>
  <c r="P905" i="3"/>
  <c r="O905" i="3"/>
  <c r="T904" i="3"/>
  <c r="S904" i="3"/>
  <c r="R904" i="3"/>
  <c r="Q904" i="3"/>
  <c r="P904" i="3"/>
  <c r="O904" i="3"/>
  <c r="T903" i="3"/>
  <c r="S903" i="3"/>
  <c r="R903" i="3"/>
  <c r="Q903" i="3"/>
  <c r="P903" i="3"/>
  <c r="O903" i="3"/>
  <c r="T902" i="3"/>
  <c r="S902" i="3"/>
  <c r="R902" i="3"/>
  <c r="Q902" i="3"/>
  <c r="P902" i="3"/>
  <c r="O902" i="3"/>
  <c r="T901" i="3"/>
  <c r="S901" i="3"/>
  <c r="R901" i="3"/>
  <c r="Q901" i="3"/>
  <c r="P901" i="3"/>
  <c r="O901" i="3"/>
  <c r="T900" i="3"/>
  <c r="S900" i="3"/>
  <c r="R900" i="3"/>
  <c r="Q900" i="3"/>
  <c r="P900" i="3"/>
  <c r="O900" i="3"/>
  <c r="T899" i="3"/>
  <c r="S899" i="3"/>
  <c r="R899" i="3"/>
  <c r="Q899" i="3"/>
  <c r="P899" i="3"/>
  <c r="O899" i="3"/>
  <c r="T898" i="3"/>
  <c r="S898" i="3"/>
  <c r="R898" i="3"/>
  <c r="Q898" i="3"/>
  <c r="P898" i="3"/>
  <c r="O898" i="3"/>
  <c r="T897" i="3"/>
  <c r="S897" i="3"/>
  <c r="R897" i="3"/>
  <c r="Q897" i="3"/>
  <c r="P897" i="3"/>
  <c r="O897" i="3"/>
  <c r="T896" i="3"/>
  <c r="S896" i="3"/>
  <c r="R896" i="3"/>
  <c r="Q896" i="3"/>
  <c r="P896" i="3"/>
  <c r="O896" i="3"/>
  <c r="T895" i="3"/>
  <c r="S895" i="3"/>
  <c r="R895" i="3"/>
  <c r="Q895" i="3"/>
  <c r="P895" i="3"/>
  <c r="O895" i="3"/>
  <c r="T894" i="3"/>
  <c r="S894" i="3"/>
  <c r="R894" i="3"/>
  <c r="Q894" i="3"/>
  <c r="P894" i="3"/>
  <c r="O894" i="3"/>
  <c r="T893" i="3"/>
  <c r="S893" i="3"/>
  <c r="R893" i="3"/>
  <c r="Q893" i="3"/>
  <c r="P893" i="3"/>
  <c r="O893" i="3"/>
  <c r="T892" i="3"/>
  <c r="S892" i="3"/>
  <c r="R892" i="3"/>
  <c r="Q892" i="3"/>
  <c r="P892" i="3"/>
  <c r="O892" i="3"/>
  <c r="T891" i="3"/>
  <c r="S891" i="3"/>
  <c r="R891" i="3"/>
  <c r="Q891" i="3"/>
  <c r="P891" i="3"/>
  <c r="O891" i="3"/>
  <c r="T890" i="3"/>
  <c r="S890" i="3"/>
  <c r="R890" i="3"/>
  <c r="Q890" i="3"/>
  <c r="P890" i="3"/>
  <c r="O890" i="3"/>
  <c r="T889" i="3"/>
  <c r="S889" i="3"/>
  <c r="R889" i="3"/>
  <c r="Q889" i="3"/>
  <c r="P889" i="3"/>
  <c r="O889" i="3"/>
  <c r="T888" i="3"/>
  <c r="S888" i="3"/>
  <c r="R888" i="3"/>
  <c r="Q888" i="3"/>
  <c r="P888" i="3"/>
  <c r="O888" i="3"/>
  <c r="T887" i="3"/>
  <c r="S887" i="3"/>
  <c r="R887" i="3"/>
  <c r="Q887" i="3"/>
  <c r="P887" i="3"/>
  <c r="O887" i="3"/>
  <c r="T886" i="3"/>
  <c r="S886" i="3"/>
  <c r="R886" i="3"/>
  <c r="Q886" i="3"/>
  <c r="P886" i="3"/>
  <c r="O886" i="3"/>
  <c r="T885" i="3"/>
  <c r="S885" i="3"/>
  <c r="R885" i="3"/>
  <c r="Q885" i="3"/>
  <c r="P885" i="3"/>
  <c r="O885" i="3"/>
  <c r="T884" i="3"/>
  <c r="S884" i="3"/>
  <c r="R884" i="3"/>
  <c r="Q884" i="3"/>
  <c r="P884" i="3"/>
  <c r="O884" i="3"/>
  <c r="T883" i="3"/>
  <c r="S883" i="3"/>
  <c r="R883" i="3"/>
  <c r="Q883" i="3"/>
  <c r="P883" i="3"/>
  <c r="O883" i="3"/>
  <c r="T882" i="3"/>
  <c r="S882" i="3"/>
  <c r="R882" i="3"/>
  <c r="Q882" i="3"/>
  <c r="P882" i="3"/>
  <c r="O882" i="3"/>
  <c r="T881" i="3"/>
  <c r="S881" i="3"/>
  <c r="R881" i="3"/>
  <c r="Q881" i="3"/>
  <c r="P881" i="3"/>
  <c r="O881" i="3"/>
  <c r="T880" i="3"/>
  <c r="S880" i="3"/>
  <c r="R880" i="3"/>
  <c r="Q880" i="3"/>
  <c r="P880" i="3"/>
  <c r="O880" i="3"/>
  <c r="T879" i="3"/>
  <c r="S879" i="3"/>
  <c r="R879" i="3"/>
  <c r="Q879" i="3"/>
  <c r="P879" i="3"/>
  <c r="O879" i="3"/>
  <c r="T878" i="3"/>
  <c r="S878" i="3"/>
  <c r="R878" i="3"/>
  <c r="Q878" i="3"/>
  <c r="P878" i="3"/>
  <c r="O878" i="3"/>
  <c r="T877" i="3"/>
  <c r="S877" i="3"/>
  <c r="R877" i="3"/>
  <c r="Q877" i="3"/>
  <c r="P877" i="3"/>
  <c r="O877" i="3"/>
  <c r="T876" i="3"/>
  <c r="S876" i="3"/>
  <c r="R876" i="3"/>
  <c r="Q876" i="3"/>
  <c r="P876" i="3"/>
  <c r="O876" i="3"/>
  <c r="T875" i="3"/>
  <c r="S875" i="3"/>
  <c r="R875" i="3"/>
  <c r="Q875" i="3"/>
  <c r="P875" i="3"/>
  <c r="O875" i="3"/>
  <c r="T874" i="3"/>
  <c r="S874" i="3"/>
  <c r="R874" i="3"/>
  <c r="Q874" i="3"/>
  <c r="P874" i="3"/>
  <c r="O874" i="3"/>
  <c r="T873" i="3"/>
  <c r="S873" i="3"/>
  <c r="R873" i="3"/>
  <c r="Q873" i="3"/>
  <c r="P873" i="3"/>
  <c r="O873" i="3"/>
  <c r="T872" i="3"/>
  <c r="S872" i="3"/>
  <c r="R872" i="3"/>
  <c r="Q872" i="3"/>
  <c r="P872" i="3"/>
  <c r="O872" i="3"/>
  <c r="T871" i="3"/>
  <c r="S871" i="3"/>
  <c r="R871" i="3"/>
  <c r="Q871" i="3"/>
  <c r="P871" i="3"/>
  <c r="O871" i="3"/>
  <c r="T870" i="3"/>
  <c r="S870" i="3"/>
  <c r="R870" i="3"/>
  <c r="Q870" i="3"/>
  <c r="P870" i="3"/>
  <c r="O870" i="3"/>
  <c r="T869" i="3"/>
  <c r="S869" i="3"/>
  <c r="R869" i="3"/>
  <c r="Q869" i="3"/>
  <c r="P869" i="3"/>
  <c r="O869" i="3"/>
  <c r="T868" i="3"/>
  <c r="S868" i="3"/>
  <c r="R868" i="3"/>
  <c r="Q868" i="3"/>
  <c r="P868" i="3"/>
  <c r="O868" i="3"/>
  <c r="T867" i="3"/>
  <c r="S867" i="3"/>
  <c r="R867" i="3"/>
  <c r="Q867" i="3"/>
  <c r="P867" i="3"/>
  <c r="O867" i="3"/>
  <c r="T866" i="3"/>
  <c r="S866" i="3"/>
  <c r="R866" i="3"/>
  <c r="Q866" i="3"/>
  <c r="P866" i="3"/>
  <c r="O866" i="3"/>
  <c r="T865" i="3"/>
  <c r="S865" i="3"/>
  <c r="R865" i="3"/>
  <c r="Q865" i="3"/>
  <c r="P865" i="3"/>
  <c r="O865" i="3"/>
  <c r="T864" i="3"/>
  <c r="S864" i="3"/>
  <c r="R864" i="3"/>
  <c r="Q864" i="3"/>
  <c r="P864" i="3"/>
  <c r="O864" i="3"/>
  <c r="T863" i="3"/>
  <c r="S863" i="3"/>
  <c r="R863" i="3"/>
  <c r="Q863" i="3"/>
  <c r="P863" i="3"/>
  <c r="O863" i="3"/>
  <c r="T862" i="3"/>
  <c r="S862" i="3"/>
  <c r="R862" i="3"/>
  <c r="Q862" i="3"/>
  <c r="P862" i="3"/>
  <c r="O862" i="3"/>
  <c r="T861" i="3"/>
  <c r="S861" i="3"/>
  <c r="R861" i="3"/>
  <c r="Q861" i="3"/>
  <c r="P861" i="3"/>
  <c r="O861" i="3"/>
  <c r="T860" i="3"/>
  <c r="S860" i="3"/>
  <c r="R860" i="3"/>
  <c r="Q860" i="3"/>
  <c r="P860" i="3"/>
  <c r="O860" i="3"/>
  <c r="T859" i="3"/>
  <c r="S859" i="3"/>
  <c r="R859" i="3"/>
  <c r="Q859" i="3"/>
  <c r="P859" i="3"/>
  <c r="O859" i="3"/>
  <c r="T858" i="3"/>
  <c r="S858" i="3"/>
  <c r="R858" i="3"/>
  <c r="Q858" i="3"/>
  <c r="P858" i="3"/>
  <c r="O858" i="3"/>
  <c r="T857" i="3"/>
  <c r="S857" i="3"/>
  <c r="R857" i="3"/>
  <c r="Q857" i="3"/>
  <c r="P857" i="3"/>
  <c r="O857" i="3"/>
  <c r="T856" i="3"/>
  <c r="S856" i="3"/>
  <c r="R856" i="3"/>
  <c r="Q856" i="3"/>
  <c r="P856" i="3"/>
  <c r="O856" i="3"/>
  <c r="T855" i="3"/>
  <c r="S855" i="3"/>
  <c r="R855" i="3"/>
  <c r="Q855" i="3"/>
  <c r="P855" i="3"/>
  <c r="O855" i="3"/>
  <c r="T854" i="3"/>
  <c r="S854" i="3"/>
  <c r="R854" i="3"/>
  <c r="Q854" i="3"/>
  <c r="P854" i="3"/>
  <c r="O854" i="3"/>
  <c r="T853" i="3"/>
  <c r="S853" i="3"/>
  <c r="R853" i="3"/>
  <c r="Q853" i="3"/>
  <c r="P853" i="3"/>
  <c r="O853" i="3"/>
  <c r="T852" i="3"/>
  <c r="S852" i="3"/>
  <c r="R852" i="3"/>
  <c r="Q852" i="3"/>
  <c r="P852" i="3"/>
  <c r="O852" i="3"/>
  <c r="T851" i="3"/>
  <c r="S851" i="3"/>
  <c r="R851" i="3"/>
  <c r="Q851" i="3"/>
  <c r="P851" i="3"/>
  <c r="O851" i="3"/>
  <c r="T850" i="3"/>
  <c r="S850" i="3"/>
  <c r="R850" i="3"/>
  <c r="Q850" i="3"/>
  <c r="P850" i="3"/>
  <c r="O850" i="3"/>
  <c r="T849" i="3"/>
  <c r="S849" i="3"/>
  <c r="R849" i="3"/>
  <c r="Q849" i="3"/>
  <c r="P849" i="3"/>
  <c r="O849" i="3"/>
  <c r="T848" i="3"/>
  <c r="S848" i="3"/>
  <c r="R848" i="3"/>
  <c r="Q848" i="3"/>
  <c r="P848" i="3"/>
  <c r="O848" i="3"/>
  <c r="T847" i="3"/>
  <c r="S847" i="3"/>
  <c r="R847" i="3"/>
  <c r="Q847" i="3"/>
  <c r="P847" i="3"/>
  <c r="O847" i="3"/>
  <c r="T846" i="3"/>
  <c r="S846" i="3"/>
  <c r="R846" i="3"/>
  <c r="Q846" i="3"/>
  <c r="P846" i="3"/>
  <c r="O846" i="3"/>
  <c r="T845" i="3"/>
  <c r="S845" i="3"/>
  <c r="R845" i="3"/>
  <c r="Q845" i="3"/>
  <c r="P845" i="3"/>
  <c r="O845" i="3"/>
  <c r="T844" i="3"/>
  <c r="S844" i="3"/>
  <c r="R844" i="3"/>
  <c r="Q844" i="3"/>
  <c r="P844" i="3"/>
  <c r="O844" i="3"/>
  <c r="T843" i="3"/>
  <c r="S843" i="3"/>
  <c r="R843" i="3"/>
  <c r="Q843" i="3"/>
  <c r="P843" i="3"/>
  <c r="O843" i="3"/>
  <c r="T842" i="3"/>
  <c r="S842" i="3"/>
  <c r="R842" i="3"/>
  <c r="Q842" i="3"/>
  <c r="P842" i="3"/>
  <c r="O842" i="3"/>
  <c r="T841" i="3"/>
  <c r="S841" i="3"/>
  <c r="R841" i="3"/>
  <c r="Q841" i="3"/>
  <c r="P841" i="3"/>
  <c r="O841" i="3"/>
  <c r="T840" i="3"/>
  <c r="S840" i="3"/>
  <c r="R840" i="3"/>
  <c r="Q840" i="3"/>
  <c r="P840" i="3"/>
  <c r="O840" i="3"/>
  <c r="T839" i="3"/>
  <c r="S839" i="3"/>
  <c r="R839" i="3"/>
  <c r="Q839" i="3"/>
  <c r="P839" i="3"/>
  <c r="O839" i="3"/>
  <c r="T838" i="3"/>
  <c r="S838" i="3"/>
  <c r="R838" i="3"/>
  <c r="Q838" i="3"/>
  <c r="P838" i="3"/>
  <c r="O838" i="3"/>
  <c r="T837" i="3"/>
  <c r="S837" i="3"/>
  <c r="R837" i="3"/>
  <c r="Q837" i="3"/>
  <c r="P837" i="3"/>
  <c r="O837" i="3"/>
  <c r="T836" i="3"/>
  <c r="S836" i="3"/>
  <c r="R836" i="3"/>
  <c r="Q836" i="3"/>
  <c r="P836" i="3"/>
  <c r="O836" i="3"/>
  <c r="T835" i="3"/>
  <c r="S835" i="3"/>
  <c r="R835" i="3"/>
  <c r="Q835" i="3"/>
  <c r="P835" i="3"/>
  <c r="O835" i="3"/>
  <c r="T834" i="3"/>
  <c r="S834" i="3"/>
  <c r="R834" i="3"/>
  <c r="Q834" i="3"/>
  <c r="P834" i="3"/>
  <c r="O834" i="3"/>
  <c r="T833" i="3"/>
  <c r="S833" i="3"/>
  <c r="R833" i="3"/>
  <c r="Q833" i="3"/>
  <c r="P833" i="3"/>
  <c r="O833" i="3"/>
  <c r="T832" i="3"/>
  <c r="S832" i="3"/>
  <c r="R832" i="3"/>
  <c r="Q832" i="3"/>
  <c r="P832" i="3"/>
  <c r="O832" i="3"/>
  <c r="T831" i="3"/>
  <c r="S831" i="3"/>
  <c r="R831" i="3"/>
  <c r="Q831" i="3"/>
  <c r="P831" i="3"/>
  <c r="O831" i="3"/>
  <c r="T830" i="3"/>
  <c r="S830" i="3"/>
  <c r="R830" i="3"/>
  <c r="Q830" i="3"/>
  <c r="P830" i="3"/>
  <c r="O830" i="3"/>
  <c r="T829" i="3"/>
  <c r="S829" i="3"/>
  <c r="R829" i="3"/>
  <c r="Q829" i="3"/>
  <c r="P829" i="3"/>
  <c r="O829" i="3"/>
  <c r="T828" i="3"/>
  <c r="S828" i="3"/>
  <c r="R828" i="3"/>
  <c r="Q828" i="3"/>
  <c r="P828" i="3"/>
  <c r="O828" i="3"/>
  <c r="T827" i="3"/>
  <c r="S827" i="3"/>
  <c r="R827" i="3"/>
  <c r="Q827" i="3"/>
  <c r="P827" i="3"/>
  <c r="O827" i="3"/>
  <c r="T826" i="3"/>
  <c r="S826" i="3"/>
  <c r="R826" i="3"/>
  <c r="Q826" i="3"/>
  <c r="P826" i="3"/>
  <c r="O826" i="3"/>
  <c r="T825" i="3"/>
  <c r="S825" i="3"/>
  <c r="R825" i="3"/>
  <c r="Q825" i="3"/>
  <c r="P825" i="3"/>
  <c r="O825" i="3"/>
  <c r="T824" i="3"/>
  <c r="S824" i="3"/>
  <c r="R824" i="3"/>
  <c r="Q824" i="3"/>
  <c r="P824" i="3"/>
  <c r="O824" i="3"/>
  <c r="T823" i="3"/>
  <c r="S823" i="3"/>
  <c r="R823" i="3"/>
  <c r="Q823" i="3"/>
  <c r="P823" i="3"/>
  <c r="O823" i="3"/>
  <c r="T822" i="3"/>
  <c r="S822" i="3"/>
  <c r="R822" i="3"/>
  <c r="Q822" i="3"/>
  <c r="P822" i="3"/>
  <c r="O822" i="3"/>
  <c r="T821" i="3"/>
  <c r="S821" i="3"/>
  <c r="R821" i="3"/>
  <c r="Q821" i="3"/>
  <c r="P821" i="3"/>
  <c r="O821" i="3"/>
  <c r="T820" i="3"/>
  <c r="S820" i="3"/>
  <c r="R820" i="3"/>
  <c r="Q820" i="3"/>
  <c r="P820" i="3"/>
  <c r="O820" i="3"/>
  <c r="T819" i="3"/>
  <c r="S819" i="3"/>
  <c r="R819" i="3"/>
  <c r="Q819" i="3"/>
  <c r="P819" i="3"/>
  <c r="O819" i="3"/>
  <c r="T818" i="3"/>
  <c r="S818" i="3"/>
  <c r="R818" i="3"/>
  <c r="Q818" i="3"/>
  <c r="P818" i="3"/>
  <c r="O818" i="3"/>
  <c r="T817" i="3"/>
  <c r="S817" i="3"/>
  <c r="R817" i="3"/>
  <c r="Q817" i="3"/>
  <c r="P817" i="3"/>
  <c r="O817" i="3"/>
  <c r="T816" i="3"/>
  <c r="S816" i="3"/>
  <c r="R816" i="3"/>
  <c r="Q816" i="3"/>
  <c r="P816" i="3"/>
  <c r="O816" i="3"/>
  <c r="T815" i="3"/>
  <c r="S815" i="3"/>
  <c r="R815" i="3"/>
  <c r="Q815" i="3"/>
  <c r="P815" i="3"/>
  <c r="O815" i="3"/>
  <c r="T814" i="3"/>
  <c r="S814" i="3"/>
  <c r="R814" i="3"/>
  <c r="Q814" i="3"/>
  <c r="P814" i="3"/>
  <c r="O814" i="3"/>
  <c r="T813" i="3"/>
  <c r="S813" i="3"/>
  <c r="R813" i="3"/>
  <c r="Q813" i="3"/>
  <c r="P813" i="3"/>
  <c r="O813" i="3"/>
  <c r="T812" i="3"/>
  <c r="S812" i="3"/>
  <c r="R812" i="3"/>
  <c r="Q812" i="3"/>
  <c r="P812" i="3"/>
  <c r="O812" i="3"/>
  <c r="T811" i="3"/>
  <c r="S811" i="3"/>
  <c r="R811" i="3"/>
  <c r="Q811" i="3"/>
  <c r="P811" i="3"/>
  <c r="O811" i="3"/>
  <c r="T810" i="3"/>
  <c r="S810" i="3"/>
  <c r="R810" i="3"/>
  <c r="Q810" i="3"/>
  <c r="P810" i="3"/>
  <c r="O810" i="3"/>
  <c r="T809" i="3"/>
  <c r="S809" i="3"/>
  <c r="R809" i="3"/>
  <c r="Q809" i="3"/>
  <c r="P809" i="3"/>
  <c r="O809" i="3"/>
  <c r="T808" i="3"/>
  <c r="S808" i="3"/>
  <c r="R808" i="3"/>
  <c r="Q808" i="3"/>
  <c r="P808" i="3"/>
  <c r="O808" i="3"/>
  <c r="T807" i="3"/>
  <c r="S807" i="3"/>
  <c r="R807" i="3"/>
  <c r="Q807" i="3"/>
  <c r="P807" i="3"/>
  <c r="O807" i="3"/>
  <c r="T806" i="3"/>
  <c r="S806" i="3"/>
  <c r="R806" i="3"/>
  <c r="Q806" i="3"/>
  <c r="P806" i="3"/>
  <c r="O806" i="3"/>
  <c r="T805" i="3"/>
  <c r="S805" i="3"/>
  <c r="R805" i="3"/>
  <c r="Q805" i="3"/>
  <c r="P805" i="3"/>
  <c r="O805" i="3"/>
  <c r="T804" i="3"/>
  <c r="S804" i="3"/>
  <c r="R804" i="3"/>
  <c r="Q804" i="3"/>
  <c r="P804" i="3"/>
  <c r="O804" i="3"/>
  <c r="T803" i="3"/>
  <c r="S803" i="3"/>
  <c r="R803" i="3"/>
  <c r="Q803" i="3"/>
  <c r="P803" i="3"/>
  <c r="O803" i="3"/>
  <c r="T802" i="3"/>
  <c r="S802" i="3"/>
  <c r="R802" i="3"/>
  <c r="Q802" i="3"/>
  <c r="P802" i="3"/>
  <c r="O802" i="3"/>
  <c r="T801" i="3"/>
  <c r="S801" i="3"/>
  <c r="R801" i="3"/>
  <c r="Q801" i="3"/>
  <c r="P801" i="3"/>
  <c r="O801" i="3"/>
  <c r="T800" i="3"/>
  <c r="S800" i="3"/>
  <c r="R800" i="3"/>
  <c r="Q800" i="3"/>
  <c r="P800" i="3"/>
  <c r="O800" i="3"/>
  <c r="T799" i="3"/>
  <c r="S799" i="3"/>
  <c r="R799" i="3"/>
  <c r="Q799" i="3"/>
  <c r="P799" i="3"/>
  <c r="O799" i="3"/>
  <c r="T798" i="3"/>
  <c r="S798" i="3"/>
  <c r="R798" i="3"/>
  <c r="Q798" i="3"/>
  <c r="P798" i="3"/>
  <c r="O798" i="3"/>
  <c r="T797" i="3"/>
  <c r="S797" i="3"/>
  <c r="R797" i="3"/>
  <c r="Q797" i="3"/>
  <c r="P797" i="3"/>
  <c r="O797" i="3"/>
  <c r="T796" i="3"/>
  <c r="S796" i="3"/>
  <c r="R796" i="3"/>
  <c r="Q796" i="3"/>
  <c r="P796" i="3"/>
  <c r="O796" i="3"/>
  <c r="T795" i="3"/>
  <c r="S795" i="3"/>
  <c r="R795" i="3"/>
  <c r="Q795" i="3"/>
  <c r="P795" i="3"/>
  <c r="O795" i="3"/>
  <c r="T794" i="3"/>
  <c r="S794" i="3"/>
  <c r="R794" i="3"/>
  <c r="Q794" i="3"/>
  <c r="P794" i="3"/>
  <c r="O794" i="3"/>
  <c r="T793" i="3"/>
  <c r="S793" i="3"/>
  <c r="R793" i="3"/>
  <c r="Q793" i="3"/>
  <c r="P793" i="3"/>
  <c r="O793" i="3"/>
  <c r="T792" i="3"/>
  <c r="S792" i="3"/>
  <c r="R792" i="3"/>
  <c r="Q792" i="3"/>
  <c r="P792" i="3"/>
  <c r="O792" i="3"/>
  <c r="T791" i="3"/>
  <c r="S791" i="3"/>
  <c r="R791" i="3"/>
  <c r="Q791" i="3"/>
  <c r="P791" i="3"/>
  <c r="O791" i="3"/>
  <c r="T790" i="3"/>
  <c r="S790" i="3"/>
  <c r="R790" i="3"/>
  <c r="Q790" i="3"/>
  <c r="P790" i="3"/>
  <c r="O790" i="3"/>
  <c r="T789" i="3"/>
  <c r="S789" i="3"/>
  <c r="R789" i="3"/>
  <c r="Q789" i="3"/>
  <c r="P789" i="3"/>
  <c r="O789" i="3"/>
  <c r="T788" i="3"/>
  <c r="S788" i="3"/>
  <c r="R788" i="3"/>
  <c r="Q788" i="3"/>
  <c r="P788" i="3"/>
  <c r="O788" i="3"/>
  <c r="T787" i="3"/>
  <c r="S787" i="3"/>
  <c r="R787" i="3"/>
  <c r="Q787" i="3"/>
  <c r="P787" i="3"/>
  <c r="O787" i="3"/>
  <c r="T786" i="3"/>
  <c r="S786" i="3"/>
  <c r="R786" i="3"/>
  <c r="Q786" i="3"/>
  <c r="P786" i="3"/>
  <c r="O786" i="3"/>
  <c r="T785" i="3"/>
  <c r="S785" i="3"/>
  <c r="R785" i="3"/>
  <c r="Q785" i="3"/>
  <c r="P785" i="3"/>
  <c r="O785" i="3"/>
  <c r="T784" i="3"/>
  <c r="S784" i="3"/>
  <c r="R784" i="3"/>
  <c r="Q784" i="3"/>
  <c r="P784" i="3"/>
  <c r="O784" i="3"/>
  <c r="T783" i="3"/>
  <c r="S783" i="3"/>
  <c r="R783" i="3"/>
  <c r="Q783" i="3"/>
  <c r="P783" i="3"/>
  <c r="O783" i="3"/>
  <c r="T782" i="3"/>
  <c r="S782" i="3"/>
  <c r="R782" i="3"/>
  <c r="Q782" i="3"/>
  <c r="P782" i="3"/>
  <c r="O782" i="3"/>
  <c r="T781" i="3"/>
  <c r="S781" i="3"/>
  <c r="R781" i="3"/>
  <c r="Q781" i="3"/>
  <c r="P781" i="3"/>
  <c r="O781" i="3"/>
  <c r="T780" i="3"/>
  <c r="S780" i="3"/>
  <c r="R780" i="3"/>
  <c r="Q780" i="3"/>
  <c r="P780" i="3"/>
  <c r="O780" i="3"/>
  <c r="T779" i="3"/>
  <c r="S779" i="3"/>
  <c r="R779" i="3"/>
  <c r="Q779" i="3"/>
  <c r="P779" i="3"/>
  <c r="O779" i="3"/>
  <c r="T778" i="3"/>
  <c r="S778" i="3"/>
  <c r="R778" i="3"/>
  <c r="Q778" i="3"/>
  <c r="P778" i="3"/>
  <c r="O778" i="3"/>
  <c r="T777" i="3"/>
  <c r="S777" i="3"/>
  <c r="R777" i="3"/>
  <c r="Q777" i="3"/>
  <c r="P777" i="3"/>
  <c r="O777" i="3"/>
  <c r="T776" i="3"/>
  <c r="S776" i="3"/>
  <c r="R776" i="3"/>
  <c r="Q776" i="3"/>
  <c r="P776" i="3"/>
  <c r="O776" i="3"/>
  <c r="T775" i="3"/>
  <c r="S775" i="3"/>
  <c r="R775" i="3"/>
  <c r="Q775" i="3"/>
  <c r="P775" i="3"/>
  <c r="O775" i="3"/>
  <c r="T774" i="3"/>
  <c r="S774" i="3"/>
  <c r="R774" i="3"/>
  <c r="Q774" i="3"/>
  <c r="P774" i="3"/>
  <c r="O774" i="3"/>
  <c r="T773" i="3"/>
  <c r="S773" i="3"/>
  <c r="R773" i="3"/>
  <c r="Q773" i="3"/>
  <c r="P773" i="3"/>
  <c r="O773" i="3"/>
  <c r="T772" i="3"/>
  <c r="S772" i="3"/>
  <c r="R772" i="3"/>
  <c r="Q772" i="3"/>
  <c r="P772" i="3"/>
  <c r="O772" i="3"/>
  <c r="T771" i="3"/>
  <c r="S771" i="3"/>
  <c r="R771" i="3"/>
  <c r="Q771" i="3"/>
  <c r="P771" i="3"/>
  <c r="O771" i="3"/>
  <c r="T770" i="3"/>
  <c r="S770" i="3"/>
  <c r="R770" i="3"/>
  <c r="Q770" i="3"/>
  <c r="P770" i="3"/>
  <c r="O770" i="3"/>
  <c r="T769" i="3"/>
  <c r="S769" i="3"/>
  <c r="R769" i="3"/>
  <c r="Q769" i="3"/>
  <c r="P769" i="3"/>
  <c r="O769" i="3"/>
  <c r="T768" i="3"/>
  <c r="S768" i="3"/>
  <c r="R768" i="3"/>
  <c r="Q768" i="3"/>
  <c r="P768" i="3"/>
  <c r="O768" i="3"/>
  <c r="T767" i="3"/>
  <c r="S767" i="3"/>
  <c r="R767" i="3"/>
  <c r="Q767" i="3"/>
  <c r="P767" i="3"/>
  <c r="O767" i="3"/>
  <c r="T766" i="3"/>
  <c r="S766" i="3"/>
  <c r="R766" i="3"/>
  <c r="Q766" i="3"/>
  <c r="P766" i="3"/>
  <c r="O766" i="3"/>
  <c r="T765" i="3"/>
  <c r="S765" i="3"/>
  <c r="R765" i="3"/>
  <c r="Q765" i="3"/>
  <c r="P765" i="3"/>
  <c r="O765" i="3"/>
  <c r="T764" i="3"/>
  <c r="S764" i="3"/>
  <c r="R764" i="3"/>
  <c r="Q764" i="3"/>
  <c r="P764" i="3"/>
  <c r="O764" i="3"/>
  <c r="T763" i="3"/>
  <c r="S763" i="3"/>
  <c r="R763" i="3"/>
  <c r="Q763" i="3"/>
  <c r="P763" i="3"/>
  <c r="O763" i="3"/>
  <c r="T762" i="3"/>
  <c r="S762" i="3"/>
  <c r="R762" i="3"/>
  <c r="Q762" i="3"/>
  <c r="P762" i="3"/>
  <c r="O762" i="3"/>
  <c r="T761" i="3"/>
  <c r="S761" i="3"/>
  <c r="R761" i="3"/>
  <c r="Q761" i="3"/>
  <c r="P761" i="3"/>
  <c r="O761" i="3"/>
  <c r="T760" i="3"/>
  <c r="S760" i="3"/>
  <c r="R760" i="3"/>
  <c r="Q760" i="3"/>
  <c r="P760" i="3"/>
  <c r="O760" i="3"/>
  <c r="T759" i="3"/>
  <c r="S759" i="3"/>
  <c r="R759" i="3"/>
  <c r="Q759" i="3"/>
  <c r="P759" i="3"/>
  <c r="O759" i="3"/>
  <c r="T758" i="3"/>
  <c r="S758" i="3"/>
  <c r="R758" i="3"/>
  <c r="Q758" i="3"/>
  <c r="P758" i="3"/>
  <c r="O758" i="3"/>
  <c r="T757" i="3"/>
  <c r="S757" i="3"/>
  <c r="R757" i="3"/>
  <c r="Q757" i="3"/>
  <c r="P757" i="3"/>
  <c r="O757" i="3"/>
  <c r="T756" i="3"/>
  <c r="S756" i="3"/>
  <c r="R756" i="3"/>
  <c r="Q756" i="3"/>
  <c r="P756" i="3"/>
  <c r="O756" i="3"/>
  <c r="T755" i="3"/>
  <c r="S755" i="3"/>
  <c r="R755" i="3"/>
  <c r="Q755" i="3"/>
  <c r="P755" i="3"/>
  <c r="O755" i="3"/>
  <c r="T754" i="3"/>
  <c r="S754" i="3"/>
  <c r="R754" i="3"/>
  <c r="Q754" i="3"/>
  <c r="P754" i="3"/>
  <c r="O754" i="3"/>
  <c r="T753" i="3"/>
  <c r="S753" i="3"/>
  <c r="R753" i="3"/>
  <c r="Q753" i="3"/>
  <c r="P753" i="3"/>
  <c r="O753" i="3"/>
  <c r="T752" i="3"/>
  <c r="S752" i="3"/>
  <c r="R752" i="3"/>
  <c r="Q752" i="3"/>
  <c r="P752" i="3"/>
  <c r="O752" i="3"/>
  <c r="T751" i="3"/>
  <c r="S751" i="3"/>
  <c r="R751" i="3"/>
  <c r="Q751" i="3"/>
  <c r="P751" i="3"/>
  <c r="O751" i="3"/>
  <c r="T750" i="3"/>
  <c r="S750" i="3"/>
  <c r="R750" i="3"/>
  <c r="Q750" i="3"/>
  <c r="P750" i="3"/>
  <c r="O750" i="3"/>
  <c r="T749" i="3"/>
  <c r="S749" i="3"/>
  <c r="R749" i="3"/>
  <c r="Q749" i="3"/>
  <c r="P749" i="3"/>
  <c r="O749" i="3"/>
  <c r="T748" i="3"/>
  <c r="S748" i="3"/>
  <c r="R748" i="3"/>
  <c r="Q748" i="3"/>
  <c r="P748" i="3"/>
  <c r="O748" i="3"/>
  <c r="T747" i="3"/>
  <c r="S747" i="3"/>
  <c r="R747" i="3"/>
  <c r="Q747" i="3"/>
  <c r="P747" i="3"/>
  <c r="O747" i="3"/>
  <c r="T746" i="3"/>
  <c r="S746" i="3"/>
  <c r="R746" i="3"/>
  <c r="Q746" i="3"/>
  <c r="P746" i="3"/>
  <c r="O746" i="3"/>
  <c r="T745" i="3"/>
  <c r="S745" i="3"/>
  <c r="R745" i="3"/>
  <c r="Q745" i="3"/>
  <c r="P745" i="3"/>
  <c r="O745" i="3"/>
  <c r="T744" i="3"/>
  <c r="S744" i="3"/>
  <c r="R744" i="3"/>
  <c r="Q744" i="3"/>
  <c r="P744" i="3"/>
  <c r="O744" i="3"/>
  <c r="T743" i="3"/>
  <c r="S743" i="3"/>
  <c r="R743" i="3"/>
  <c r="Q743" i="3"/>
  <c r="P743" i="3"/>
  <c r="O743" i="3"/>
  <c r="T742" i="3"/>
  <c r="S742" i="3"/>
  <c r="R742" i="3"/>
  <c r="Q742" i="3"/>
  <c r="P742" i="3"/>
  <c r="O742" i="3"/>
  <c r="T741" i="3"/>
  <c r="S741" i="3"/>
  <c r="R741" i="3"/>
  <c r="Q741" i="3"/>
  <c r="P741" i="3"/>
  <c r="O741" i="3"/>
  <c r="T740" i="3"/>
  <c r="S740" i="3"/>
  <c r="R740" i="3"/>
  <c r="Q740" i="3"/>
  <c r="P740" i="3"/>
  <c r="O740" i="3"/>
  <c r="T739" i="3"/>
  <c r="S739" i="3"/>
  <c r="R739" i="3"/>
  <c r="Q739" i="3"/>
  <c r="P739" i="3"/>
  <c r="O739" i="3"/>
  <c r="T738" i="3"/>
  <c r="S738" i="3"/>
  <c r="R738" i="3"/>
  <c r="Q738" i="3"/>
  <c r="P738" i="3"/>
  <c r="O738" i="3"/>
  <c r="T737" i="3"/>
  <c r="S737" i="3"/>
  <c r="R737" i="3"/>
  <c r="Q737" i="3"/>
  <c r="P737" i="3"/>
  <c r="O737" i="3"/>
  <c r="T736" i="3"/>
  <c r="S736" i="3"/>
  <c r="R736" i="3"/>
  <c r="Q736" i="3"/>
  <c r="P736" i="3"/>
  <c r="O736" i="3"/>
  <c r="T735" i="3"/>
  <c r="S735" i="3"/>
  <c r="R735" i="3"/>
  <c r="Q735" i="3"/>
  <c r="P735" i="3"/>
  <c r="O735" i="3"/>
  <c r="T734" i="3"/>
  <c r="S734" i="3"/>
  <c r="R734" i="3"/>
  <c r="Q734" i="3"/>
  <c r="P734" i="3"/>
  <c r="O734" i="3"/>
  <c r="T733" i="3"/>
  <c r="S733" i="3"/>
  <c r="R733" i="3"/>
  <c r="Q733" i="3"/>
  <c r="P733" i="3"/>
  <c r="O733" i="3"/>
  <c r="T732" i="3"/>
  <c r="S732" i="3"/>
  <c r="R732" i="3"/>
  <c r="Q732" i="3"/>
  <c r="P732" i="3"/>
  <c r="O732" i="3"/>
  <c r="T731" i="3"/>
  <c r="S731" i="3"/>
  <c r="R731" i="3"/>
  <c r="Q731" i="3"/>
  <c r="P731" i="3"/>
  <c r="O731" i="3"/>
  <c r="T730" i="3"/>
  <c r="S730" i="3"/>
  <c r="R730" i="3"/>
  <c r="Q730" i="3"/>
  <c r="P730" i="3"/>
  <c r="O730" i="3"/>
  <c r="T729" i="3"/>
  <c r="S729" i="3"/>
  <c r="R729" i="3"/>
  <c r="Q729" i="3"/>
  <c r="P729" i="3"/>
  <c r="O729" i="3"/>
  <c r="T728" i="3"/>
  <c r="S728" i="3"/>
  <c r="R728" i="3"/>
  <c r="Q728" i="3"/>
  <c r="P728" i="3"/>
  <c r="O728" i="3"/>
  <c r="T727" i="3"/>
  <c r="S727" i="3"/>
  <c r="R727" i="3"/>
  <c r="Q727" i="3"/>
  <c r="P727" i="3"/>
  <c r="O727" i="3"/>
  <c r="T726" i="3"/>
  <c r="S726" i="3"/>
  <c r="R726" i="3"/>
  <c r="Q726" i="3"/>
  <c r="P726" i="3"/>
  <c r="O726" i="3"/>
  <c r="T725" i="3"/>
  <c r="S725" i="3"/>
  <c r="R725" i="3"/>
  <c r="Q725" i="3"/>
  <c r="P725" i="3"/>
  <c r="O725" i="3"/>
  <c r="T724" i="3"/>
  <c r="S724" i="3"/>
  <c r="R724" i="3"/>
  <c r="Q724" i="3"/>
  <c r="P724" i="3"/>
  <c r="O724" i="3"/>
  <c r="T723" i="3"/>
  <c r="S723" i="3"/>
  <c r="R723" i="3"/>
  <c r="Q723" i="3"/>
  <c r="P723" i="3"/>
  <c r="O723" i="3"/>
  <c r="T722" i="3"/>
  <c r="S722" i="3"/>
  <c r="R722" i="3"/>
  <c r="Q722" i="3"/>
  <c r="P722" i="3"/>
  <c r="O722" i="3"/>
  <c r="T721" i="3"/>
  <c r="S721" i="3"/>
  <c r="R721" i="3"/>
  <c r="Q721" i="3"/>
  <c r="P721" i="3"/>
  <c r="O721" i="3"/>
  <c r="T720" i="3"/>
  <c r="S720" i="3"/>
  <c r="R720" i="3"/>
  <c r="Q720" i="3"/>
  <c r="P720" i="3"/>
  <c r="O720" i="3"/>
  <c r="T719" i="3"/>
  <c r="S719" i="3"/>
  <c r="R719" i="3"/>
  <c r="Q719" i="3"/>
  <c r="P719" i="3"/>
  <c r="O719" i="3"/>
  <c r="T718" i="3"/>
  <c r="S718" i="3"/>
  <c r="R718" i="3"/>
  <c r="Q718" i="3"/>
  <c r="P718" i="3"/>
  <c r="O718" i="3"/>
  <c r="T717" i="3"/>
  <c r="S717" i="3"/>
  <c r="R717" i="3"/>
  <c r="Q717" i="3"/>
  <c r="P717" i="3"/>
  <c r="O717" i="3"/>
  <c r="T716" i="3"/>
  <c r="S716" i="3"/>
  <c r="R716" i="3"/>
  <c r="Q716" i="3"/>
  <c r="P716" i="3"/>
  <c r="O716" i="3"/>
  <c r="T715" i="3"/>
  <c r="S715" i="3"/>
  <c r="R715" i="3"/>
  <c r="Q715" i="3"/>
  <c r="P715" i="3"/>
  <c r="O715" i="3"/>
  <c r="T714" i="3"/>
  <c r="S714" i="3"/>
  <c r="R714" i="3"/>
  <c r="Q714" i="3"/>
  <c r="P714" i="3"/>
  <c r="O714" i="3"/>
  <c r="T713" i="3"/>
  <c r="S713" i="3"/>
  <c r="R713" i="3"/>
  <c r="Q713" i="3"/>
  <c r="P713" i="3"/>
  <c r="O713" i="3"/>
  <c r="T712" i="3"/>
  <c r="S712" i="3"/>
  <c r="R712" i="3"/>
  <c r="Q712" i="3"/>
  <c r="P712" i="3"/>
  <c r="O712" i="3"/>
  <c r="T711" i="3"/>
  <c r="S711" i="3"/>
  <c r="R711" i="3"/>
  <c r="Q711" i="3"/>
  <c r="P711" i="3"/>
  <c r="O711" i="3"/>
  <c r="T710" i="3"/>
  <c r="S710" i="3"/>
  <c r="R710" i="3"/>
  <c r="Q710" i="3"/>
  <c r="P710" i="3"/>
  <c r="O710" i="3"/>
  <c r="T709" i="3"/>
  <c r="S709" i="3"/>
  <c r="R709" i="3"/>
  <c r="Q709" i="3"/>
  <c r="P709" i="3"/>
  <c r="O709" i="3"/>
  <c r="T708" i="3"/>
  <c r="S708" i="3"/>
  <c r="R708" i="3"/>
  <c r="Q708" i="3"/>
  <c r="P708" i="3"/>
  <c r="O708" i="3"/>
  <c r="T707" i="3"/>
  <c r="S707" i="3"/>
  <c r="R707" i="3"/>
  <c r="Q707" i="3"/>
  <c r="P707" i="3"/>
  <c r="O707" i="3"/>
  <c r="T706" i="3"/>
  <c r="S706" i="3"/>
  <c r="R706" i="3"/>
  <c r="Q706" i="3"/>
  <c r="P706" i="3"/>
  <c r="O706" i="3"/>
  <c r="T705" i="3"/>
  <c r="S705" i="3"/>
  <c r="R705" i="3"/>
  <c r="Q705" i="3"/>
  <c r="P705" i="3"/>
  <c r="O705" i="3"/>
  <c r="T704" i="3"/>
  <c r="S704" i="3"/>
  <c r="R704" i="3"/>
  <c r="Q704" i="3"/>
  <c r="P704" i="3"/>
  <c r="O704" i="3"/>
  <c r="T703" i="3"/>
  <c r="S703" i="3"/>
  <c r="R703" i="3"/>
  <c r="Q703" i="3"/>
  <c r="P703" i="3"/>
  <c r="O703" i="3"/>
  <c r="T702" i="3"/>
  <c r="S702" i="3"/>
  <c r="R702" i="3"/>
  <c r="Q702" i="3"/>
  <c r="P702" i="3"/>
  <c r="O702" i="3"/>
  <c r="T701" i="3"/>
  <c r="S701" i="3"/>
  <c r="R701" i="3"/>
  <c r="Q701" i="3"/>
  <c r="P701" i="3"/>
  <c r="O701" i="3"/>
  <c r="T700" i="3"/>
  <c r="S700" i="3"/>
  <c r="R700" i="3"/>
  <c r="Q700" i="3"/>
  <c r="P700" i="3"/>
  <c r="O700" i="3"/>
  <c r="T699" i="3"/>
  <c r="S699" i="3"/>
  <c r="R699" i="3"/>
  <c r="Q699" i="3"/>
  <c r="P699" i="3"/>
  <c r="O699" i="3"/>
  <c r="T698" i="3"/>
  <c r="S698" i="3"/>
  <c r="R698" i="3"/>
  <c r="Q698" i="3"/>
  <c r="P698" i="3"/>
  <c r="O698" i="3"/>
  <c r="T697" i="3"/>
  <c r="S697" i="3"/>
  <c r="R697" i="3"/>
  <c r="Q697" i="3"/>
  <c r="P697" i="3"/>
  <c r="O697" i="3"/>
  <c r="T696" i="3"/>
  <c r="S696" i="3"/>
  <c r="R696" i="3"/>
  <c r="Q696" i="3"/>
  <c r="P696" i="3"/>
  <c r="O696" i="3"/>
  <c r="T695" i="3"/>
  <c r="S695" i="3"/>
  <c r="R695" i="3"/>
  <c r="Q695" i="3"/>
  <c r="P695" i="3"/>
  <c r="O695" i="3"/>
  <c r="T694" i="3"/>
  <c r="S694" i="3"/>
  <c r="R694" i="3"/>
  <c r="Q694" i="3"/>
  <c r="P694" i="3"/>
  <c r="O694" i="3"/>
  <c r="T693" i="3"/>
  <c r="S693" i="3"/>
  <c r="R693" i="3"/>
  <c r="Q693" i="3"/>
  <c r="P693" i="3"/>
  <c r="O693" i="3"/>
  <c r="T692" i="3"/>
  <c r="S692" i="3"/>
  <c r="R692" i="3"/>
  <c r="Q692" i="3"/>
  <c r="P692" i="3"/>
  <c r="O692" i="3"/>
  <c r="T691" i="3"/>
  <c r="S691" i="3"/>
  <c r="R691" i="3"/>
  <c r="Q691" i="3"/>
  <c r="P691" i="3"/>
  <c r="O691" i="3"/>
  <c r="T690" i="3"/>
  <c r="S690" i="3"/>
  <c r="R690" i="3"/>
  <c r="Q690" i="3"/>
  <c r="P690" i="3"/>
  <c r="O690" i="3"/>
  <c r="T689" i="3"/>
  <c r="S689" i="3"/>
  <c r="R689" i="3"/>
  <c r="Q689" i="3"/>
  <c r="P689" i="3"/>
  <c r="O689" i="3"/>
  <c r="T688" i="3"/>
  <c r="S688" i="3"/>
  <c r="R688" i="3"/>
  <c r="Q688" i="3"/>
  <c r="P688" i="3"/>
  <c r="O688" i="3"/>
  <c r="T687" i="3"/>
  <c r="S687" i="3"/>
  <c r="R687" i="3"/>
  <c r="Q687" i="3"/>
  <c r="P687" i="3"/>
  <c r="O687" i="3"/>
  <c r="T686" i="3"/>
  <c r="S686" i="3"/>
  <c r="R686" i="3"/>
  <c r="Q686" i="3"/>
  <c r="P686" i="3"/>
  <c r="O686" i="3"/>
  <c r="T685" i="3"/>
  <c r="S685" i="3"/>
  <c r="R685" i="3"/>
  <c r="Q685" i="3"/>
  <c r="P685" i="3"/>
  <c r="O685" i="3"/>
  <c r="T684" i="3"/>
  <c r="S684" i="3"/>
  <c r="R684" i="3"/>
  <c r="Q684" i="3"/>
  <c r="P684" i="3"/>
  <c r="O684" i="3"/>
  <c r="T683" i="3"/>
  <c r="S683" i="3"/>
  <c r="R683" i="3"/>
  <c r="Q683" i="3"/>
  <c r="P683" i="3"/>
  <c r="O683" i="3"/>
  <c r="T682" i="3"/>
  <c r="S682" i="3"/>
  <c r="R682" i="3"/>
  <c r="Q682" i="3"/>
  <c r="P682" i="3"/>
  <c r="O682" i="3"/>
  <c r="T681" i="3"/>
  <c r="S681" i="3"/>
  <c r="R681" i="3"/>
  <c r="Q681" i="3"/>
  <c r="P681" i="3"/>
  <c r="O681" i="3"/>
  <c r="T680" i="3"/>
  <c r="S680" i="3"/>
  <c r="R680" i="3"/>
  <c r="Q680" i="3"/>
  <c r="P680" i="3"/>
  <c r="O680" i="3"/>
  <c r="T679" i="3"/>
  <c r="S679" i="3"/>
  <c r="R679" i="3"/>
  <c r="Q679" i="3"/>
  <c r="P679" i="3"/>
  <c r="O679" i="3"/>
  <c r="T678" i="3"/>
  <c r="S678" i="3"/>
  <c r="R678" i="3"/>
  <c r="Q678" i="3"/>
  <c r="P678" i="3"/>
  <c r="O678" i="3"/>
  <c r="T677" i="3"/>
  <c r="S677" i="3"/>
  <c r="R677" i="3"/>
  <c r="Q677" i="3"/>
  <c r="P677" i="3"/>
  <c r="O677" i="3"/>
  <c r="T676" i="3"/>
  <c r="S676" i="3"/>
  <c r="R676" i="3"/>
  <c r="Q676" i="3"/>
  <c r="P676" i="3"/>
  <c r="O676" i="3"/>
  <c r="T675" i="3"/>
  <c r="S675" i="3"/>
  <c r="R675" i="3"/>
  <c r="Q675" i="3"/>
  <c r="P675" i="3"/>
  <c r="O675" i="3"/>
  <c r="T674" i="3"/>
  <c r="S674" i="3"/>
  <c r="R674" i="3"/>
  <c r="Q674" i="3"/>
  <c r="P674" i="3"/>
  <c r="O674" i="3"/>
  <c r="T673" i="3"/>
  <c r="S673" i="3"/>
  <c r="R673" i="3"/>
  <c r="Q673" i="3"/>
  <c r="P673" i="3"/>
  <c r="O673" i="3"/>
  <c r="T672" i="3"/>
  <c r="S672" i="3"/>
  <c r="R672" i="3"/>
  <c r="Q672" i="3"/>
  <c r="P672" i="3"/>
  <c r="O672" i="3"/>
  <c r="T671" i="3"/>
  <c r="S671" i="3"/>
  <c r="R671" i="3"/>
  <c r="Q671" i="3"/>
  <c r="P671" i="3"/>
  <c r="O671" i="3"/>
  <c r="T670" i="3"/>
  <c r="S670" i="3"/>
  <c r="R670" i="3"/>
  <c r="Q670" i="3"/>
  <c r="P670" i="3"/>
  <c r="O670" i="3"/>
  <c r="T669" i="3"/>
  <c r="S669" i="3"/>
  <c r="R669" i="3"/>
  <c r="Q669" i="3"/>
  <c r="P669" i="3"/>
  <c r="O669" i="3"/>
  <c r="T668" i="3"/>
  <c r="S668" i="3"/>
  <c r="R668" i="3"/>
  <c r="Q668" i="3"/>
  <c r="P668" i="3"/>
  <c r="O668" i="3"/>
  <c r="T667" i="3"/>
  <c r="S667" i="3"/>
  <c r="R667" i="3"/>
  <c r="Q667" i="3"/>
  <c r="P667" i="3"/>
  <c r="O667" i="3"/>
  <c r="T666" i="3"/>
  <c r="S666" i="3"/>
  <c r="R666" i="3"/>
  <c r="Q666" i="3"/>
  <c r="P666" i="3"/>
  <c r="O666" i="3"/>
  <c r="T665" i="3"/>
  <c r="S665" i="3"/>
  <c r="R665" i="3"/>
  <c r="Q665" i="3"/>
  <c r="P665" i="3"/>
  <c r="O665" i="3"/>
  <c r="T664" i="3"/>
  <c r="S664" i="3"/>
  <c r="R664" i="3"/>
  <c r="Q664" i="3"/>
  <c r="P664" i="3"/>
  <c r="O664" i="3"/>
  <c r="T663" i="3"/>
  <c r="S663" i="3"/>
  <c r="R663" i="3"/>
  <c r="Q663" i="3"/>
  <c r="P663" i="3"/>
  <c r="O663" i="3"/>
  <c r="T662" i="3"/>
  <c r="S662" i="3"/>
  <c r="R662" i="3"/>
  <c r="Q662" i="3"/>
  <c r="P662" i="3"/>
  <c r="O662" i="3"/>
  <c r="T661" i="3"/>
  <c r="S661" i="3"/>
  <c r="R661" i="3"/>
  <c r="Q661" i="3"/>
  <c r="P661" i="3"/>
  <c r="O661" i="3"/>
  <c r="T660" i="3"/>
  <c r="S660" i="3"/>
  <c r="R660" i="3"/>
  <c r="Q660" i="3"/>
  <c r="P660" i="3"/>
  <c r="O660" i="3"/>
  <c r="T659" i="3"/>
  <c r="S659" i="3"/>
  <c r="R659" i="3"/>
  <c r="Q659" i="3"/>
  <c r="P659" i="3"/>
  <c r="O659" i="3"/>
  <c r="T658" i="3"/>
  <c r="S658" i="3"/>
  <c r="R658" i="3"/>
  <c r="Q658" i="3"/>
  <c r="P658" i="3"/>
  <c r="O658" i="3"/>
  <c r="T657" i="3"/>
  <c r="S657" i="3"/>
  <c r="R657" i="3"/>
  <c r="Q657" i="3"/>
  <c r="P657" i="3"/>
  <c r="O657" i="3"/>
  <c r="T656" i="3"/>
  <c r="S656" i="3"/>
  <c r="R656" i="3"/>
  <c r="Q656" i="3"/>
  <c r="P656" i="3"/>
  <c r="O656" i="3"/>
  <c r="T655" i="3"/>
  <c r="S655" i="3"/>
  <c r="R655" i="3"/>
  <c r="Q655" i="3"/>
  <c r="P655" i="3"/>
  <c r="O655" i="3"/>
  <c r="T654" i="3"/>
  <c r="S654" i="3"/>
  <c r="R654" i="3"/>
  <c r="Q654" i="3"/>
  <c r="P654" i="3"/>
  <c r="O654" i="3"/>
  <c r="T653" i="3"/>
  <c r="S653" i="3"/>
  <c r="R653" i="3"/>
  <c r="Q653" i="3"/>
  <c r="P653" i="3"/>
  <c r="O653" i="3"/>
  <c r="T652" i="3"/>
  <c r="S652" i="3"/>
  <c r="R652" i="3"/>
  <c r="Q652" i="3"/>
  <c r="P652" i="3"/>
  <c r="O652" i="3"/>
  <c r="T651" i="3"/>
  <c r="S651" i="3"/>
  <c r="R651" i="3"/>
  <c r="Q651" i="3"/>
  <c r="P651" i="3"/>
  <c r="O651" i="3"/>
  <c r="T650" i="3"/>
  <c r="S650" i="3"/>
  <c r="R650" i="3"/>
  <c r="Q650" i="3"/>
  <c r="P650" i="3"/>
  <c r="O650" i="3"/>
  <c r="T649" i="3"/>
  <c r="S649" i="3"/>
  <c r="R649" i="3"/>
  <c r="Q649" i="3"/>
  <c r="P649" i="3"/>
  <c r="O649" i="3"/>
  <c r="T648" i="3"/>
  <c r="S648" i="3"/>
  <c r="R648" i="3"/>
  <c r="Q648" i="3"/>
  <c r="P648" i="3"/>
  <c r="O648" i="3"/>
  <c r="T647" i="3"/>
  <c r="S647" i="3"/>
  <c r="R647" i="3"/>
  <c r="Q647" i="3"/>
  <c r="P647" i="3"/>
  <c r="O647" i="3"/>
  <c r="T646" i="3"/>
  <c r="S646" i="3"/>
  <c r="R646" i="3"/>
  <c r="Q646" i="3"/>
  <c r="P646" i="3"/>
  <c r="O646" i="3"/>
  <c r="T645" i="3"/>
  <c r="S645" i="3"/>
  <c r="R645" i="3"/>
  <c r="Q645" i="3"/>
  <c r="P645" i="3"/>
  <c r="O645" i="3"/>
  <c r="T644" i="3"/>
  <c r="S644" i="3"/>
  <c r="R644" i="3"/>
  <c r="Q644" i="3"/>
  <c r="P644" i="3"/>
  <c r="O644" i="3"/>
  <c r="T643" i="3"/>
  <c r="S643" i="3"/>
  <c r="R643" i="3"/>
  <c r="Q643" i="3"/>
  <c r="P643" i="3"/>
  <c r="O643" i="3"/>
  <c r="T642" i="3"/>
  <c r="S642" i="3"/>
  <c r="R642" i="3"/>
  <c r="Q642" i="3"/>
  <c r="P642" i="3"/>
  <c r="O642" i="3"/>
  <c r="T641" i="3"/>
  <c r="S641" i="3"/>
  <c r="R641" i="3"/>
  <c r="Q641" i="3"/>
  <c r="P641" i="3"/>
  <c r="O641" i="3"/>
  <c r="T640" i="3"/>
  <c r="S640" i="3"/>
  <c r="R640" i="3"/>
  <c r="Q640" i="3"/>
  <c r="P640" i="3"/>
  <c r="O640" i="3"/>
  <c r="T639" i="3"/>
  <c r="S639" i="3"/>
  <c r="R639" i="3"/>
  <c r="Q639" i="3"/>
  <c r="P639" i="3"/>
  <c r="O639" i="3"/>
  <c r="T638" i="3"/>
  <c r="S638" i="3"/>
  <c r="R638" i="3"/>
  <c r="Q638" i="3"/>
  <c r="P638" i="3"/>
  <c r="O638" i="3"/>
  <c r="T637" i="3"/>
  <c r="S637" i="3"/>
  <c r="R637" i="3"/>
  <c r="Q637" i="3"/>
  <c r="P637" i="3"/>
  <c r="O637" i="3"/>
  <c r="T636" i="3"/>
  <c r="S636" i="3"/>
  <c r="R636" i="3"/>
  <c r="Q636" i="3"/>
  <c r="P636" i="3"/>
  <c r="O636" i="3"/>
  <c r="T635" i="3"/>
  <c r="S635" i="3"/>
  <c r="R635" i="3"/>
  <c r="Q635" i="3"/>
  <c r="P635" i="3"/>
  <c r="O635" i="3"/>
  <c r="T634" i="3"/>
  <c r="S634" i="3"/>
  <c r="R634" i="3"/>
  <c r="Q634" i="3"/>
  <c r="P634" i="3"/>
  <c r="O634" i="3"/>
  <c r="T633" i="3"/>
  <c r="S633" i="3"/>
  <c r="R633" i="3"/>
  <c r="Q633" i="3"/>
  <c r="P633" i="3"/>
  <c r="O633" i="3"/>
  <c r="T632" i="3"/>
  <c r="S632" i="3"/>
  <c r="R632" i="3"/>
  <c r="Q632" i="3"/>
  <c r="P632" i="3"/>
  <c r="O632" i="3"/>
  <c r="T631" i="3"/>
  <c r="S631" i="3"/>
  <c r="R631" i="3"/>
  <c r="Q631" i="3"/>
  <c r="P631" i="3"/>
  <c r="O631" i="3"/>
  <c r="T630" i="3"/>
  <c r="S630" i="3"/>
  <c r="R630" i="3"/>
  <c r="Q630" i="3"/>
  <c r="P630" i="3"/>
  <c r="O630" i="3"/>
  <c r="T629" i="3"/>
  <c r="S629" i="3"/>
  <c r="R629" i="3"/>
  <c r="Q629" i="3"/>
  <c r="P629" i="3"/>
  <c r="O629" i="3"/>
  <c r="T628" i="3"/>
  <c r="S628" i="3"/>
  <c r="R628" i="3"/>
  <c r="Q628" i="3"/>
  <c r="P628" i="3"/>
  <c r="O628" i="3"/>
  <c r="T627" i="3"/>
  <c r="S627" i="3"/>
  <c r="R627" i="3"/>
  <c r="Q627" i="3"/>
  <c r="P627" i="3"/>
  <c r="O627" i="3"/>
  <c r="T626" i="3"/>
  <c r="S626" i="3"/>
  <c r="R626" i="3"/>
  <c r="Q626" i="3"/>
  <c r="P626" i="3"/>
  <c r="O626" i="3"/>
  <c r="T625" i="3"/>
  <c r="S625" i="3"/>
  <c r="R625" i="3"/>
  <c r="Q625" i="3"/>
  <c r="P625" i="3"/>
  <c r="O625" i="3"/>
  <c r="T624" i="3"/>
  <c r="S624" i="3"/>
  <c r="R624" i="3"/>
  <c r="Q624" i="3"/>
  <c r="P624" i="3"/>
  <c r="O624" i="3"/>
  <c r="T623" i="3"/>
  <c r="S623" i="3"/>
  <c r="R623" i="3"/>
  <c r="Q623" i="3"/>
  <c r="P623" i="3"/>
  <c r="O623" i="3"/>
  <c r="T622" i="3"/>
  <c r="S622" i="3"/>
  <c r="R622" i="3"/>
  <c r="Q622" i="3"/>
  <c r="P622" i="3"/>
  <c r="O622" i="3"/>
  <c r="T621" i="3"/>
  <c r="S621" i="3"/>
  <c r="R621" i="3"/>
  <c r="Q621" i="3"/>
  <c r="P621" i="3"/>
  <c r="O621" i="3"/>
  <c r="T620" i="3"/>
  <c r="S620" i="3"/>
  <c r="R620" i="3"/>
  <c r="Q620" i="3"/>
  <c r="P620" i="3"/>
  <c r="O620" i="3"/>
  <c r="T619" i="3"/>
  <c r="S619" i="3"/>
  <c r="R619" i="3"/>
  <c r="Q619" i="3"/>
  <c r="P619" i="3"/>
  <c r="O619" i="3"/>
  <c r="T618" i="3"/>
  <c r="S618" i="3"/>
  <c r="R618" i="3"/>
  <c r="Q618" i="3"/>
  <c r="P618" i="3"/>
  <c r="O618" i="3"/>
  <c r="T617" i="3"/>
  <c r="S617" i="3"/>
  <c r="R617" i="3"/>
  <c r="Q617" i="3"/>
  <c r="P617" i="3"/>
  <c r="O617" i="3"/>
  <c r="T616" i="3"/>
  <c r="S616" i="3"/>
  <c r="R616" i="3"/>
  <c r="Q616" i="3"/>
  <c r="P616" i="3"/>
  <c r="O616" i="3"/>
  <c r="T615" i="3"/>
  <c r="S615" i="3"/>
  <c r="R615" i="3"/>
  <c r="Q615" i="3"/>
  <c r="P615" i="3"/>
  <c r="O615" i="3"/>
  <c r="T614" i="3"/>
  <c r="S614" i="3"/>
  <c r="R614" i="3"/>
  <c r="Q614" i="3"/>
  <c r="P614" i="3"/>
  <c r="O614" i="3"/>
  <c r="T613" i="3"/>
  <c r="S613" i="3"/>
  <c r="R613" i="3"/>
  <c r="Q613" i="3"/>
  <c r="P613" i="3"/>
  <c r="O613" i="3"/>
  <c r="T612" i="3"/>
  <c r="S612" i="3"/>
  <c r="R612" i="3"/>
  <c r="Q612" i="3"/>
  <c r="P612" i="3"/>
  <c r="O612" i="3"/>
  <c r="T611" i="3"/>
  <c r="S611" i="3"/>
  <c r="R611" i="3"/>
  <c r="Q611" i="3"/>
  <c r="P611" i="3"/>
  <c r="O611" i="3"/>
  <c r="T610" i="3"/>
  <c r="S610" i="3"/>
  <c r="R610" i="3"/>
  <c r="Q610" i="3"/>
  <c r="P610" i="3"/>
  <c r="O610" i="3"/>
  <c r="T609" i="3"/>
  <c r="S609" i="3"/>
  <c r="R609" i="3"/>
  <c r="Q609" i="3"/>
  <c r="P609" i="3"/>
  <c r="O609" i="3"/>
  <c r="T608" i="3"/>
  <c r="S608" i="3"/>
  <c r="R608" i="3"/>
  <c r="Q608" i="3"/>
  <c r="P608" i="3"/>
  <c r="O608" i="3"/>
  <c r="T607" i="3"/>
  <c r="S607" i="3"/>
  <c r="R607" i="3"/>
  <c r="Q607" i="3"/>
  <c r="P607" i="3"/>
  <c r="O607" i="3"/>
  <c r="T606" i="3"/>
  <c r="S606" i="3"/>
  <c r="R606" i="3"/>
  <c r="Q606" i="3"/>
  <c r="P606" i="3"/>
  <c r="O606" i="3"/>
  <c r="T605" i="3"/>
  <c r="S605" i="3"/>
  <c r="R605" i="3"/>
  <c r="Q605" i="3"/>
  <c r="P605" i="3"/>
  <c r="O605" i="3"/>
  <c r="T604" i="3"/>
  <c r="S604" i="3"/>
  <c r="R604" i="3"/>
  <c r="Q604" i="3"/>
  <c r="P604" i="3"/>
  <c r="O604" i="3"/>
  <c r="T603" i="3"/>
  <c r="S603" i="3"/>
  <c r="R603" i="3"/>
  <c r="Q603" i="3"/>
  <c r="P603" i="3"/>
  <c r="O603" i="3"/>
  <c r="T602" i="3"/>
  <c r="S602" i="3"/>
  <c r="R602" i="3"/>
  <c r="Q602" i="3"/>
  <c r="P602" i="3"/>
  <c r="O602" i="3"/>
  <c r="T601" i="3"/>
  <c r="S601" i="3"/>
  <c r="R601" i="3"/>
  <c r="Q601" i="3"/>
  <c r="P601" i="3"/>
  <c r="O601" i="3"/>
  <c r="T600" i="3"/>
  <c r="S600" i="3"/>
  <c r="R600" i="3"/>
  <c r="Q600" i="3"/>
  <c r="P600" i="3"/>
  <c r="O600" i="3"/>
  <c r="T599" i="3"/>
  <c r="S599" i="3"/>
  <c r="R599" i="3"/>
  <c r="Q599" i="3"/>
  <c r="P599" i="3"/>
  <c r="O599" i="3"/>
  <c r="T598" i="3"/>
  <c r="S598" i="3"/>
  <c r="R598" i="3"/>
  <c r="Q598" i="3"/>
  <c r="P598" i="3"/>
  <c r="O598" i="3"/>
  <c r="T597" i="3"/>
  <c r="S597" i="3"/>
  <c r="R597" i="3"/>
  <c r="Q597" i="3"/>
  <c r="P597" i="3"/>
  <c r="O597" i="3"/>
  <c r="T596" i="3"/>
  <c r="S596" i="3"/>
  <c r="R596" i="3"/>
  <c r="Q596" i="3"/>
  <c r="P596" i="3"/>
  <c r="O596" i="3"/>
  <c r="T595" i="3"/>
  <c r="S595" i="3"/>
  <c r="R595" i="3"/>
  <c r="Q595" i="3"/>
  <c r="P595" i="3"/>
  <c r="O595" i="3"/>
  <c r="T594" i="3"/>
  <c r="S594" i="3"/>
  <c r="R594" i="3"/>
  <c r="Q594" i="3"/>
  <c r="P594" i="3"/>
  <c r="O594" i="3"/>
  <c r="T593" i="3"/>
  <c r="S593" i="3"/>
  <c r="R593" i="3"/>
  <c r="Q593" i="3"/>
  <c r="P593" i="3"/>
  <c r="O593" i="3"/>
  <c r="T592" i="3"/>
  <c r="S592" i="3"/>
  <c r="R592" i="3"/>
  <c r="Q592" i="3"/>
  <c r="P592" i="3"/>
  <c r="O592" i="3"/>
  <c r="T591" i="3"/>
  <c r="S591" i="3"/>
  <c r="R591" i="3"/>
  <c r="Q591" i="3"/>
  <c r="P591" i="3"/>
  <c r="O591" i="3"/>
  <c r="T590" i="3"/>
  <c r="S590" i="3"/>
  <c r="R590" i="3"/>
  <c r="Q590" i="3"/>
  <c r="P590" i="3"/>
  <c r="O590" i="3"/>
  <c r="T589" i="3"/>
  <c r="S589" i="3"/>
  <c r="R589" i="3"/>
  <c r="Q589" i="3"/>
  <c r="P589" i="3"/>
  <c r="O589" i="3"/>
  <c r="T588" i="3"/>
  <c r="S588" i="3"/>
  <c r="R588" i="3"/>
  <c r="Q588" i="3"/>
  <c r="P588" i="3"/>
  <c r="O588" i="3"/>
  <c r="T587" i="3"/>
  <c r="S587" i="3"/>
  <c r="R587" i="3"/>
  <c r="Q587" i="3"/>
  <c r="P587" i="3"/>
  <c r="O587" i="3"/>
  <c r="T586" i="3"/>
  <c r="S586" i="3"/>
  <c r="R586" i="3"/>
  <c r="Q586" i="3"/>
  <c r="P586" i="3"/>
  <c r="O586" i="3"/>
  <c r="T585" i="3"/>
  <c r="S585" i="3"/>
  <c r="R585" i="3"/>
  <c r="Q585" i="3"/>
  <c r="P585" i="3"/>
  <c r="O585" i="3"/>
  <c r="T584" i="3"/>
  <c r="S584" i="3"/>
  <c r="R584" i="3"/>
  <c r="Q584" i="3"/>
  <c r="P584" i="3"/>
  <c r="O584" i="3"/>
  <c r="T583" i="3"/>
  <c r="S583" i="3"/>
  <c r="R583" i="3"/>
  <c r="Q583" i="3"/>
  <c r="P583" i="3"/>
  <c r="O583" i="3"/>
  <c r="T582" i="3"/>
  <c r="S582" i="3"/>
  <c r="R582" i="3"/>
  <c r="Q582" i="3"/>
  <c r="P582" i="3"/>
  <c r="O582" i="3"/>
  <c r="T581" i="3"/>
  <c r="S581" i="3"/>
  <c r="R581" i="3"/>
  <c r="Q581" i="3"/>
  <c r="P581" i="3"/>
  <c r="O581" i="3"/>
  <c r="T580" i="3"/>
  <c r="S580" i="3"/>
  <c r="R580" i="3"/>
  <c r="Q580" i="3"/>
  <c r="P580" i="3"/>
  <c r="O580" i="3"/>
  <c r="T579" i="3"/>
  <c r="S579" i="3"/>
  <c r="R579" i="3"/>
  <c r="Q579" i="3"/>
  <c r="P579" i="3"/>
  <c r="O579" i="3"/>
  <c r="T578" i="3"/>
  <c r="S578" i="3"/>
  <c r="R578" i="3"/>
  <c r="Q578" i="3"/>
  <c r="P578" i="3"/>
  <c r="O578" i="3"/>
  <c r="T577" i="3"/>
  <c r="S577" i="3"/>
  <c r="R577" i="3"/>
  <c r="Q577" i="3"/>
  <c r="P577" i="3"/>
  <c r="O577" i="3"/>
  <c r="T576" i="3"/>
  <c r="S576" i="3"/>
  <c r="R576" i="3"/>
  <c r="Q576" i="3"/>
  <c r="P576" i="3"/>
  <c r="O576" i="3"/>
  <c r="T575" i="3"/>
  <c r="S575" i="3"/>
  <c r="R575" i="3"/>
  <c r="Q575" i="3"/>
  <c r="P575" i="3"/>
  <c r="O575" i="3"/>
  <c r="T574" i="3"/>
  <c r="S574" i="3"/>
  <c r="R574" i="3"/>
  <c r="Q574" i="3"/>
  <c r="P574" i="3"/>
  <c r="O574" i="3"/>
  <c r="T573" i="3"/>
  <c r="S573" i="3"/>
  <c r="R573" i="3"/>
  <c r="Q573" i="3"/>
  <c r="P573" i="3"/>
  <c r="O573" i="3"/>
  <c r="T572" i="3"/>
  <c r="S572" i="3"/>
  <c r="R572" i="3"/>
  <c r="Q572" i="3"/>
  <c r="P572" i="3"/>
  <c r="O572" i="3"/>
  <c r="T571" i="3"/>
  <c r="S571" i="3"/>
  <c r="R571" i="3"/>
  <c r="Q571" i="3"/>
  <c r="P571" i="3"/>
  <c r="O571" i="3"/>
  <c r="T570" i="3"/>
  <c r="S570" i="3"/>
  <c r="R570" i="3"/>
  <c r="Q570" i="3"/>
  <c r="P570" i="3"/>
  <c r="O570" i="3"/>
  <c r="T569" i="3"/>
  <c r="S569" i="3"/>
  <c r="R569" i="3"/>
  <c r="Q569" i="3"/>
  <c r="P569" i="3"/>
  <c r="O569" i="3"/>
  <c r="T568" i="3"/>
  <c r="S568" i="3"/>
  <c r="R568" i="3"/>
  <c r="Q568" i="3"/>
  <c r="P568" i="3"/>
  <c r="O568" i="3"/>
  <c r="T567" i="3"/>
  <c r="S567" i="3"/>
  <c r="R567" i="3"/>
  <c r="Q567" i="3"/>
  <c r="P567" i="3"/>
  <c r="O567" i="3"/>
  <c r="T566" i="3"/>
  <c r="S566" i="3"/>
  <c r="R566" i="3"/>
  <c r="Q566" i="3"/>
  <c r="P566" i="3"/>
  <c r="O566" i="3"/>
  <c r="T565" i="3"/>
  <c r="S565" i="3"/>
  <c r="R565" i="3"/>
  <c r="Q565" i="3"/>
  <c r="P565" i="3"/>
  <c r="O565" i="3"/>
  <c r="T564" i="3"/>
  <c r="S564" i="3"/>
  <c r="R564" i="3"/>
  <c r="Q564" i="3"/>
  <c r="P564" i="3"/>
  <c r="O564" i="3"/>
  <c r="T563" i="3"/>
  <c r="S563" i="3"/>
  <c r="R563" i="3"/>
  <c r="Q563" i="3"/>
  <c r="P563" i="3"/>
  <c r="O563" i="3"/>
  <c r="T562" i="3"/>
  <c r="S562" i="3"/>
  <c r="R562" i="3"/>
  <c r="Q562" i="3"/>
  <c r="P562" i="3"/>
  <c r="O562" i="3"/>
  <c r="T561" i="3"/>
  <c r="S561" i="3"/>
  <c r="R561" i="3"/>
  <c r="Q561" i="3"/>
  <c r="P561" i="3"/>
  <c r="O561" i="3"/>
  <c r="T560" i="3"/>
  <c r="S560" i="3"/>
  <c r="R560" i="3"/>
  <c r="Q560" i="3"/>
  <c r="P560" i="3"/>
  <c r="O560" i="3"/>
  <c r="T559" i="3"/>
  <c r="S559" i="3"/>
  <c r="R559" i="3"/>
  <c r="Q559" i="3"/>
  <c r="P559" i="3"/>
  <c r="O559" i="3"/>
  <c r="T558" i="3"/>
  <c r="S558" i="3"/>
  <c r="R558" i="3"/>
  <c r="Q558" i="3"/>
  <c r="P558" i="3"/>
  <c r="O558" i="3"/>
  <c r="T557" i="3"/>
  <c r="S557" i="3"/>
  <c r="R557" i="3"/>
  <c r="Q557" i="3"/>
  <c r="P557" i="3"/>
  <c r="O557" i="3"/>
  <c r="T556" i="3"/>
  <c r="S556" i="3"/>
  <c r="R556" i="3"/>
  <c r="Q556" i="3"/>
  <c r="P556" i="3"/>
  <c r="O556" i="3"/>
  <c r="T555" i="3"/>
  <c r="S555" i="3"/>
  <c r="R555" i="3"/>
  <c r="Q555" i="3"/>
  <c r="P555" i="3"/>
  <c r="O555" i="3"/>
  <c r="T554" i="3"/>
  <c r="S554" i="3"/>
  <c r="R554" i="3"/>
  <c r="Q554" i="3"/>
  <c r="P554" i="3"/>
  <c r="O554" i="3"/>
  <c r="T553" i="3"/>
  <c r="S553" i="3"/>
  <c r="R553" i="3"/>
  <c r="Q553" i="3"/>
  <c r="P553" i="3"/>
  <c r="O553" i="3"/>
  <c r="T552" i="3"/>
  <c r="S552" i="3"/>
  <c r="R552" i="3"/>
  <c r="Q552" i="3"/>
  <c r="P552" i="3"/>
  <c r="O552" i="3"/>
  <c r="T551" i="3"/>
  <c r="S551" i="3"/>
  <c r="R551" i="3"/>
  <c r="Q551" i="3"/>
  <c r="P551" i="3"/>
  <c r="O551" i="3"/>
  <c r="T550" i="3"/>
  <c r="S550" i="3"/>
  <c r="R550" i="3"/>
  <c r="Q550" i="3"/>
  <c r="P550" i="3"/>
  <c r="O550" i="3"/>
  <c r="T549" i="3"/>
  <c r="S549" i="3"/>
  <c r="R549" i="3"/>
  <c r="Q549" i="3"/>
  <c r="P549" i="3"/>
  <c r="O549" i="3"/>
  <c r="T548" i="3"/>
  <c r="S548" i="3"/>
  <c r="R548" i="3"/>
  <c r="Q548" i="3"/>
  <c r="P548" i="3"/>
  <c r="O548" i="3"/>
  <c r="T547" i="3"/>
  <c r="S547" i="3"/>
  <c r="R547" i="3"/>
  <c r="Q547" i="3"/>
  <c r="P547" i="3"/>
  <c r="O547" i="3"/>
  <c r="T546" i="3"/>
  <c r="S546" i="3"/>
  <c r="R546" i="3"/>
  <c r="Q546" i="3"/>
  <c r="P546" i="3"/>
  <c r="O546" i="3"/>
  <c r="T545" i="3"/>
  <c r="S545" i="3"/>
  <c r="R545" i="3"/>
  <c r="Q545" i="3"/>
  <c r="P545" i="3"/>
  <c r="O545" i="3"/>
  <c r="T544" i="3"/>
  <c r="S544" i="3"/>
  <c r="R544" i="3"/>
  <c r="Q544" i="3"/>
  <c r="P544" i="3"/>
  <c r="O544" i="3"/>
  <c r="T543" i="3"/>
  <c r="S543" i="3"/>
  <c r="R543" i="3"/>
  <c r="Q543" i="3"/>
  <c r="P543" i="3"/>
  <c r="O543" i="3"/>
  <c r="T542" i="3"/>
  <c r="S542" i="3"/>
  <c r="R542" i="3"/>
  <c r="Q542" i="3"/>
  <c r="P542" i="3"/>
  <c r="O542" i="3"/>
  <c r="T541" i="3"/>
  <c r="S541" i="3"/>
  <c r="R541" i="3"/>
  <c r="Q541" i="3"/>
  <c r="P541" i="3"/>
  <c r="O541" i="3"/>
  <c r="T540" i="3"/>
  <c r="S540" i="3"/>
  <c r="R540" i="3"/>
  <c r="Q540" i="3"/>
  <c r="P540" i="3"/>
  <c r="O540" i="3"/>
  <c r="T539" i="3"/>
  <c r="S539" i="3"/>
  <c r="R539" i="3"/>
  <c r="Q539" i="3"/>
  <c r="P539" i="3"/>
  <c r="O539" i="3"/>
  <c r="T538" i="3"/>
  <c r="S538" i="3"/>
  <c r="R538" i="3"/>
  <c r="Q538" i="3"/>
  <c r="P538" i="3"/>
  <c r="O538" i="3"/>
  <c r="T537" i="3"/>
  <c r="S537" i="3"/>
  <c r="R537" i="3"/>
  <c r="Q537" i="3"/>
  <c r="P537" i="3"/>
  <c r="O537" i="3"/>
  <c r="T536" i="3"/>
  <c r="S536" i="3"/>
  <c r="R536" i="3"/>
  <c r="Q536" i="3"/>
  <c r="P536" i="3"/>
  <c r="O536" i="3"/>
  <c r="T535" i="3"/>
  <c r="S535" i="3"/>
  <c r="R535" i="3"/>
  <c r="Q535" i="3"/>
  <c r="P535" i="3"/>
  <c r="O535" i="3"/>
  <c r="T534" i="3"/>
  <c r="S534" i="3"/>
  <c r="R534" i="3"/>
  <c r="Q534" i="3"/>
  <c r="P534" i="3"/>
  <c r="O534" i="3"/>
  <c r="T533" i="3"/>
  <c r="S533" i="3"/>
  <c r="R533" i="3"/>
  <c r="Q533" i="3"/>
  <c r="P533" i="3"/>
  <c r="O533" i="3"/>
  <c r="T532" i="3"/>
  <c r="S532" i="3"/>
  <c r="R532" i="3"/>
  <c r="Q532" i="3"/>
  <c r="P532" i="3"/>
  <c r="O532" i="3"/>
  <c r="T531" i="3"/>
  <c r="S531" i="3"/>
  <c r="R531" i="3"/>
  <c r="Q531" i="3"/>
  <c r="P531" i="3"/>
  <c r="O531" i="3"/>
  <c r="T530" i="3"/>
  <c r="S530" i="3"/>
  <c r="R530" i="3"/>
  <c r="Q530" i="3"/>
  <c r="P530" i="3"/>
  <c r="O530" i="3"/>
  <c r="T529" i="3"/>
  <c r="S529" i="3"/>
  <c r="R529" i="3"/>
  <c r="Q529" i="3"/>
  <c r="P529" i="3"/>
  <c r="O529" i="3"/>
  <c r="T528" i="3"/>
  <c r="S528" i="3"/>
  <c r="R528" i="3"/>
  <c r="Q528" i="3"/>
  <c r="P528" i="3"/>
  <c r="O528" i="3"/>
  <c r="T527" i="3"/>
  <c r="S527" i="3"/>
  <c r="R527" i="3"/>
  <c r="Q527" i="3"/>
  <c r="P527" i="3"/>
  <c r="O527" i="3"/>
  <c r="T526" i="3"/>
  <c r="S526" i="3"/>
  <c r="R526" i="3"/>
  <c r="Q526" i="3"/>
  <c r="P526" i="3"/>
  <c r="O526" i="3"/>
  <c r="T525" i="3"/>
  <c r="S525" i="3"/>
  <c r="R525" i="3"/>
  <c r="Q525" i="3"/>
  <c r="P525" i="3"/>
  <c r="O525" i="3"/>
  <c r="T524" i="3"/>
  <c r="S524" i="3"/>
  <c r="R524" i="3"/>
  <c r="Q524" i="3"/>
  <c r="P524" i="3"/>
  <c r="O524" i="3"/>
  <c r="T523" i="3"/>
  <c r="S523" i="3"/>
  <c r="R523" i="3"/>
  <c r="Q523" i="3"/>
  <c r="P523" i="3"/>
  <c r="O523" i="3"/>
  <c r="T522" i="3"/>
  <c r="S522" i="3"/>
  <c r="R522" i="3"/>
  <c r="Q522" i="3"/>
  <c r="P522" i="3"/>
  <c r="O522" i="3"/>
  <c r="T521" i="3"/>
  <c r="S521" i="3"/>
  <c r="R521" i="3"/>
  <c r="Q521" i="3"/>
  <c r="P521" i="3"/>
  <c r="O521" i="3"/>
  <c r="T520" i="3"/>
  <c r="S520" i="3"/>
  <c r="R520" i="3"/>
  <c r="Q520" i="3"/>
  <c r="P520" i="3"/>
  <c r="O520" i="3"/>
  <c r="T519" i="3"/>
  <c r="S519" i="3"/>
  <c r="R519" i="3"/>
  <c r="Q519" i="3"/>
  <c r="P519" i="3"/>
  <c r="O519" i="3"/>
  <c r="T518" i="3"/>
  <c r="S518" i="3"/>
  <c r="R518" i="3"/>
  <c r="Q518" i="3"/>
  <c r="P518" i="3"/>
  <c r="O518" i="3"/>
  <c r="T517" i="3"/>
  <c r="S517" i="3"/>
  <c r="R517" i="3"/>
  <c r="Q517" i="3"/>
  <c r="P517" i="3"/>
  <c r="O517" i="3"/>
  <c r="T516" i="3"/>
  <c r="S516" i="3"/>
  <c r="R516" i="3"/>
  <c r="Q516" i="3"/>
  <c r="P516" i="3"/>
  <c r="O516" i="3"/>
  <c r="T515" i="3"/>
  <c r="S515" i="3"/>
  <c r="R515" i="3"/>
  <c r="Q515" i="3"/>
  <c r="P515" i="3"/>
  <c r="O515" i="3"/>
  <c r="T514" i="3"/>
  <c r="S514" i="3"/>
  <c r="R514" i="3"/>
  <c r="Q514" i="3"/>
  <c r="P514" i="3"/>
  <c r="O514" i="3"/>
  <c r="T513" i="3"/>
  <c r="S513" i="3"/>
  <c r="R513" i="3"/>
  <c r="Q513" i="3"/>
  <c r="P513" i="3"/>
  <c r="O513" i="3"/>
  <c r="T512" i="3"/>
  <c r="S512" i="3"/>
  <c r="R512" i="3"/>
  <c r="Q512" i="3"/>
  <c r="P512" i="3"/>
  <c r="O512" i="3"/>
  <c r="T511" i="3"/>
  <c r="S511" i="3"/>
  <c r="R511" i="3"/>
  <c r="Q511" i="3"/>
  <c r="P511" i="3"/>
  <c r="O511" i="3"/>
  <c r="T510" i="3"/>
  <c r="S510" i="3"/>
  <c r="R510" i="3"/>
  <c r="Q510" i="3"/>
  <c r="P510" i="3"/>
  <c r="O510" i="3"/>
  <c r="T509" i="3"/>
  <c r="S509" i="3"/>
  <c r="R509" i="3"/>
  <c r="Q509" i="3"/>
  <c r="P509" i="3"/>
  <c r="O509" i="3"/>
  <c r="T508" i="3"/>
  <c r="S508" i="3"/>
  <c r="R508" i="3"/>
  <c r="Q508" i="3"/>
  <c r="P508" i="3"/>
  <c r="O508" i="3"/>
  <c r="T507" i="3"/>
  <c r="S507" i="3"/>
  <c r="R507" i="3"/>
  <c r="Q507" i="3"/>
  <c r="P507" i="3"/>
  <c r="O507" i="3"/>
  <c r="T506" i="3"/>
  <c r="S506" i="3"/>
  <c r="R506" i="3"/>
  <c r="Q506" i="3"/>
  <c r="P506" i="3"/>
  <c r="O506" i="3"/>
  <c r="T505" i="3"/>
  <c r="S505" i="3"/>
  <c r="R505" i="3"/>
  <c r="Q505" i="3"/>
  <c r="P505" i="3"/>
  <c r="O505" i="3"/>
  <c r="T504" i="3"/>
  <c r="S504" i="3"/>
  <c r="R504" i="3"/>
  <c r="Q504" i="3"/>
  <c r="P504" i="3"/>
  <c r="O504" i="3"/>
  <c r="T503" i="3"/>
  <c r="S503" i="3"/>
  <c r="R503" i="3"/>
  <c r="Q503" i="3"/>
  <c r="P503" i="3"/>
  <c r="O503" i="3"/>
  <c r="T502" i="3"/>
  <c r="S502" i="3"/>
  <c r="R502" i="3"/>
  <c r="Q502" i="3"/>
  <c r="P502" i="3"/>
  <c r="O502" i="3"/>
  <c r="T501" i="3"/>
  <c r="S501" i="3"/>
  <c r="R501" i="3"/>
  <c r="Q501" i="3"/>
  <c r="P501" i="3"/>
  <c r="O501" i="3"/>
  <c r="T500" i="3"/>
  <c r="S500" i="3"/>
  <c r="R500" i="3"/>
  <c r="Q500" i="3"/>
  <c r="P500" i="3"/>
  <c r="O500" i="3"/>
  <c r="T499" i="3"/>
  <c r="S499" i="3"/>
  <c r="R499" i="3"/>
  <c r="Q499" i="3"/>
  <c r="P499" i="3"/>
  <c r="O499" i="3"/>
  <c r="T498" i="3"/>
  <c r="S498" i="3"/>
  <c r="R498" i="3"/>
  <c r="Q498" i="3"/>
  <c r="P498" i="3"/>
  <c r="O498" i="3"/>
  <c r="T497" i="3"/>
  <c r="S497" i="3"/>
  <c r="R497" i="3"/>
  <c r="Q497" i="3"/>
  <c r="P497" i="3"/>
  <c r="O497" i="3"/>
  <c r="T496" i="3"/>
  <c r="S496" i="3"/>
  <c r="R496" i="3"/>
  <c r="Q496" i="3"/>
  <c r="P496" i="3"/>
  <c r="O496" i="3"/>
  <c r="T495" i="3"/>
  <c r="S495" i="3"/>
  <c r="R495" i="3"/>
  <c r="Q495" i="3"/>
  <c r="P495" i="3"/>
  <c r="O495" i="3"/>
  <c r="T494" i="3"/>
  <c r="S494" i="3"/>
  <c r="R494" i="3"/>
  <c r="Q494" i="3"/>
  <c r="P494" i="3"/>
  <c r="O494" i="3"/>
  <c r="T493" i="3"/>
  <c r="S493" i="3"/>
  <c r="R493" i="3"/>
  <c r="Q493" i="3"/>
  <c r="P493" i="3"/>
  <c r="O493" i="3"/>
  <c r="T492" i="3"/>
  <c r="S492" i="3"/>
  <c r="R492" i="3"/>
  <c r="Q492" i="3"/>
  <c r="P492" i="3"/>
  <c r="O492" i="3"/>
  <c r="T491" i="3"/>
  <c r="S491" i="3"/>
  <c r="R491" i="3"/>
  <c r="Q491" i="3"/>
  <c r="P491" i="3"/>
  <c r="O491" i="3"/>
  <c r="T490" i="3"/>
  <c r="S490" i="3"/>
  <c r="R490" i="3"/>
  <c r="Q490" i="3"/>
  <c r="P490" i="3"/>
  <c r="O490" i="3"/>
  <c r="T489" i="3"/>
  <c r="S489" i="3"/>
  <c r="R489" i="3"/>
  <c r="Q489" i="3"/>
  <c r="P489" i="3"/>
  <c r="O489" i="3"/>
  <c r="T488" i="3"/>
  <c r="S488" i="3"/>
  <c r="R488" i="3"/>
  <c r="Q488" i="3"/>
  <c r="P488" i="3"/>
  <c r="O488" i="3"/>
  <c r="T487" i="3"/>
  <c r="S487" i="3"/>
  <c r="R487" i="3"/>
  <c r="Q487" i="3"/>
  <c r="P487" i="3"/>
  <c r="O487" i="3"/>
  <c r="T486" i="3"/>
  <c r="S486" i="3"/>
  <c r="R486" i="3"/>
  <c r="Q486" i="3"/>
  <c r="P486" i="3"/>
  <c r="O486" i="3"/>
  <c r="T485" i="3"/>
  <c r="S485" i="3"/>
  <c r="R485" i="3"/>
  <c r="Q485" i="3"/>
  <c r="P485" i="3"/>
  <c r="O485" i="3"/>
  <c r="T484" i="3"/>
  <c r="S484" i="3"/>
  <c r="R484" i="3"/>
  <c r="Q484" i="3"/>
  <c r="P484" i="3"/>
  <c r="O484" i="3"/>
  <c r="T483" i="3"/>
  <c r="S483" i="3"/>
  <c r="R483" i="3"/>
  <c r="Q483" i="3"/>
  <c r="P483" i="3"/>
  <c r="O483" i="3"/>
  <c r="T482" i="3"/>
  <c r="S482" i="3"/>
  <c r="R482" i="3"/>
  <c r="Q482" i="3"/>
  <c r="P482" i="3"/>
  <c r="O482" i="3"/>
  <c r="T481" i="3"/>
  <c r="S481" i="3"/>
  <c r="R481" i="3"/>
  <c r="Q481" i="3"/>
  <c r="P481" i="3"/>
  <c r="O481" i="3"/>
  <c r="T480" i="3"/>
  <c r="S480" i="3"/>
  <c r="R480" i="3"/>
  <c r="Q480" i="3"/>
  <c r="P480" i="3"/>
  <c r="O480" i="3"/>
  <c r="T479" i="3"/>
  <c r="S479" i="3"/>
  <c r="R479" i="3"/>
  <c r="Q479" i="3"/>
  <c r="P479" i="3"/>
  <c r="O479" i="3"/>
  <c r="T478" i="3"/>
  <c r="S478" i="3"/>
  <c r="R478" i="3"/>
  <c r="Q478" i="3"/>
  <c r="P478" i="3"/>
  <c r="O478" i="3"/>
  <c r="T477" i="3"/>
  <c r="S477" i="3"/>
  <c r="R477" i="3"/>
  <c r="Q477" i="3"/>
  <c r="P477" i="3"/>
  <c r="O477" i="3"/>
  <c r="T476" i="3"/>
  <c r="S476" i="3"/>
  <c r="R476" i="3"/>
  <c r="Q476" i="3"/>
  <c r="P476" i="3"/>
  <c r="O476" i="3"/>
  <c r="T475" i="3"/>
  <c r="S475" i="3"/>
  <c r="R475" i="3"/>
  <c r="Q475" i="3"/>
  <c r="P475" i="3"/>
  <c r="O475" i="3"/>
  <c r="T474" i="3"/>
  <c r="S474" i="3"/>
  <c r="R474" i="3"/>
  <c r="Q474" i="3"/>
  <c r="P474" i="3"/>
  <c r="O474" i="3"/>
  <c r="T473" i="3"/>
  <c r="S473" i="3"/>
  <c r="R473" i="3"/>
  <c r="Q473" i="3"/>
  <c r="P473" i="3"/>
  <c r="O473" i="3"/>
  <c r="T472" i="3"/>
  <c r="S472" i="3"/>
  <c r="R472" i="3"/>
  <c r="Q472" i="3"/>
  <c r="P472" i="3"/>
  <c r="O472" i="3"/>
  <c r="T471" i="3"/>
  <c r="S471" i="3"/>
  <c r="R471" i="3"/>
  <c r="Q471" i="3"/>
  <c r="P471" i="3"/>
  <c r="O471" i="3"/>
  <c r="T470" i="3"/>
  <c r="S470" i="3"/>
  <c r="R470" i="3"/>
  <c r="Q470" i="3"/>
  <c r="P470" i="3"/>
  <c r="O470" i="3"/>
  <c r="T469" i="3"/>
  <c r="S469" i="3"/>
  <c r="R469" i="3"/>
  <c r="Q469" i="3"/>
  <c r="P469" i="3"/>
  <c r="O469" i="3"/>
  <c r="T468" i="3"/>
  <c r="S468" i="3"/>
  <c r="R468" i="3"/>
  <c r="Q468" i="3"/>
  <c r="P468" i="3"/>
  <c r="O468" i="3"/>
  <c r="T467" i="3"/>
  <c r="S467" i="3"/>
  <c r="R467" i="3"/>
  <c r="Q467" i="3"/>
  <c r="P467" i="3"/>
  <c r="O467" i="3"/>
  <c r="T466" i="3"/>
  <c r="S466" i="3"/>
  <c r="R466" i="3"/>
  <c r="Q466" i="3"/>
  <c r="P466" i="3"/>
  <c r="O466" i="3"/>
  <c r="T465" i="3"/>
  <c r="S465" i="3"/>
  <c r="R465" i="3"/>
  <c r="Q465" i="3"/>
  <c r="P465" i="3"/>
  <c r="O465" i="3"/>
  <c r="T464" i="3"/>
  <c r="S464" i="3"/>
  <c r="R464" i="3"/>
  <c r="Q464" i="3"/>
  <c r="P464" i="3"/>
  <c r="O464" i="3"/>
  <c r="T463" i="3"/>
  <c r="S463" i="3"/>
  <c r="R463" i="3"/>
  <c r="Q463" i="3"/>
  <c r="P463" i="3"/>
  <c r="O463" i="3"/>
  <c r="T462" i="3"/>
  <c r="S462" i="3"/>
  <c r="R462" i="3"/>
  <c r="Q462" i="3"/>
  <c r="P462" i="3"/>
  <c r="O462" i="3"/>
  <c r="T461" i="3"/>
  <c r="S461" i="3"/>
  <c r="R461" i="3"/>
  <c r="Q461" i="3"/>
  <c r="P461" i="3"/>
  <c r="O461" i="3"/>
  <c r="T460" i="3"/>
  <c r="S460" i="3"/>
  <c r="R460" i="3"/>
  <c r="Q460" i="3"/>
  <c r="P460" i="3"/>
  <c r="O460" i="3"/>
  <c r="T459" i="3"/>
  <c r="S459" i="3"/>
  <c r="R459" i="3"/>
  <c r="Q459" i="3"/>
  <c r="P459" i="3"/>
  <c r="O459" i="3"/>
  <c r="T458" i="3"/>
  <c r="S458" i="3"/>
  <c r="R458" i="3"/>
  <c r="Q458" i="3"/>
  <c r="P458" i="3"/>
  <c r="O458" i="3"/>
  <c r="T457" i="3"/>
  <c r="S457" i="3"/>
  <c r="R457" i="3"/>
  <c r="Q457" i="3"/>
  <c r="P457" i="3"/>
  <c r="O457" i="3"/>
  <c r="T456" i="3"/>
  <c r="S456" i="3"/>
  <c r="R456" i="3"/>
  <c r="Q456" i="3"/>
  <c r="P456" i="3"/>
  <c r="O456" i="3"/>
  <c r="T455" i="3"/>
  <c r="S455" i="3"/>
  <c r="R455" i="3"/>
  <c r="Q455" i="3"/>
  <c r="P455" i="3"/>
  <c r="O455" i="3"/>
  <c r="T454" i="3"/>
  <c r="S454" i="3"/>
  <c r="R454" i="3"/>
  <c r="Q454" i="3"/>
  <c r="P454" i="3"/>
  <c r="O454" i="3"/>
  <c r="T453" i="3"/>
  <c r="S453" i="3"/>
  <c r="R453" i="3"/>
  <c r="Q453" i="3"/>
  <c r="P453" i="3"/>
  <c r="O453" i="3"/>
  <c r="T452" i="3"/>
  <c r="S452" i="3"/>
  <c r="R452" i="3"/>
  <c r="Q452" i="3"/>
  <c r="P452" i="3"/>
  <c r="O452" i="3"/>
  <c r="T451" i="3"/>
  <c r="S451" i="3"/>
  <c r="R451" i="3"/>
  <c r="Q451" i="3"/>
  <c r="P451" i="3"/>
  <c r="O451" i="3"/>
  <c r="T450" i="3"/>
  <c r="S450" i="3"/>
  <c r="R450" i="3"/>
  <c r="Q450" i="3"/>
  <c r="P450" i="3"/>
  <c r="O450" i="3"/>
  <c r="T449" i="3"/>
  <c r="S449" i="3"/>
  <c r="R449" i="3"/>
  <c r="Q449" i="3"/>
  <c r="P449" i="3"/>
  <c r="O449" i="3"/>
  <c r="T448" i="3"/>
  <c r="S448" i="3"/>
  <c r="R448" i="3"/>
  <c r="Q448" i="3"/>
  <c r="P448" i="3"/>
  <c r="O448" i="3"/>
  <c r="T447" i="3"/>
  <c r="S447" i="3"/>
  <c r="R447" i="3"/>
  <c r="Q447" i="3"/>
  <c r="P447" i="3"/>
  <c r="O447" i="3"/>
  <c r="T446" i="3"/>
  <c r="S446" i="3"/>
  <c r="R446" i="3"/>
  <c r="Q446" i="3"/>
  <c r="P446" i="3"/>
  <c r="O446" i="3"/>
  <c r="T445" i="3"/>
  <c r="S445" i="3"/>
  <c r="R445" i="3"/>
  <c r="Q445" i="3"/>
  <c r="P445" i="3"/>
  <c r="O445" i="3"/>
  <c r="T444" i="3"/>
  <c r="S444" i="3"/>
  <c r="R444" i="3"/>
  <c r="Q444" i="3"/>
  <c r="P444" i="3"/>
  <c r="O444" i="3"/>
  <c r="T443" i="3"/>
  <c r="S443" i="3"/>
  <c r="R443" i="3"/>
  <c r="Q443" i="3"/>
  <c r="P443" i="3"/>
  <c r="O443" i="3"/>
  <c r="T442" i="3"/>
  <c r="S442" i="3"/>
  <c r="R442" i="3"/>
  <c r="Q442" i="3"/>
  <c r="P442" i="3"/>
  <c r="O442" i="3"/>
  <c r="T441" i="3"/>
  <c r="S441" i="3"/>
  <c r="R441" i="3"/>
  <c r="Q441" i="3"/>
  <c r="P441" i="3"/>
  <c r="O441" i="3"/>
  <c r="T440" i="3"/>
  <c r="S440" i="3"/>
  <c r="R440" i="3"/>
  <c r="Q440" i="3"/>
  <c r="P440" i="3"/>
  <c r="O440" i="3"/>
  <c r="T439" i="3"/>
  <c r="S439" i="3"/>
  <c r="R439" i="3"/>
  <c r="Q439" i="3"/>
  <c r="P439" i="3"/>
  <c r="O439" i="3"/>
  <c r="T438" i="3"/>
  <c r="S438" i="3"/>
  <c r="R438" i="3"/>
  <c r="Q438" i="3"/>
  <c r="P438" i="3"/>
  <c r="O438" i="3"/>
  <c r="T437" i="3"/>
  <c r="S437" i="3"/>
  <c r="R437" i="3"/>
  <c r="Q437" i="3"/>
  <c r="P437" i="3"/>
  <c r="O437" i="3"/>
  <c r="T436" i="3"/>
  <c r="S436" i="3"/>
  <c r="R436" i="3"/>
  <c r="Q436" i="3"/>
  <c r="P436" i="3"/>
  <c r="O436" i="3"/>
  <c r="T435" i="3"/>
  <c r="S435" i="3"/>
  <c r="R435" i="3"/>
  <c r="Q435" i="3"/>
  <c r="P435" i="3"/>
  <c r="O435" i="3"/>
  <c r="T434" i="3"/>
  <c r="S434" i="3"/>
  <c r="R434" i="3"/>
  <c r="Q434" i="3"/>
  <c r="P434" i="3"/>
  <c r="O434" i="3"/>
  <c r="T433" i="3"/>
  <c r="S433" i="3"/>
  <c r="R433" i="3"/>
  <c r="Q433" i="3"/>
  <c r="P433" i="3"/>
  <c r="O433" i="3"/>
  <c r="T432" i="3"/>
  <c r="S432" i="3"/>
  <c r="R432" i="3"/>
  <c r="Q432" i="3"/>
  <c r="P432" i="3"/>
  <c r="O432" i="3"/>
  <c r="T431" i="3"/>
  <c r="S431" i="3"/>
  <c r="R431" i="3"/>
  <c r="Q431" i="3"/>
  <c r="P431" i="3"/>
  <c r="O431" i="3"/>
  <c r="T430" i="3"/>
  <c r="S430" i="3"/>
  <c r="R430" i="3"/>
  <c r="Q430" i="3"/>
  <c r="P430" i="3"/>
  <c r="O430" i="3"/>
  <c r="T429" i="3"/>
  <c r="S429" i="3"/>
  <c r="R429" i="3"/>
  <c r="Q429" i="3"/>
  <c r="P429" i="3"/>
  <c r="O429" i="3"/>
  <c r="T428" i="3"/>
  <c r="S428" i="3"/>
  <c r="R428" i="3"/>
  <c r="Q428" i="3"/>
  <c r="P428" i="3"/>
  <c r="O428" i="3"/>
  <c r="T427" i="3"/>
  <c r="S427" i="3"/>
  <c r="R427" i="3"/>
  <c r="Q427" i="3"/>
  <c r="P427" i="3"/>
  <c r="O427" i="3"/>
  <c r="T426" i="3"/>
  <c r="S426" i="3"/>
  <c r="R426" i="3"/>
  <c r="Q426" i="3"/>
  <c r="P426" i="3"/>
  <c r="O426" i="3"/>
  <c r="T425" i="3"/>
  <c r="S425" i="3"/>
  <c r="R425" i="3"/>
  <c r="Q425" i="3"/>
  <c r="P425" i="3"/>
  <c r="O425" i="3"/>
  <c r="T424" i="3"/>
  <c r="S424" i="3"/>
  <c r="R424" i="3"/>
  <c r="Q424" i="3"/>
  <c r="P424" i="3"/>
  <c r="O424" i="3"/>
  <c r="T423" i="3"/>
  <c r="S423" i="3"/>
  <c r="R423" i="3"/>
  <c r="Q423" i="3"/>
  <c r="P423" i="3"/>
  <c r="O423" i="3"/>
  <c r="T422" i="3"/>
  <c r="S422" i="3"/>
  <c r="R422" i="3"/>
  <c r="Q422" i="3"/>
  <c r="P422" i="3"/>
  <c r="O422" i="3"/>
  <c r="T421" i="3"/>
  <c r="S421" i="3"/>
  <c r="R421" i="3"/>
  <c r="Q421" i="3"/>
  <c r="P421" i="3"/>
  <c r="O421" i="3"/>
  <c r="T420" i="3"/>
  <c r="S420" i="3"/>
  <c r="R420" i="3"/>
  <c r="Q420" i="3"/>
  <c r="P420" i="3"/>
  <c r="O420" i="3"/>
  <c r="T419" i="3"/>
  <c r="S419" i="3"/>
  <c r="R419" i="3"/>
  <c r="Q419" i="3"/>
  <c r="P419" i="3"/>
  <c r="O419" i="3"/>
  <c r="T418" i="3"/>
  <c r="S418" i="3"/>
  <c r="R418" i="3"/>
  <c r="Q418" i="3"/>
  <c r="P418" i="3"/>
  <c r="O418" i="3"/>
  <c r="T417" i="3"/>
  <c r="S417" i="3"/>
  <c r="R417" i="3"/>
  <c r="Q417" i="3"/>
  <c r="P417" i="3"/>
  <c r="O417" i="3"/>
  <c r="T416" i="3"/>
  <c r="S416" i="3"/>
  <c r="R416" i="3"/>
  <c r="Q416" i="3"/>
  <c r="P416" i="3"/>
  <c r="O416" i="3"/>
  <c r="T415" i="3"/>
  <c r="S415" i="3"/>
  <c r="R415" i="3"/>
  <c r="Q415" i="3"/>
  <c r="P415" i="3"/>
  <c r="O415" i="3"/>
  <c r="T414" i="3"/>
  <c r="S414" i="3"/>
  <c r="R414" i="3"/>
  <c r="Q414" i="3"/>
  <c r="P414" i="3"/>
  <c r="O414" i="3"/>
  <c r="T413" i="3"/>
  <c r="S413" i="3"/>
  <c r="R413" i="3"/>
  <c r="Q413" i="3"/>
  <c r="P413" i="3"/>
  <c r="O413" i="3"/>
  <c r="T412" i="3"/>
  <c r="S412" i="3"/>
  <c r="R412" i="3"/>
  <c r="Q412" i="3"/>
  <c r="P412" i="3"/>
  <c r="O412" i="3"/>
  <c r="T411" i="3"/>
  <c r="S411" i="3"/>
  <c r="R411" i="3"/>
  <c r="Q411" i="3"/>
  <c r="P411" i="3"/>
  <c r="O411" i="3"/>
  <c r="T410" i="3"/>
  <c r="S410" i="3"/>
  <c r="R410" i="3"/>
  <c r="Q410" i="3"/>
  <c r="P410" i="3"/>
  <c r="O410" i="3"/>
  <c r="T409" i="3"/>
  <c r="S409" i="3"/>
  <c r="R409" i="3"/>
  <c r="Q409" i="3"/>
  <c r="P409" i="3"/>
  <c r="O409" i="3"/>
  <c r="T408" i="3"/>
  <c r="S408" i="3"/>
  <c r="R408" i="3"/>
  <c r="Q408" i="3"/>
  <c r="P408" i="3"/>
  <c r="O408" i="3"/>
  <c r="T407" i="3"/>
  <c r="S407" i="3"/>
  <c r="R407" i="3"/>
  <c r="Q407" i="3"/>
  <c r="P407" i="3"/>
  <c r="O407" i="3"/>
  <c r="T406" i="3"/>
  <c r="S406" i="3"/>
  <c r="R406" i="3"/>
  <c r="Q406" i="3"/>
  <c r="P406" i="3"/>
  <c r="O406" i="3"/>
  <c r="T405" i="3"/>
  <c r="S405" i="3"/>
  <c r="R405" i="3"/>
  <c r="Q405" i="3"/>
  <c r="P405" i="3"/>
  <c r="O405" i="3"/>
  <c r="T404" i="3"/>
  <c r="S404" i="3"/>
  <c r="R404" i="3"/>
  <c r="Q404" i="3"/>
  <c r="P404" i="3"/>
  <c r="O404" i="3"/>
  <c r="T403" i="3"/>
  <c r="S403" i="3"/>
  <c r="R403" i="3"/>
  <c r="Q403" i="3"/>
  <c r="P403" i="3"/>
  <c r="O403" i="3"/>
  <c r="T402" i="3"/>
  <c r="S402" i="3"/>
  <c r="R402" i="3"/>
  <c r="Q402" i="3"/>
  <c r="P402" i="3"/>
  <c r="O402" i="3"/>
  <c r="T401" i="3"/>
  <c r="S401" i="3"/>
  <c r="R401" i="3"/>
  <c r="Q401" i="3"/>
  <c r="P401" i="3"/>
  <c r="O401" i="3"/>
  <c r="T400" i="3"/>
  <c r="S400" i="3"/>
  <c r="R400" i="3"/>
  <c r="Q400" i="3"/>
  <c r="P400" i="3"/>
  <c r="O400" i="3"/>
  <c r="T399" i="3"/>
  <c r="S399" i="3"/>
  <c r="R399" i="3"/>
  <c r="Q399" i="3"/>
  <c r="P399" i="3"/>
  <c r="O399" i="3"/>
  <c r="T398" i="3"/>
  <c r="S398" i="3"/>
  <c r="R398" i="3"/>
  <c r="Q398" i="3"/>
  <c r="P398" i="3"/>
  <c r="O398" i="3"/>
  <c r="T397" i="3"/>
  <c r="S397" i="3"/>
  <c r="R397" i="3"/>
  <c r="Q397" i="3"/>
  <c r="P397" i="3"/>
  <c r="O397" i="3"/>
  <c r="T396" i="3"/>
  <c r="S396" i="3"/>
  <c r="R396" i="3"/>
  <c r="Q396" i="3"/>
  <c r="P396" i="3"/>
  <c r="O396" i="3"/>
  <c r="T395" i="3"/>
  <c r="S395" i="3"/>
  <c r="R395" i="3"/>
  <c r="Q395" i="3"/>
  <c r="P395" i="3"/>
  <c r="O395" i="3"/>
  <c r="T394" i="3"/>
  <c r="S394" i="3"/>
  <c r="R394" i="3"/>
  <c r="Q394" i="3"/>
  <c r="P394" i="3"/>
  <c r="O394" i="3"/>
  <c r="T393" i="3"/>
  <c r="S393" i="3"/>
  <c r="R393" i="3"/>
  <c r="Q393" i="3"/>
  <c r="P393" i="3"/>
  <c r="O393" i="3"/>
  <c r="T392" i="3"/>
  <c r="S392" i="3"/>
  <c r="R392" i="3"/>
  <c r="Q392" i="3"/>
  <c r="P392" i="3"/>
  <c r="O392" i="3"/>
  <c r="T391" i="3"/>
  <c r="S391" i="3"/>
  <c r="R391" i="3"/>
  <c r="Q391" i="3"/>
  <c r="P391" i="3"/>
  <c r="O391" i="3"/>
  <c r="T390" i="3"/>
  <c r="S390" i="3"/>
  <c r="R390" i="3"/>
  <c r="Q390" i="3"/>
  <c r="P390" i="3"/>
  <c r="O390" i="3"/>
  <c r="T389" i="3"/>
  <c r="S389" i="3"/>
  <c r="R389" i="3"/>
  <c r="Q389" i="3"/>
  <c r="P389" i="3"/>
  <c r="O389" i="3"/>
  <c r="T388" i="3"/>
  <c r="S388" i="3"/>
  <c r="R388" i="3"/>
  <c r="Q388" i="3"/>
  <c r="P388" i="3"/>
  <c r="O388" i="3"/>
  <c r="T387" i="3"/>
  <c r="S387" i="3"/>
  <c r="R387" i="3"/>
  <c r="Q387" i="3"/>
  <c r="P387" i="3"/>
  <c r="O387" i="3"/>
  <c r="T386" i="3"/>
  <c r="S386" i="3"/>
  <c r="R386" i="3"/>
  <c r="Q386" i="3"/>
  <c r="P386" i="3"/>
  <c r="O386" i="3"/>
  <c r="T385" i="3"/>
  <c r="S385" i="3"/>
  <c r="R385" i="3"/>
  <c r="Q385" i="3"/>
  <c r="P385" i="3"/>
  <c r="O385" i="3"/>
  <c r="T384" i="3"/>
  <c r="S384" i="3"/>
  <c r="R384" i="3"/>
  <c r="Q384" i="3"/>
  <c r="P384" i="3"/>
  <c r="O384" i="3"/>
  <c r="T383" i="3"/>
  <c r="S383" i="3"/>
  <c r="R383" i="3"/>
  <c r="Q383" i="3"/>
  <c r="P383" i="3"/>
  <c r="O383" i="3"/>
  <c r="T382" i="3"/>
  <c r="S382" i="3"/>
  <c r="R382" i="3"/>
  <c r="Q382" i="3"/>
  <c r="P382" i="3"/>
  <c r="O382" i="3"/>
  <c r="T381" i="3"/>
  <c r="S381" i="3"/>
  <c r="R381" i="3"/>
  <c r="Q381" i="3"/>
  <c r="P381" i="3"/>
  <c r="O381" i="3"/>
  <c r="T380" i="3"/>
  <c r="S380" i="3"/>
  <c r="R380" i="3"/>
  <c r="Q380" i="3"/>
  <c r="P380" i="3"/>
  <c r="O380" i="3"/>
  <c r="T379" i="3"/>
  <c r="S379" i="3"/>
  <c r="R379" i="3"/>
  <c r="Q379" i="3"/>
  <c r="P379" i="3"/>
  <c r="O379" i="3"/>
  <c r="T378" i="3"/>
  <c r="S378" i="3"/>
  <c r="R378" i="3"/>
  <c r="Q378" i="3"/>
  <c r="P378" i="3"/>
  <c r="O378" i="3"/>
  <c r="T377" i="3"/>
  <c r="S377" i="3"/>
  <c r="R377" i="3"/>
  <c r="Q377" i="3"/>
  <c r="P377" i="3"/>
  <c r="O377" i="3"/>
  <c r="T376" i="3"/>
  <c r="S376" i="3"/>
  <c r="R376" i="3"/>
  <c r="Q376" i="3"/>
  <c r="P376" i="3"/>
  <c r="O376" i="3"/>
  <c r="T375" i="3"/>
  <c r="S375" i="3"/>
  <c r="R375" i="3"/>
  <c r="Q375" i="3"/>
  <c r="P375" i="3"/>
  <c r="O375" i="3"/>
  <c r="T374" i="3"/>
  <c r="S374" i="3"/>
  <c r="R374" i="3"/>
  <c r="Q374" i="3"/>
  <c r="P374" i="3"/>
  <c r="O374" i="3"/>
  <c r="T373" i="3"/>
  <c r="S373" i="3"/>
  <c r="R373" i="3"/>
  <c r="Q373" i="3"/>
  <c r="P373" i="3"/>
  <c r="O373" i="3"/>
  <c r="T372" i="3"/>
  <c r="S372" i="3"/>
  <c r="R372" i="3"/>
  <c r="Q372" i="3"/>
  <c r="P372" i="3"/>
  <c r="O372" i="3"/>
  <c r="T371" i="3"/>
  <c r="S371" i="3"/>
  <c r="R371" i="3"/>
  <c r="Q371" i="3"/>
  <c r="P371" i="3"/>
  <c r="O371" i="3"/>
  <c r="T370" i="3"/>
  <c r="S370" i="3"/>
  <c r="R370" i="3"/>
  <c r="Q370" i="3"/>
  <c r="P370" i="3"/>
  <c r="O370" i="3"/>
  <c r="T369" i="3"/>
  <c r="S369" i="3"/>
  <c r="R369" i="3"/>
  <c r="Q369" i="3"/>
  <c r="P369" i="3"/>
  <c r="O369" i="3"/>
  <c r="T368" i="3"/>
  <c r="S368" i="3"/>
  <c r="R368" i="3"/>
  <c r="Q368" i="3"/>
  <c r="P368" i="3"/>
  <c r="O368" i="3"/>
  <c r="T367" i="3"/>
  <c r="S367" i="3"/>
  <c r="R367" i="3"/>
  <c r="Q367" i="3"/>
  <c r="P367" i="3"/>
  <c r="O367" i="3"/>
  <c r="T366" i="3"/>
  <c r="S366" i="3"/>
  <c r="R366" i="3"/>
  <c r="Q366" i="3"/>
  <c r="P366" i="3"/>
  <c r="O366" i="3"/>
  <c r="T365" i="3"/>
  <c r="S365" i="3"/>
  <c r="R365" i="3"/>
  <c r="Q365" i="3"/>
  <c r="P365" i="3"/>
  <c r="O365" i="3"/>
  <c r="T364" i="3"/>
  <c r="S364" i="3"/>
  <c r="R364" i="3"/>
  <c r="Q364" i="3"/>
  <c r="P364" i="3"/>
  <c r="O364" i="3"/>
  <c r="T363" i="3"/>
  <c r="S363" i="3"/>
  <c r="R363" i="3"/>
  <c r="Q363" i="3"/>
  <c r="P363" i="3"/>
  <c r="O363" i="3"/>
  <c r="T362" i="3"/>
  <c r="S362" i="3"/>
  <c r="R362" i="3"/>
  <c r="Q362" i="3"/>
  <c r="P362" i="3"/>
  <c r="O362" i="3"/>
  <c r="T361" i="3"/>
  <c r="S361" i="3"/>
  <c r="R361" i="3"/>
  <c r="Q361" i="3"/>
  <c r="P361" i="3"/>
  <c r="O361" i="3"/>
  <c r="T360" i="3"/>
  <c r="S360" i="3"/>
  <c r="R360" i="3"/>
  <c r="Q360" i="3"/>
  <c r="P360" i="3"/>
  <c r="O360" i="3"/>
  <c r="T359" i="3"/>
  <c r="S359" i="3"/>
  <c r="R359" i="3"/>
  <c r="Q359" i="3"/>
  <c r="P359" i="3"/>
  <c r="O359" i="3"/>
  <c r="T358" i="3"/>
  <c r="S358" i="3"/>
  <c r="R358" i="3"/>
  <c r="Q358" i="3"/>
  <c r="P358" i="3"/>
  <c r="O358" i="3"/>
  <c r="T357" i="3"/>
  <c r="S357" i="3"/>
  <c r="R357" i="3"/>
  <c r="Q357" i="3"/>
  <c r="P357" i="3"/>
  <c r="O357" i="3"/>
  <c r="T356" i="3"/>
  <c r="S356" i="3"/>
  <c r="R356" i="3"/>
  <c r="Q356" i="3"/>
  <c r="P356" i="3"/>
  <c r="O356" i="3"/>
  <c r="T355" i="3"/>
  <c r="S355" i="3"/>
  <c r="R355" i="3"/>
  <c r="Q355" i="3"/>
  <c r="P355" i="3"/>
  <c r="O355" i="3"/>
  <c r="T354" i="3"/>
  <c r="S354" i="3"/>
  <c r="R354" i="3"/>
  <c r="Q354" i="3"/>
  <c r="P354" i="3"/>
  <c r="O354" i="3"/>
  <c r="T353" i="3"/>
  <c r="S353" i="3"/>
  <c r="R353" i="3"/>
  <c r="Q353" i="3"/>
  <c r="P353" i="3"/>
  <c r="O353" i="3"/>
  <c r="T352" i="3"/>
  <c r="S352" i="3"/>
  <c r="R352" i="3"/>
  <c r="Q352" i="3"/>
  <c r="P352" i="3"/>
  <c r="O352" i="3"/>
  <c r="T351" i="3"/>
  <c r="S351" i="3"/>
  <c r="R351" i="3"/>
  <c r="Q351" i="3"/>
  <c r="P351" i="3"/>
  <c r="O351" i="3"/>
  <c r="T350" i="3"/>
  <c r="S350" i="3"/>
  <c r="R350" i="3"/>
  <c r="Q350" i="3"/>
  <c r="P350" i="3"/>
  <c r="O350" i="3"/>
  <c r="T349" i="3"/>
  <c r="S349" i="3"/>
  <c r="R349" i="3"/>
  <c r="Q349" i="3"/>
  <c r="P349" i="3"/>
  <c r="O349" i="3"/>
  <c r="T348" i="3"/>
  <c r="S348" i="3"/>
  <c r="R348" i="3"/>
  <c r="Q348" i="3"/>
  <c r="P348" i="3"/>
  <c r="O348" i="3"/>
  <c r="T347" i="3"/>
  <c r="S347" i="3"/>
  <c r="R347" i="3"/>
  <c r="Q347" i="3"/>
  <c r="P347" i="3"/>
  <c r="O347" i="3"/>
  <c r="T346" i="3"/>
  <c r="S346" i="3"/>
  <c r="R346" i="3"/>
  <c r="Q346" i="3"/>
  <c r="P346" i="3"/>
  <c r="O346" i="3"/>
  <c r="T345" i="3"/>
  <c r="S345" i="3"/>
  <c r="R345" i="3"/>
  <c r="Q345" i="3"/>
  <c r="P345" i="3"/>
  <c r="O345" i="3"/>
  <c r="T344" i="3"/>
  <c r="S344" i="3"/>
  <c r="R344" i="3"/>
  <c r="Q344" i="3"/>
  <c r="P344" i="3"/>
  <c r="O344" i="3"/>
  <c r="T343" i="3"/>
  <c r="S343" i="3"/>
  <c r="R343" i="3"/>
  <c r="Q343" i="3"/>
  <c r="P343" i="3"/>
  <c r="O343" i="3"/>
  <c r="T342" i="3"/>
  <c r="S342" i="3"/>
  <c r="R342" i="3"/>
  <c r="Q342" i="3"/>
  <c r="P342" i="3"/>
  <c r="O342" i="3"/>
  <c r="T341" i="3"/>
  <c r="S341" i="3"/>
  <c r="R341" i="3"/>
  <c r="Q341" i="3"/>
  <c r="P341" i="3"/>
  <c r="O341" i="3"/>
  <c r="T340" i="3"/>
  <c r="S340" i="3"/>
  <c r="R340" i="3"/>
  <c r="Q340" i="3"/>
  <c r="P340" i="3"/>
  <c r="O340" i="3"/>
  <c r="T339" i="3"/>
  <c r="S339" i="3"/>
  <c r="R339" i="3"/>
  <c r="Q339" i="3"/>
  <c r="P339" i="3"/>
  <c r="O339" i="3"/>
  <c r="T338" i="3"/>
  <c r="S338" i="3"/>
  <c r="R338" i="3"/>
  <c r="Q338" i="3"/>
  <c r="P338" i="3"/>
  <c r="O338" i="3"/>
  <c r="T337" i="3"/>
  <c r="S337" i="3"/>
  <c r="R337" i="3"/>
  <c r="Q337" i="3"/>
  <c r="P337" i="3"/>
  <c r="O337" i="3"/>
  <c r="T336" i="3"/>
  <c r="S336" i="3"/>
  <c r="R336" i="3"/>
  <c r="Q336" i="3"/>
  <c r="P336" i="3"/>
  <c r="O336" i="3"/>
  <c r="T335" i="3"/>
  <c r="S335" i="3"/>
  <c r="R335" i="3"/>
  <c r="Q335" i="3"/>
  <c r="P335" i="3"/>
  <c r="O335" i="3"/>
  <c r="T334" i="3"/>
  <c r="S334" i="3"/>
  <c r="R334" i="3"/>
  <c r="Q334" i="3"/>
  <c r="P334" i="3"/>
  <c r="O334" i="3"/>
  <c r="T333" i="3"/>
  <c r="S333" i="3"/>
  <c r="R333" i="3"/>
  <c r="Q333" i="3"/>
  <c r="P333" i="3"/>
  <c r="O333" i="3"/>
  <c r="T332" i="3"/>
  <c r="S332" i="3"/>
  <c r="R332" i="3"/>
  <c r="Q332" i="3"/>
  <c r="P332" i="3"/>
  <c r="O332" i="3"/>
  <c r="T331" i="3"/>
  <c r="S331" i="3"/>
  <c r="R331" i="3"/>
  <c r="Q331" i="3"/>
  <c r="P331" i="3"/>
  <c r="O331" i="3"/>
  <c r="T330" i="3"/>
  <c r="S330" i="3"/>
  <c r="R330" i="3"/>
  <c r="Q330" i="3"/>
  <c r="P330" i="3"/>
  <c r="O330" i="3"/>
  <c r="T329" i="3"/>
  <c r="S329" i="3"/>
  <c r="R329" i="3"/>
  <c r="Q329" i="3"/>
  <c r="P329" i="3"/>
  <c r="O329" i="3"/>
  <c r="T328" i="3"/>
  <c r="S328" i="3"/>
  <c r="R328" i="3"/>
  <c r="Q328" i="3"/>
  <c r="P328" i="3"/>
  <c r="O328" i="3"/>
  <c r="T327" i="3"/>
  <c r="S327" i="3"/>
  <c r="R327" i="3"/>
  <c r="Q327" i="3"/>
  <c r="P327" i="3"/>
  <c r="O327" i="3"/>
  <c r="T326" i="3"/>
  <c r="S326" i="3"/>
  <c r="R326" i="3"/>
  <c r="Q326" i="3"/>
  <c r="P326" i="3"/>
  <c r="O326" i="3"/>
  <c r="T325" i="3"/>
  <c r="S325" i="3"/>
  <c r="R325" i="3"/>
  <c r="Q325" i="3"/>
  <c r="P325" i="3"/>
  <c r="O325" i="3"/>
  <c r="T324" i="3"/>
  <c r="S324" i="3"/>
  <c r="R324" i="3"/>
  <c r="Q324" i="3"/>
  <c r="P324" i="3"/>
  <c r="O324" i="3"/>
  <c r="T323" i="3"/>
  <c r="S323" i="3"/>
  <c r="R323" i="3"/>
  <c r="Q323" i="3"/>
  <c r="P323" i="3"/>
  <c r="O323" i="3"/>
  <c r="T322" i="3"/>
  <c r="S322" i="3"/>
  <c r="R322" i="3"/>
  <c r="Q322" i="3"/>
  <c r="P322" i="3"/>
  <c r="O322" i="3"/>
  <c r="T321" i="3"/>
  <c r="S321" i="3"/>
  <c r="R321" i="3"/>
  <c r="Q321" i="3"/>
  <c r="P321" i="3"/>
  <c r="O321" i="3"/>
  <c r="T320" i="3"/>
  <c r="S320" i="3"/>
  <c r="R320" i="3"/>
  <c r="Q320" i="3"/>
  <c r="P320" i="3"/>
  <c r="O320" i="3"/>
  <c r="T319" i="3"/>
  <c r="S319" i="3"/>
  <c r="R319" i="3"/>
  <c r="Q319" i="3"/>
  <c r="P319" i="3"/>
  <c r="O319" i="3"/>
  <c r="T318" i="3"/>
  <c r="S318" i="3"/>
  <c r="R318" i="3"/>
  <c r="Q318" i="3"/>
  <c r="P318" i="3"/>
  <c r="O318" i="3"/>
  <c r="T317" i="3"/>
  <c r="S317" i="3"/>
  <c r="R317" i="3"/>
  <c r="Q317" i="3"/>
  <c r="P317" i="3"/>
  <c r="O317" i="3"/>
  <c r="T316" i="3"/>
  <c r="S316" i="3"/>
  <c r="R316" i="3"/>
  <c r="Q316" i="3"/>
  <c r="P316" i="3"/>
  <c r="O316" i="3"/>
  <c r="T315" i="3"/>
  <c r="S315" i="3"/>
  <c r="R315" i="3"/>
  <c r="Q315" i="3"/>
  <c r="P315" i="3"/>
  <c r="O315" i="3"/>
  <c r="T314" i="3"/>
  <c r="S314" i="3"/>
  <c r="R314" i="3"/>
  <c r="Q314" i="3"/>
  <c r="P314" i="3"/>
  <c r="O314" i="3"/>
  <c r="T313" i="3"/>
  <c r="S313" i="3"/>
  <c r="R313" i="3"/>
  <c r="Q313" i="3"/>
  <c r="P313" i="3"/>
  <c r="O313" i="3"/>
  <c r="T312" i="3"/>
  <c r="S312" i="3"/>
  <c r="R312" i="3"/>
  <c r="Q312" i="3"/>
  <c r="P312" i="3"/>
  <c r="O312" i="3"/>
  <c r="T311" i="3"/>
  <c r="S311" i="3"/>
  <c r="R311" i="3"/>
  <c r="Q311" i="3"/>
  <c r="P311" i="3"/>
  <c r="O311" i="3"/>
  <c r="T310" i="3"/>
  <c r="S310" i="3"/>
  <c r="R310" i="3"/>
  <c r="Q310" i="3"/>
  <c r="P310" i="3"/>
  <c r="O310" i="3"/>
  <c r="T309" i="3"/>
  <c r="S309" i="3"/>
  <c r="R309" i="3"/>
  <c r="Q309" i="3"/>
  <c r="P309" i="3"/>
  <c r="O309" i="3"/>
  <c r="T308" i="3"/>
  <c r="S308" i="3"/>
  <c r="R308" i="3"/>
  <c r="Q308" i="3"/>
  <c r="P308" i="3"/>
  <c r="O308" i="3"/>
  <c r="T307" i="3"/>
  <c r="S307" i="3"/>
  <c r="R307" i="3"/>
  <c r="Q307" i="3"/>
  <c r="P307" i="3"/>
  <c r="O307" i="3"/>
  <c r="T306" i="3"/>
  <c r="S306" i="3"/>
  <c r="R306" i="3"/>
  <c r="Q306" i="3"/>
  <c r="P306" i="3"/>
  <c r="O306" i="3"/>
  <c r="T305" i="3"/>
  <c r="S305" i="3"/>
  <c r="R305" i="3"/>
  <c r="Q305" i="3"/>
  <c r="P305" i="3"/>
  <c r="O305" i="3"/>
  <c r="T304" i="3"/>
  <c r="S304" i="3"/>
  <c r="R304" i="3"/>
  <c r="Q304" i="3"/>
  <c r="P304" i="3"/>
  <c r="O304" i="3"/>
  <c r="T303" i="3"/>
  <c r="S303" i="3"/>
  <c r="R303" i="3"/>
  <c r="Q303" i="3"/>
  <c r="P303" i="3"/>
  <c r="O303" i="3"/>
  <c r="T302" i="3"/>
  <c r="S302" i="3"/>
  <c r="R302" i="3"/>
  <c r="Q302" i="3"/>
  <c r="P302" i="3"/>
  <c r="O302" i="3"/>
  <c r="T301" i="3"/>
  <c r="S301" i="3"/>
  <c r="R301" i="3"/>
  <c r="Q301" i="3"/>
  <c r="P301" i="3"/>
  <c r="O301" i="3"/>
  <c r="T300" i="3"/>
  <c r="S300" i="3"/>
  <c r="R300" i="3"/>
  <c r="Q300" i="3"/>
  <c r="P300" i="3"/>
  <c r="O300" i="3"/>
  <c r="T299" i="3"/>
  <c r="S299" i="3"/>
  <c r="R299" i="3"/>
  <c r="Q299" i="3"/>
  <c r="P299" i="3"/>
  <c r="O299" i="3"/>
  <c r="T298" i="3"/>
  <c r="S298" i="3"/>
  <c r="R298" i="3"/>
  <c r="Q298" i="3"/>
  <c r="P298" i="3"/>
  <c r="O298" i="3"/>
  <c r="T297" i="3"/>
  <c r="S297" i="3"/>
  <c r="R297" i="3"/>
  <c r="Q297" i="3"/>
  <c r="P297" i="3"/>
  <c r="O297" i="3"/>
  <c r="T296" i="3"/>
  <c r="S296" i="3"/>
  <c r="R296" i="3"/>
  <c r="Q296" i="3"/>
  <c r="P296" i="3"/>
  <c r="O296" i="3"/>
  <c r="T295" i="3"/>
  <c r="S295" i="3"/>
  <c r="R295" i="3"/>
  <c r="Q295" i="3"/>
  <c r="P295" i="3"/>
  <c r="O295" i="3"/>
  <c r="T294" i="3"/>
  <c r="S294" i="3"/>
  <c r="R294" i="3"/>
  <c r="Q294" i="3"/>
  <c r="P294" i="3"/>
  <c r="O294" i="3"/>
  <c r="T293" i="3"/>
  <c r="S293" i="3"/>
  <c r="R293" i="3"/>
  <c r="Q293" i="3"/>
  <c r="P293" i="3"/>
  <c r="O293" i="3"/>
  <c r="T292" i="3"/>
  <c r="S292" i="3"/>
  <c r="R292" i="3"/>
  <c r="Q292" i="3"/>
  <c r="P292" i="3"/>
  <c r="O292" i="3"/>
  <c r="T291" i="3"/>
  <c r="S291" i="3"/>
  <c r="R291" i="3"/>
  <c r="Q291" i="3"/>
  <c r="P291" i="3"/>
  <c r="O291" i="3"/>
  <c r="T290" i="3"/>
  <c r="S290" i="3"/>
  <c r="R290" i="3"/>
  <c r="Q290" i="3"/>
  <c r="P290" i="3"/>
  <c r="O290" i="3"/>
  <c r="T289" i="3"/>
  <c r="S289" i="3"/>
  <c r="R289" i="3"/>
  <c r="Q289" i="3"/>
  <c r="P289" i="3"/>
  <c r="O289" i="3"/>
  <c r="T288" i="3"/>
  <c r="S288" i="3"/>
  <c r="R288" i="3"/>
  <c r="Q288" i="3"/>
  <c r="P288" i="3"/>
  <c r="O288" i="3"/>
  <c r="T287" i="3"/>
  <c r="S287" i="3"/>
  <c r="R287" i="3"/>
  <c r="Q287" i="3"/>
  <c r="P287" i="3"/>
  <c r="O287" i="3"/>
  <c r="T286" i="3"/>
  <c r="S286" i="3"/>
  <c r="R286" i="3"/>
  <c r="Q286" i="3"/>
  <c r="P286" i="3"/>
  <c r="O286" i="3"/>
  <c r="T285" i="3"/>
  <c r="S285" i="3"/>
  <c r="R285" i="3"/>
  <c r="Q285" i="3"/>
  <c r="P285" i="3"/>
  <c r="O285" i="3"/>
  <c r="T284" i="3"/>
  <c r="S284" i="3"/>
  <c r="R284" i="3"/>
  <c r="Q284" i="3"/>
  <c r="P284" i="3"/>
  <c r="O284" i="3"/>
  <c r="T283" i="3"/>
  <c r="S283" i="3"/>
  <c r="R283" i="3"/>
  <c r="Q283" i="3"/>
  <c r="P283" i="3"/>
  <c r="O283" i="3"/>
  <c r="T282" i="3"/>
  <c r="S282" i="3"/>
  <c r="R282" i="3"/>
  <c r="Q282" i="3"/>
  <c r="P282" i="3"/>
  <c r="O282" i="3"/>
  <c r="T281" i="3"/>
  <c r="S281" i="3"/>
  <c r="R281" i="3"/>
  <c r="Q281" i="3"/>
  <c r="P281" i="3"/>
  <c r="O281" i="3"/>
  <c r="T280" i="3"/>
  <c r="S280" i="3"/>
  <c r="R280" i="3"/>
  <c r="Q280" i="3"/>
  <c r="P280" i="3"/>
  <c r="O280" i="3"/>
  <c r="T279" i="3"/>
  <c r="S279" i="3"/>
  <c r="R279" i="3"/>
  <c r="Q279" i="3"/>
  <c r="P279" i="3"/>
  <c r="O279" i="3"/>
  <c r="T278" i="3"/>
  <c r="S278" i="3"/>
  <c r="R278" i="3"/>
  <c r="Q278" i="3"/>
  <c r="P278" i="3"/>
  <c r="O278" i="3"/>
  <c r="T277" i="3"/>
  <c r="S277" i="3"/>
  <c r="R277" i="3"/>
  <c r="Q277" i="3"/>
  <c r="P277" i="3"/>
  <c r="O277" i="3"/>
  <c r="T276" i="3"/>
  <c r="S276" i="3"/>
  <c r="R276" i="3"/>
  <c r="Q276" i="3"/>
  <c r="P276" i="3"/>
  <c r="O276" i="3"/>
  <c r="T275" i="3"/>
  <c r="S275" i="3"/>
  <c r="R275" i="3"/>
  <c r="Q275" i="3"/>
  <c r="P275" i="3"/>
  <c r="O275" i="3"/>
  <c r="T274" i="3"/>
  <c r="S274" i="3"/>
  <c r="R274" i="3"/>
  <c r="Q274" i="3"/>
  <c r="P274" i="3"/>
  <c r="O274" i="3"/>
  <c r="T273" i="3"/>
  <c r="S273" i="3"/>
  <c r="R273" i="3"/>
  <c r="Q273" i="3"/>
  <c r="P273" i="3"/>
  <c r="O273" i="3"/>
  <c r="T272" i="3"/>
  <c r="S272" i="3"/>
  <c r="R272" i="3"/>
  <c r="Q272" i="3"/>
  <c r="P272" i="3"/>
  <c r="O272" i="3"/>
  <c r="T271" i="3"/>
  <c r="S271" i="3"/>
  <c r="R271" i="3"/>
  <c r="Q271" i="3"/>
  <c r="P271" i="3"/>
  <c r="O271" i="3"/>
  <c r="T270" i="3"/>
  <c r="S270" i="3"/>
  <c r="R270" i="3"/>
  <c r="Q270" i="3"/>
  <c r="P270" i="3"/>
  <c r="O270" i="3"/>
  <c r="T269" i="3"/>
  <c r="S269" i="3"/>
  <c r="R269" i="3"/>
  <c r="Q269" i="3"/>
  <c r="P269" i="3"/>
  <c r="O269" i="3"/>
  <c r="T268" i="3"/>
  <c r="S268" i="3"/>
  <c r="R268" i="3"/>
  <c r="Q268" i="3"/>
  <c r="P268" i="3"/>
  <c r="O268" i="3"/>
  <c r="T267" i="3"/>
  <c r="S267" i="3"/>
  <c r="R267" i="3"/>
  <c r="Q267" i="3"/>
  <c r="P267" i="3"/>
  <c r="O267" i="3"/>
  <c r="T266" i="3"/>
  <c r="S266" i="3"/>
  <c r="R266" i="3"/>
  <c r="Q266" i="3"/>
  <c r="P266" i="3"/>
  <c r="O266" i="3"/>
  <c r="T265" i="3"/>
  <c r="S265" i="3"/>
  <c r="R265" i="3"/>
  <c r="Q265" i="3"/>
  <c r="P265" i="3"/>
  <c r="O265" i="3"/>
  <c r="T264" i="3"/>
  <c r="S264" i="3"/>
  <c r="R264" i="3"/>
  <c r="Q264" i="3"/>
  <c r="P264" i="3"/>
  <c r="O264" i="3"/>
  <c r="T263" i="3"/>
  <c r="S263" i="3"/>
  <c r="R263" i="3"/>
  <c r="Q263" i="3"/>
  <c r="P263" i="3"/>
  <c r="O263" i="3"/>
  <c r="T262" i="3"/>
  <c r="S262" i="3"/>
  <c r="R262" i="3"/>
  <c r="Q262" i="3"/>
  <c r="P262" i="3"/>
  <c r="O262" i="3"/>
  <c r="T261" i="3"/>
  <c r="S261" i="3"/>
  <c r="R261" i="3"/>
  <c r="Q261" i="3"/>
  <c r="P261" i="3"/>
  <c r="O261" i="3"/>
  <c r="T260" i="3"/>
  <c r="S260" i="3"/>
  <c r="R260" i="3"/>
  <c r="Q260" i="3"/>
  <c r="P260" i="3"/>
  <c r="O260" i="3"/>
  <c r="T259" i="3"/>
  <c r="S259" i="3"/>
  <c r="R259" i="3"/>
  <c r="Q259" i="3"/>
  <c r="P259" i="3"/>
  <c r="O259" i="3"/>
  <c r="T258" i="3"/>
  <c r="S258" i="3"/>
  <c r="R258" i="3"/>
  <c r="Q258" i="3"/>
  <c r="P258" i="3"/>
  <c r="O258" i="3"/>
  <c r="T257" i="3"/>
  <c r="S257" i="3"/>
  <c r="R257" i="3"/>
  <c r="Q257" i="3"/>
  <c r="P257" i="3"/>
  <c r="O257" i="3"/>
  <c r="T256" i="3"/>
  <c r="S256" i="3"/>
  <c r="R256" i="3"/>
  <c r="Q256" i="3"/>
  <c r="P256" i="3"/>
  <c r="O256" i="3"/>
  <c r="T255" i="3"/>
  <c r="S255" i="3"/>
  <c r="R255" i="3"/>
  <c r="Q255" i="3"/>
  <c r="P255" i="3"/>
  <c r="O255" i="3"/>
  <c r="T254" i="3"/>
  <c r="S254" i="3"/>
  <c r="R254" i="3"/>
  <c r="Q254" i="3"/>
  <c r="P254" i="3"/>
  <c r="O254" i="3"/>
  <c r="T253" i="3"/>
  <c r="S253" i="3"/>
  <c r="R253" i="3"/>
  <c r="Q253" i="3"/>
  <c r="P253" i="3"/>
  <c r="O253" i="3"/>
  <c r="T252" i="3"/>
  <c r="S252" i="3"/>
  <c r="R252" i="3"/>
  <c r="Q252" i="3"/>
  <c r="P252" i="3"/>
  <c r="O252" i="3"/>
  <c r="T251" i="3"/>
  <c r="S251" i="3"/>
  <c r="R251" i="3"/>
  <c r="Q251" i="3"/>
  <c r="P251" i="3"/>
  <c r="O251" i="3"/>
  <c r="T250" i="3"/>
  <c r="S250" i="3"/>
  <c r="R250" i="3"/>
  <c r="Q250" i="3"/>
  <c r="P250" i="3"/>
  <c r="O250" i="3"/>
  <c r="T249" i="3"/>
  <c r="S249" i="3"/>
  <c r="R249" i="3"/>
  <c r="Q249" i="3"/>
  <c r="P249" i="3"/>
  <c r="O249" i="3"/>
  <c r="T248" i="3"/>
  <c r="S248" i="3"/>
  <c r="R248" i="3"/>
  <c r="Q248" i="3"/>
  <c r="P248" i="3"/>
  <c r="O248" i="3"/>
  <c r="T247" i="3"/>
  <c r="S247" i="3"/>
  <c r="R247" i="3"/>
  <c r="Q247" i="3"/>
  <c r="P247" i="3"/>
  <c r="O247" i="3"/>
  <c r="T246" i="3"/>
  <c r="S246" i="3"/>
  <c r="R246" i="3"/>
  <c r="Q246" i="3"/>
  <c r="P246" i="3"/>
  <c r="O246" i="3"/>
  <c r="T245" i="3"/>
  <c r="S245" i="3"/>
  <c r="R245" i="3"/>
  <c r="Q245" i="3"/>
  <c r="P245" i="3"/>
  <c r="O245" i="3"/>
  <c r="T244" i="3"/>
  <c r="S244" i="3"/>
  <c r="R244" i="3"/>
  <c r="Q244" i="3"/>
  <c r="P244" i="3"/>
  <c r="O244" i="3"/>
  <c r="T243" i="3"/>
  <c r="S243" i="3"/>
  <c r="R243" i="3"/>
  <c r="Q243" i="3"/>
  <c r="P243" i="3"/>
  <c r="O243" i="3"/>
  <c r="T242" i="3"/>
  <c r="S242" i="3"/>
  <c r="R242" i="3"/>
  <c r="Q242" i="3"/>
  <c r="P242" i="3"/>
  <c r="O242" i="3"/>
  <c r="T241" i="3"/>
  <c r="S241" i="3"/>
  <c r="R241" i="3"/>
  <c r="Q241" i="3"/>
  <c r="P241" i="3"/>
  <c r="O241" i="3"/>
  <c r="T240" i="3"/>
  <c r="S240" i="3"/>
  <c r="R240" i="3"/>
  <c r="Q240" i="3"/>
  <c r="P240" i="3"/>
  <c r="O240" i="3"/>
  <c r="T239" i="3"/>
  <c r="S239" i="3"/>
  <c r="R239" i="3"/>
  <c r="Q239" i="3"/>
  <c r="P239" i="3"/>
  <c r="O239" i="3"/>
  <c r="T238" i="3"/>
  <c r="S238" i="3"/>
  <c r="R238" i="3"/>
  <c r="Q238" i="3"/>
  <c r="P238" i="3"/>
  <c r="O238" i="3"/>
  <c r="T237" i="3"/>
  <c r="S237" i="3"/>
  <c r="R237" i="3"/>
  <c r="Q237" i="3"/>
  <c r="P237" i="3"/>
  <c r="O237" i="3"/>
  <c r="T236" i="3"/>
  <c r="S236" i="3"/>
  <c r="R236" i="3"/>
  <c r="Q236" i="3"/>
  <c r="P236" i="3"/>
  <c r="O236" i="3"/>
  <c r="T235" i="3"/>
  <c r="S235" i="3"/>
  <c r="R235" i="3"/>
  <c r="Q235" i="3"/>
  <c r="P235" i="3"/>
  <c r="O235" i="3"/>
  <c r="T234" i="3"/>
  <c r="S234" i="3"/>
  <c r="R234" i="3"/>
  <c r="Q234" i="3"/>
  <c r="P234" i="3"/>
  <c r="O234" i="3"/>
  <c r="T233" i="3"/>
  <c r="S233" i="3"/>
  <c r="R233" i="3"/>
  <c r="Q233" i="3"/>
  <c r="P233" i="3"/>
  <c r="O233" i="3"/>
  <c r="T232" i="3"/>
  <c r="S232" i="3"/>
  <c r="R232" i="3"/>
  <c r="Q232" i="3"/>
  <c r="P232" i="3"/>
  <c r="O232" i="3"/>
  <c r="T231" i="3"/>
  <c r="S231" i="3"/>
  <c r="R231" i="3"/>
  <c r="Q231" i="3"/>
  <c r="P231" i="3"/>
  <c r="O231" i="3"/>
  <c r="T230" i="3"/>
  <c r="S230" i="3"/>
  <c r="R230" i="3"/>
  <c r="Q230" i="3"/>
  <c r="P230" i="3"/>
  <c r="O230" i="3"/>
  <c r="T229" i="3"/>
  <c r="S229" i="3"/>
  <c r="R229" i="3"/>
  <c r="Q229" i="3"/>
  <c r="P229" i="3"/>
  <c r="O229" i="3"/>
  <c r="T228" i="3"/>
  <c r="S228" i="3"/>
  <c r="R228" i="3"/>
  <c r="Q228" i="3"/>
  <c r="P228" i="3"/>
  <c r="O228" i="3"/>
  <c r="T227" i="3"/>
  <c r="S227" i="3"/>
  <c r="R227" i="3"/>
  <c r="Q227" i="3"/>
  <c r="P227" i="3"/>
  <c r="O227" i="3"/>
  <c r="T226" i="3"/>
  <c r="S226" i="3"/>
  <c r="R226" i="3"/>
  <c r="Q226" i="3"/>
  <c r="P226" i="3"/>
  <c r="O226" i="3"/>
  <c r="T225" i="3"/>
  <c r="S225" i="3"/>
  <c r="R225" i="3"/>
  <c r="Q225" i="3"/>
  <c r="P225" i="3"/>
  <c r="O225" i="3"/>
  <c r="T224" i="3"/>
  <c r="S224" i="3"/>
  <c r="R224" i="3"/>
  <c r="Q224" i="3"/>
  <c r="P224" i="3"/>
  <c r="O224" i="3"/>
  <c r="T223" i="3"/>
  <c r="S223" i="3"/>
  <c r="R223" i="3"/>
  <c r="Q223" i="3"/>
  <c r="P223" i="3"/>
  <c r="O223" i="3"/>
  <c r="T222" i="3"/>
  <c r="S222" i="3"/>
  <c r="R222" i="3"/>
  <c r="Q222" i="3"/>
  <c r="P222" i="3"/>
  <c r="O222" i="3"/>
  <c r="T221" i="3"/>
  <c r="S221" i="3"/>
  <c r="R221" i="3"/>
  <c r="Q221" i="3"/>
  <c r="P221" i="3"/>
  <c r="O221" i="3"/>
  <c r="T220" i="3"/>
  <c r="S220" i="3"/>
  <c r="R220" i="3"/>
  <c r="Q220" i="3"/>
  <c r="P220" i="3"/>
  <c r="O220" i="3"/>
  <c r="T219" i="3"/>
  <c r="S219" i="3"/>
  <c r="R219" i="3"/>
  <c r="Q219" i="3"/>
  <c r="P219" i="3"/>
  <c r="O219" i="3"/>
  <c r="T218" i="3"/>
  <c r="S218" i="3"/>
  <c r="R218" i="3"/>
  <c r="Q218" i="3"/>
  <c r="P218" i="3"/>
  <c r="O218" i="3"/>
  <c r="T217" i="3"/>
  <c r="S217" i="3"/>
  <c r="R217" i="3"/>
  <c r="Q217" i="3"/>
  <c r="P217" i="3"/>
  <c r="O217" i="3"/>
  <c r="T216" i="3"/>
  <c r="S216" i="3"/>
  <c r="R216" i="3"/>
  <c r="Q216" i="3"/>
  <c r="P216" i="3"/>
  <c r="O216" i="3"/>
  <c r="T215" i="3"/>
  <c r="S215" i="3"/>
  <c r="R215" i="3"/>
  <c r="Q215" i="3"/>
  <c r="P215" i="3"/>
  <c r="O215" i="3"/>
  <c r="T214" i="3"/>
  <c r="S214" i="3"/>
  <c r="R214" i="3"/>
  <c r="Q214" i="3"/>
  <c r="P214" i="3"/>
  <c r="O214" i="3"/>
  <c r="T213" i="3"/>
  <c r="S213" i="3"/>
  <c r="R213" i="3"/>
  <c r="Q213" i="3"/>
  <c r="P213" i="3"/>
  <c r="O213" i="3"/>
  <c r="T212" i="3"/>
  <c r="S212" i="3"/>
  <c r="R212" i="3"/>
  <c r="Q212" i="3"/>
  <c r="P212" i="3"/>
  <c r="O212" i="3"/>
  <c r="T211" i="3"/>
  <c r="S211" i="3"/>
  <c r="R211" i="3"/>
  <c r="Q211" i="3"/>
  <c r="P211" i="3"/>
  <c r="O211" i="3"/>
  <c r="T210" i="3"/>
  <c r="S210" i="3"/>
  <c r="R210" i="3"/>
  <c r="Q210" i="3"/>
  <c r="P210" i="3"/>
  <c r="O210" i="3"/>
  <c r="T209" i="3"/>
  <c r="S209" i="3"/>
  <c r="R209" i="3"/>
  <c r="Q209" i="3"/>
  <c r="P209" i="3"/>
  <c r="O209" i="3"/>
  <c r="T208" i="3"/>
  <c r="S208" i="3"/>
  <c r="R208" i="3"/>
  <c r="Q208" i="3"/>
  <c r="P208" i="3"/>
  <c r="O208" i="3"/>
  <c r="T207" i="3"/>
  <c r="S207" i="3"/>
  <c r="R207" i="3"/>
  <c r="Q207" i="3"/>
  <c r="P207" i="3"/>
  <c r="O207" i="3"/>
  <c r="T206" i="3"/>
  <c r="S206" i="3"/>
  <c r="R206" i="3"/>
  <c r="Q206" i="3"/>
  <c r="P206" i="3"/>
  <c r="O206" i="3"/>
  <c r="T205" i="3"/>
  <c r="S205" i="3"/>
  <c r="R205" i="3"/>
  <c r="Q205" i="3"/>
  <c r="P205" i="3"/>
  <c r="O205" i="3"/>
  <c r="T204" i="3"/>
  <c r="S204" i="3"/>
  <c r="R204" i="3"/>
  <c r="Q204" i="3"/>
  <c r="P204" i="3"/>
  <c r="O204" i="3"/>
  <c r="T203" i="3"/>
  <c r="S203" i="3"/>
  <c r="R203" i="3"/>
  <c r="Q203" i="3"/>
  <c r="P203" i="3"/>
  <c r="O203" i="3"/>
  <c r="T202" i="3"/>
  <c r="S202" i="3"/>
  <c r="R202" i="3"/>
  <c r="Q202" i="3"/>
  <c r="P202" i="3"/>
  <c r="O202" i="3"/>
  <c r="T201" i="3"/>
  <c r="S201" i="3"/>
  <c r="R201" i="3"/>
  <c r="Q201" i="3"/>
  <c r="P201" i="3"/>
  <c r="O201" i="3"/>
  <c r="T200" i="3"/>
  <c r="S200" i="3"/>
  <c r="R200" i="3"/>
  <c r="Q200" i="3"/>
  <c r="P200" i="3"/>
  <c r="O200" i="3"/>
  <c r="T199" i="3"/>
  <c r="S199" i="3"/>
  <c r="R199" i="3"/>
  <c r="Q199" i="3"/>
  <c r="P199" i="3"/>
  <c r="O199" i="3"/>
  <c r="T198" i="3"/>
  <c r="S198" i="3"/>
  <c r="R198" i="3"/>
  <c r="Q198" i="3"/>
  <c r="P198" i="3"/>
  <c r="O198" i="3"/>
  <c r="T197" i="3"/>
  <c r="S197" i="3"/>
  <c r="R197" i="3"/>
  <c r="Q197" i="3"/>
  <c r="P197" i="3"/>
  <c r="O197" i="3"/>
  <c r="T196" i="3"/>
  <c r="S196" i="3"/>
  <c r="R196" i="3"/>
  <c r="Q196" i="3"/>
  <c r="P196" i="3"/>
  <c r="O196" i="3"/>
  <c r="T195" i="3"/>
  <c r="S195" i="3"/>
  <c r="R195" i="3"/>
  <c r="Q195" i="3"/>
  <c r="P195" i="3"/>
  <c r="O195" i="3"/>
  <c r="T194" i="3"/>
  <c r="S194" i="3"/>
  <c r="R194" i="3"/>
  <c r="Q194" i="3"/>
  <c r="P194" i="3"/>
  <c r="O194" i="3"/>
  <c r="T193" i="3"/>
  <c r="S193" i="3"/>
  <c r="R193" i="3"/>
  <c r="Q193" i="3"/>
  <c r="P193" i="3"/>
  <c r="O193" i="3"/>
  <c r="T192" i="3"/>
  <c r="S192" i="3"/>
  <c r="R192" i="3"/>
  <c r="Q192" i="3"/>
  <c r="P192" i="3"/>
  <c r="O192" i="3"/>
  <c r="T191" i="3"/>
  <c r="S191" i="3"/>
  <c r="R191" i="3"/>
  <c r="Q191" i="3"/>
  <c r="P191" i="3"/>
  <c r="O191" i="3"/>
  <c r="T190" i="3"/>
  <c r="S190" i="3"/>
  <c r="R190" i="3"/>
  <c r="Q190" i="3"/>
  <c r="P190" i="3"/>
  <c r="O190" i="3"/>
  <c r="T189" i="3"/>
  <c r="S189" i="3"/>
  <c r="R189" i="3"/>
  <c r="Q189" i="3"/>
  <c r="P189" i="3"/>
  <c r="O189" i="3"/>
  <c r="T188" i="3"/>
  <c r="S188" i="3"/>
  <c r="R188" i="3"/>
  <c r="Q188" i="3"/>
  <c r="P188" i="3"/>
  <c r="O188" i="3"/>
  <c r="T187" i="3"/>
  <c r="S187" i="3"/>
  <c r="R187" i="3"/>
  <c r="Q187" i="3"/>
  <c r="P187" i="3"/>
  <c r="O187" i="3"/>
  <c r="T186" i="3"/>
  <c r="S186" i="3"/>
  <c r="R186" i="3"/>
  <c r="Q186" i="3"/>
  <c r="P186" i="3"/>
  <c r="O186" i="3"/>
  <c r="T185" i="3"/>
  <c r="S185" i="3"/>
  <c r="R185" i="3"/>
  <c r="Q185" i="3"/>
  <c r="P185" i="3"/>
  <c r="O185" i="3"/>
  <c r="T184" i="3"/>
  <c r="S184" i="3"/>
  <c r="R184" i="3"/>
  <c r="Q184" i="3"/>
  <c r="P184" i="3"/>
  <c r="O184" i="3"/>
  <c r="T183" i="3"/>
  <c r="S183" i="3"/>
  <c r="R183" i="3"/>
  <c r="Q183" i="3"/>
  <c r="P183" i="3"/>
  <c r="O183" i="3"/>
  <c r="T182" i="3"/>
  <c r="S182" i="3"/>
  <c r="R182" i="3"/>
  <c r="Q182" i="3"/>
  <c r="P182" i="3"/>
  <c r="O182" i="3"/>
  <c r="T181" i="3"/>
  <c r="S181" i="3"/>
  <c r="R181" i="3"/>
  <c r="Q181" i="3"/>
  <c r="P181" i="3"/>
  <c r="O181" i="3"/>
  <c r="T180" i="3"/>
  <c r="S180" i="3"/>
  <c r="R180" i="3"/>
  <c r="Q180" i="3"/>
  <c r="P180" i="3"/>
  <c r="O180" i="3"/>
  <c r="T179" i="3"/>
  <c r="S179" i="3"/>
  <c r="R179" i="3"/>
  <c r="Q179" i="3"/>
  <c r="P179" i="3"/>
  <c r="O179" i="3"/>
  <c r="T178" i="3"/>
  <c r="S178" i="3"/>
  <c r="R178" i="3"/>
  <c r="Q178" i="3"/>
  <c r="P178" i="3"/>
  <c r="O178" i="3"/>
  <c r="T177" i="3"/>
  <c r="S177" i="3"/>
  <c r="R177" i="3"/>
  <c r="Q177" i="3"/>
  <c r="P177" i="3"/>
  <c r="O177" i="3"/>
  <c r="T176" i="3"/>
  <c r="S176" i="3"/>
  <c r="R176" i="3"/>
  <c r="Q176" i="3"/>
  <c r="P176" i="3"/>
  <c r="O176" i="3"/>
  <c r="T175" i="3"/>
  <c r="S175" i="3"/>
  <c r="R175" i="3"/>
  <c r="Q175" i="3"/>
  <c r="P175" i="3"/>
  <c r="O175" i="3"/>
  <c r="T174" i="3"/>
  <c r="S174" i="3"/>
  <c r="R174" i="3"/>
  <c r="Q174" i="3"/>
  <c r="P174" i="3"/>
  <c r="O174" i="3"/>
  <c r="T173" i="3"/>
  <c r="S173" i="3"/>
  <c r="R173" i="3"/>
  <c r="Q173" i="3"/>
  <c r="P173" i="3"/>
  <c r="O173" i="3"/>
  <c r="T172" i="3"/>
  <c r="S172" i="3"/>
  <c r="R172" i="3"/>
  <c r="Q172" i="3"/>
  <c r="P172" i="3"/>
  <c r="O172" i="3"/>
  <c r="T171" i="3"/>
  <c r="S171" i="3"/>
  <c r="R171" i="3"/>
  <c r="Q171" i="3"/>
  <c r="P171" i="3"/>
  <c r="O171" i="3"/>
  <c r="T170" i="3"/>
  <c r="S170" i="3"/>
  <c r="R170" i="3"/>
  <c r="Q170" i="3"/>
  <c r="P170" i="3"/>
  <c r="O170" i="3"/>
  <c r="T169" i="3"/>
  <c r="S169" i="3"/>
  <c r="R169" i="3"/>
  <c r="Q169" i="3"/>
  <c r="P169" i="3"/>
  <c r="O169" i="3"/>
  <c r="T168" i="3"/>
  <c r="S168" i="3"/>
  <c r="R168" i="3"/>
  <c r="Q168" i="3"/>
  <c r="P168" i="3"/>
  <c r="O168" i="3"/>
  <c r="T167" i="3"/>
  <c r="S167" i="3"/>
  <c r="R167" i="3"/>
  <c r="Q167" i="3"/>
  <c r="P167" i="3"/>
  <c r="O167" i="3"/>
  <c r="T166" i="3"/>
  <c r="S166" i="3"/>
  <c r="R166" i="3"/>
  <c r="Q166" i="3"/>
  <c r="P166" i="3"/>
  <c r="O166" i="3"/>
  <c r="T165" i="3"/>
  <c r="S165" i="3"/>
  <c r="R165" i="3"/>
  <c r="Q165" i="3"/>
  <c r="P165" i="3"/>
  <c r="O165" i="3"/>
  <c r="T164" i="3"/>
  <c r="S164" i="3"/>
  <c r="R164" i="3"/>
  <c r="Q164" i="3"/>
  <c r="P164" i="3"/>
  <c r="O164" i="3"/>
  <c r="T163" i="3"/>
  <c r="S163" i="3"/>
  <c r="R163" i="3"/>
  <c r="Q163" i="3"/>
  <c r="P163" i="3"/>
  <c r="O163" i="3"/>
  <c r="T162" i="3"/>
  <c r="S162" i="3"/>
  <c r="R162" i="3"/>
  <c r="Q162" i="3"/>
  <c r="P162" i="3"/>
  <c r="O162" i="3"/>
  <c r="T161" i="3"/>
  <c r="S161" i="3"/>
  <c r="R161" i="3"/>
  <c r="Q161" i="3"/>
  <c r="P161" i="3"/>
  <c r="O161" i="3"/>
  <c r="T160" i="3"/>
  <c r="S160" i="3"/>
  <c r="R160" i="3"/>
  <c r="Q160" i="3"/>
  <c r="P160" i="3"/>
  <c r="O160" i="3"/>
  <c r="T159" i="3"/>
  <c r="S159" i="3"/>
  <c r="R159" i="3"/>
  <c r="Q159" i="3"/>
  <c r="P159" i="3"/>
  <c r="O159" i="3"/>
  <c r="T158" i="3"/>
  <c r="S158" i="3"/>
  <c r="R158" i="3"/>
  <c r="Q158" i="3"/>
  <c r="P158" i="3"/>
  <c r="O158" i="3"/>
  <c r="T157" i="3"/>
  <c r="S157" i="3"/>
  <c r="R157" i="3"/>
  <c r="Q157" i="3"/>
  <c r="P157" i="3"/>
  <c r="O157" i="3"/>
  <c r="T156" i="3"/>
  <c r="S156" i="3"/>
  <c r="R156" i="3"/>
  <c r="Q156" i="3"/>
  <c r="P156" i="3"/>
  <c r="O156" i="3"/>
  <c r="T155" i="3"/>
  <c r="S155" i="3"/>
  <c r="R155" i="3"/>
  <c r="Q155" i="3"/>
  <c r="P155" i="3"/>
  <c r="O155" i="3"/>
  <c r="T154" i="3"/>
  <c r="S154" i="3"/>
  <c r="R154" i="3"/>
  <c r="Q154" i="3"/>
  <c r="P154" i="3"/>
  <c r="O154" i="3"/>
  <c r="T153" i="3"/>
  <c r="S153" i="3"/>
  <c r="R153" i="3"/>
  <c r="Q153" i="3"/>
  <c r="P153" i="3"/>
  <c r="O153" i="3"/>
  <c r="T152" i="3"/>
  <c r="S152" i="3"/>
  <c r="R152" i="3"/>
  <c r="Q152" i="3"/>
  <c r="P152" i="3"/>
  <c r="O152" i="3"/>
  <c r="T151" i="3"/>
  <c r="S151" i="3"/>
  <c r="R151" i="3"/>
  <c r="Q151" i="3"/>
  <c r="P151" i="3"/>
  <c r="O151" i="3"/>
  <c r="T150" i="3"/>
  <c r="S150" i="3"/>
  <c r="R150" i="3"/>
  <c r="Q150" i="3"/>
  <c r="P150" i="3"/>
  <c r="O150" i="3"/>
  <c r="T149" i="3"/>
  <c r="S149" i="3"/>
  <c r="R149" i="3"/>
  <c r="Q149" i="3"/>
  <c r="P149" i="3"/>
  <c r="O149" i="3"/>
  <c r="T148" i="3"/>
  <c r="S148" i="3"/>
  <c r="R148" i="3"/>
  <c r="Q148" i="3"/>
  <c r="P148" i="3"/>
  <c r="O148" i="3"/>
  <c r="T147" i="3"/>
  <c r="S147" i="3"/>
  <c r="R147" i="3"/>
  <c r="Q147" i="3"/>
  <c r="P147" i="3"/>
  <c r="O147" i="3"/>
  <c r="T146" i="3"/>
  <c r="S146" i="3"/>
  <c r="R146" i="3"/>
  <c r="Q146" i="3"/>
  <c r="P146" i="3"/>
  <c r="O146" i="3"/>
  <c r="T145" i="3"/>
  <c r="S145" i="3"/>
  <c r="R145" i="3"/>
  <c r="Q145" i="3"/>
  <c r="P145" i="3"/>
  <c r="O145" i="3"/>
  <c r="T144" i="3"/>
  <c r="S144" i="3"/>
  <c r="R144" i="3"/>
  <c r="Q144" i="3"/>
  <c r="P144" i="3"/>
  <c r="O144" i="3"/>
  <c r="T143" i="3"/>
  <c r="S143" i="3"/>
  <c r="R143" i="3"/>
  <c r="Q143" i="3"/>
  <c r="P143" i="3"/>
  <c r="O143" i="3"/>
  <c r="T142" i="3"/>
  <c r="S142" i="3"/>
  <c r="R142" i="3"/>
  <c r="Q142" i="3"/>
  <c r="P142" i="3"/>
  <c r="O142" i="3"/>
  <c r="T141" i="3"/>
  <c r="S141" i="3"/>
  <c r="R141" i="3"/>
  <c r="Q141" i="3"/>
  <c r="P141" i="3"/>
  <c r="O141" i="3"/>
  <c r="T140" i="3"/>
  <c r="S140" i="3"/>
  <c r="R140" i="3"/>
  <c r="Q140" i="3"/>
  <c r="P140" i="3"/>
  <c r="O140" i="3"/>
  <c r="T139" i="3"/>
  <c r="S139" i="3"/>
  <c r="R139" i="3"/>
  <c r="Q139" i="3"/>
  <c r="P139" i="3"/>
  <c r="O139" i="3"/>
  <c r="T138" i="3"/>
  <c r="S138" i="3"/>
  <c r="R138" i="3"/>
  <c r="Q138" i="3"/>
  <c r="P138" i="3"/>
  <c r="O138" i="3"/>
  <c r="T137" i="3"/>
  <c r="S137" i="3"/>
  <c r="R137" i="3"/>
  <c r="Q137" i="3"/>
  <c r="P137" i="3"/>
  <c r="O137" i="3"/>
  <c r="T136" i="3"/>
  <c r="S136" i="3"/>
  <c r="R136" i="3"/>
  <c r="Q136" i="3"/>
  <c r="P136" i="3"/>
  <c r="O136" i="3"/>
  <c r="T135" i="3"/>
  <c r="S135" i="3"/>
  <c r="R135" i="3"/>
  <c r="Q135" i="3"/>
  <c r="P135" i="3"/>
  <c r="O135" i="3"/>
  <c r="T134" i="3"/>
  <c r="S134" i="3"/>
  <c r="R134" i="3"/>
  <c r="Q134" i="3"/>
  <c r="P134" i="3"/>
  <c r="O134" i="3"/>
  <c r="T133" i="3"/>
  <c r="S133" i="3"/>
  <c r="R133" i="3"/>
  <c r="Q133" i="3"/>
  <c r="P133" i="3"/>
  <c r="O133" i="3"/>
  <c r="T132" i="3"/>
  <c r="S132" i="3"/>
  <c r="R132" i="3"/>
  <c r="Q132" i="3"/>
  <c r="P132" i="3"/>
  <c r="O132" i="3"/>
  <c r="T131" i="3"/>
  <c r="S131" i="3"/>
  <c r="R131" i="3"/>
  <c r="Q131" i="3"/>
  <c r="P131" i="3"/>
  <c r="O131" i="3"/>
  <c r="T130" i="3"/>
  <c r="S130" i="3"/>
  <c r="R130" i="3"/>
  <c r="Q130" i="3"/>
  <c r="P130" i="3"/>
  <c r="O130" i="3"/>
  <c r="T129" i="3"/>
  <c r="S129" i="3"/>
  <c r="R129" i="3"/>
  <c r="Q129" i="3"/>
  <c r="P129" i="3"/>
  <c r="O129" i="3"/>
  <c r="T128" i="3"/>
  <c r="S128" i="3"/>
  <c r="R128" i="3"/>
  <c r="Q128" i="3"/>
  <c r="P128" i="3"/>
  <c r="O128" i="3"/>
  <c r="T127" i="3"/>
  <c r="S127" i="3"/>
  <c r="R127" i="3"/>
  <c r="Q127" i="3"/>
  <c r="P127" i="3"/>
  <c r="O127" i="3"/>
  <c r="T126" i="3"/>
  <c r="S126" i="3"/>
  <c r="R126" i="3"/>
  <c r="Q126" i="3"/>
  <c r="P126" i="3"/>
  <c r="O126" i="3"/>
  <c r="T125" i="3"/>
  <c r="S125" i="3"/>
  <c r="R125" i="3"/>
  <c r="Q125" i="3"/>
  <c r="P125" i="3"/>
  <c r="O125" i="3"/>
  <c r="T124" i="3"/>
  <c r="S124" i="3"/>
  <c r="R124" i="3"/>
  <c r="Q124" i="3"/>
  <c r="P124" i="3"/>
  <c r="O124" i="3"/>
  <c r="T123" i="3"/>
  <c r="S123" i="3"/>
  <c r="R123" i="3"/>
  <c r="Q123" i="3"/>
  <c r="P123" i="3"/>
  <c r="O123" i="3"/>
  <c r="T122" i="3"/>
  <c r="S122" i="3"/>
  <c r="R122" i="3"/>
  <c r="Q122" i="3"/>
  <c r="P122" i="3"/>
  <c r="O122" i="3"/>
  <c r="T121" i="3"/>
  <c r="S121" i="3"/>
  <c r="R121" i="3"/>
  <c r="Q121" i="3"/>
  <c r="P121" i="3"/>
  <c r="O121" i="3"/>
  <c r="T120" i="3"/>
  <c r="S120" i="3"/>
  <c r="R120" i="3"/>
  <c r="Q120" i="3"/>
  <c r="P120" i="3"/>
  <c r="O120" i="3"/>
  <c r="T119" i="3"/>
  <c r="S119" i="3"/>
  <c r="R119" i="3"/>
  <c r="Q119" i="3"/>
  <c r="P119" i="3"/>
  <c r="O119" i="3"/>
  <c r="T118" i="3"/>
  <c r="S118" i="3"/>
  <c r="R118" i="3"/>
  <c r="Q118" i="3"/>
  <c r="P118" i="3"/>
  <c r="O118" i="3"/>
  <c r="T117" i="3"/>
  <c r="S117" i="3"/>
  <c r="R117" i="3"/>
  <c r="Q117" i="3"/>
  <c r="P117" i="3"/>
  <c r="O117" i="3"/>
  <c r="T116" i="3"/>
  <c r="S116" i="3"/>
  <c r="R116" i="3"/>
  <c r="Q116" i="3"/>
  <c r="P116" i="3"/>
  <c r="O116" i="3"/>
  <c r="T115" i="3"/>
  <c r="S115" i="3"/>
  <c r="R115" i="3"/>
  <c r="Q115" i="3"/>
  <c r="P115" i="3"/>
  <c r="O115" i="3"/>
  <c r="T114" i="3"/>
  <c r="S114" i="3"/>
  <c r="R114" i="3"/>
  <c r="Q114" i="3"/>
  <c r="P114" i="3"/>
  <c r="O114" i="3"/>
  <c r="T113" i="3"/>
  <c r="S113" i="3"/>
  <c r="R113" i="3"/>
  <c r="Q113" i="3"/>
  <c r="P113" i="3"/>
  <c r="O113" i="3"/>
  <c r="T112" i="3"/>
  <c r="S112" i="3"/>
  <c r="R112" i="3"/>
  <c r="Q112" i="3"/>
  <c r="P112" i="3"/>
  <c r="O112" i="3"/>
  <c r="T111" i="3"/>
  <c r="S111" i="3"/>
  <c r="R111" i="3"/>
  <c r="Q111" i="3"/>
  <c r="P111" i="3"/>
  <c r="O111" i="3"/>
  <c r="T110" i="3"/>
  <c r="S110" i="3"/>
  <c r="R110" i="3"/>
  <c r="Q110" i="3"/>
  <c r="P110" i="3"/>
  <c r="O110" i="3"/>
  <c r="T109" i="3"/>
  <c r="S109" i="3"/>
  <c r="R109" i="3"/>
  <c r="Q109" i="3"/>
  <c r="P109" i="3"/>
  <c r="O109" i="3"/>
  <c r="T108" i="3"/>
  <c r="S108" i="3"/>
  <c r="R108" i="3"/>
  <c r="Q108" i="3"/>
  <c r="P108" i="3"/>
  <c r="O108" i="3"/>
  <c r="T107" i="3"/>
  <c r="S107" i="3"/>
  <c r="R107" i="3"/>
  <c r="Q107" i="3"/>
  <c r="P107" i="3"/>
  <c r="O107" i="3"/>
  <c r="T106" i="3"/>
  <c r="S106" i="3"/>
  <c r="R106" i="3"/>
  <c r="Q106" i="3"/>
  <c r="P106" i="3"/>
  <c r="O106" i="3"/>
  <c r="T105" i="3"/>
  <c r="S105" i="3"/>
  <c r="R105" i="3"/>
  <c r="Q105" i="3"/>
  <c r="P105" i="3"/>
  <c r="O105" i="3"/>
  <c r="T104" i="3"/>
  <c r="S104" i="3"/>
  <c r="R104" i="3"/>
  <c r="Q104" i="3"/>
  <c r="P104" i="3"/>
  <c r="O104" i="3"/>
  <c r="T103" i="3"/>
  <c r="S103" i="3"/>
  <c r="R103" i="3"/>
  <c r="Q103" i="3"/>
  <c r="P103" i="3"/>
  <c r="O103" i="3"/>
  <c r="T102" i="3"/>
  <c r="S102" i="3"/>
  <c r="R102" i="3"/>
  <c r="Q102" i="3"/>
  <c r="P102" i="3"/>
  <c r="O102" i="3"/>
  <c r="T101" i="3"/>
  <c r="S101" i="3"/>
  <c r="R101" i="3"/>
  <c r="Q101" i="3"/>
  <c r="P101" i="3"/>
  <c r="O101" i="3"/>
  <c r="T100" i="3"/>
  <c r="S100" i="3"/>
  <c r="R100" i="3"/>
  <c r="Q100" i="3"/>
  <c r="P100" i="3"/>
  <c r="O100" i="3"/>
  <c r="T99" i="3"/>
  <c r="S99" i="3"/>
  <c r="R99" i="3"/>
  <c r="Q99" i="3"/>
  <c r="P99" i="3"/>
  <c r="O99" i="3"/>
  <c r="T98" i="3"/>
  <c r="S98" i="3"/>
  <c r="R98" i="3"/>
  <c r="Q98" i="3"/>
  <c r="P98" i="3"/>
  <c r="O98" i="3"/>
  <c r="T97" i="3"/>
  <c r="S97" i="3"/>
  <c r="R97" i="3"/>
  <c r="Q97" i="3"/>
  <c r="P97" i="3"/>
  <c r="O97" i="3"/>
  <c r="T96" i="3"/>
  <c r="S96" i="3"/>
  <c r="R96" i="3"/>
  <c r="Q96" i="3"/>
  <c r="P96" i="3"/>
  <c r="O96" i="3"/>
  <c r="T95" i="3"/>
  <c r="S95" i="3"/>
  <c r="R95" i="3"/>
  <c r="Q95" i="3"/>
  <c r="P95" i="3"/>
  <c r="O95" i="3"/>
  <c r="T94" i="3"/>
  <c r="S94" i="3"/>
  <c r="R94" i="3"/>
  <c r="Q94" i="3"/>
  <c r="P94" i="3"/>
  <c r="O94" i="3"/>
  <c r="T93" i="3"/>
  <c r="S93" i="3"/>
  <c r="R93" i="3"/>
  <c r="Q93" i="3"/>
  <c r="P93" i="3"/>
  <c r="O93" i="3"/>
  <c r="T92" i="3"/>
  <c r="S92" i="3"/>
  <c r="R92" i="3"/>
  <c r="Q92" i="3"/>
  <c r="P92" i="3"/>
  <c r="O92" i="3"/>
  <c r="T91" i="3"/>
  <c r="S91" i="3"/>
  <c r="R91" i="3"/>
  <c r="Q91" i="3"/>
  <c r="P91" i="3"/>
  <c r="O91" i="3"/>
  <c r="T90" i="3"/>
  <c r="S90" i="3"/>
  <c r="R90" i="3"/>
  <c r="Q90" i="3"/>
  <c r="P90" i="3"/>
  <c r="O90" i="3"/>
  <c r="T89" i="3"/>
  <c r="S89" i="3"/>
  <c r="R89" i="3"/>
  <c r="Q89" i="3"/>
  <c r="P89" i="3"/>
  <c r="O89" i="3"/>
  <c r="T88" i="3"/>
  <c r="S88" i="3"/>
  <c r="R88" i="3"/>
  <c r="Q88" i="3"/>
  <c r="P88" i="3"/>
  <c r="O88" i="3"/>
  <c r="T87" i="3"/>
  <c r="S87" i="3"/>
  <c r="R87" i="3"/>
  <c r="Q87" i="3"/>
  <c r="P87" i="3"/>
  <c r="O87" i="3"/>
  <c r="T86" i="3"/>
  <c r="S86" i="3"/>
  <c r="R86" i="3"/>
  <c r="Q86" i="3"/>
  <c r="P86" i="3"/>
  <c r="O86" i="3"/>
  <c r="T85" i="3"/>
  <c r="S85" i="3"/>
  <c r="R85" i="3"/>
  <c r="Q85" i="3"/>
  <c r="P85" i="3"/>
  <c r="O85" i="3"/>
  <c r="T84" i="3"/>
  <c r="S84" i="3"/>
  <c r="R84" i="3"/>
  <c r="Q84" i="3"/>
  <c r="P84" i="3"/>
  <c r="O84" i="3"/>
  <c r="T83" i="3"/>
  <c r="S83" i="3"/>
  <c r="R83" i="3"/>
  <c r="Q83" i="3"/>
  <c r="P83" i="3"/>
  <c r="O83" i="3"/>
  <c r="T82" i="3"/>
  <c r="S82" i="3"/>
  <c r="R82" i="3"/>
  <c r="Q82" i="3"/>
  <c r="P82" i="3"/>
  <c r="O82" i="3"/>
  <c r="T81" i="3"/>
  <c r="S81" i="3"/>
  <c r="R81" i="3"/>
  <c r="Q81" i="3"/>
  <c r="P81" i="3"/>
  <c r="O81" i="3"/>
  <c r="T80" i="3"/>
  <c r="S80" i="3"/>
  <c r="R80" i="3"/>
  <c r="Q80" i="3"/>
  <c r="P80" i="3"/>
  <c r="O80" i="3"/>
  <c r="T79" i="3"/>
  <c r="S79" i="3"/>
  <c r="R79" i="3"/>
  <c r="Q79" i="3"/>
  <c r="P79" i="3"/>
  <c r="O79" i="3"/>
  <c r="T78" i="3"/>
  <c r="S78" i="3"/>
  <c r="R78" i="3"/>
  <c r="Q78" i="3"/>
  <c r="P78" i="3"/>
  <c r="O78" i="3"/>
  <c r="T77" i="3"/>
  <c r="S77" i="3"/>
  <c r="R77" i="3"/>
  <c r="Q77" i="3"/>
  <c r="P77" i="3"/>
  <c r="O77" i="3"/>
  <c r="T76" i="3"/>
  <c r="S76" i="3"/>
  <c r="R76" i="3"/>
  <c r="Q76" i="3"/>
  <c r="P76" i="3"/>
  <c r="O76" i="3"/>
  <c r="T75" i="3"/>
  <c r="S75" i="3"/>
  <c r="R75" i="3"/>
  <c r="Q75" i="3"/>
  <c r="P75" i="3"/>
  <c r="O75" i="3"/>
  <c r="T74" i="3"/>
  <c r="S74" i="3"/>
  <c r="R74" i="3"/>
  <c r="Q74" i="3"/>
  <c r="P74" i="3"/>
  <c r="O74" i="3"/>
  <c r="T73" i="3"/>
  <c r="S73" i="3"/>
  <c r="R73" i="3"/>
  <c r="Q73" i="3"/>
  <c r="P73" i="3"/>
  <c r="O73" i="3"/>
  <c r="T72" i="3"/>
  <c r="S72" i="3"/>
  <c r="R72" i="3"/>
  <c r="Q72" i="3"/>
  <c r="P72" i="3"/>
  <c r="O72" i="3"/>
  <c r="T71" i="3"/>
  <c r="S71" i="3"/>
  <c r="R71" i="3"/>
  <c r="Q71" i="3"/>
  <c r="P71" i="3"/>
  <c r="O71" i="3"/>
  <c r="T70" i="3"/>
  <c r="S70" i="3"/>
  <c r="R70" i="3"/>
  <c r="Q70" i="3"/>
  <c r="P70" i="3"/>
  <c r="O70" i="3"/>
  <c r="T69" i="3"/>
  <c r="S69" i="3"/>
  <c r="R69" i="3"/>
  <c r="Q69" i="3"/>
  <c r="P69" i="3"/>
  <c r="O69" i="3"/>
  <c r="T68" i="3"/>
  <c r="S68" i="3"/>
  <c r="R68" i="3"/>
  <c r="Q68" i="3"/>
  <c r="P68" i="3"/>
  <c r="O68" i="3"/>
  <c r="T67" i="3"/>
  <c r="S67" i="3"/>
  <c r="R67" i="3"/>
  <c r="Q67" i="3"/>
  <c r="P67" i="3"/>
  <c r="O67" i="3"/>
  <c r="T66" i="3"/>
  <c r="S66" i="3"/>
  <c r="R66" i="3"/>
  <c r="Q66" i="3"/>
  <c r="P66" i="3"/>
  <c r="O66" i="3"/>
  <c r="T65" i="3"/>
  <c r="S65" i="3"/>
  <c r="R65" i="3"/>
  <c r="Q65" i="3"/>
  <c r="P65" i="3"/>
  <c r="O65" i="3"/>
  <c r="T64" i="3"/>
  <c r="S64" i="3"/>
  <c r="R64" i="3"/>
  <c r="Q64" i="3"/>
  <c r="P64" i="3"/>
  <c r="O64" i="3"/>
  <c r="T63" i="3"/>
  <c r="S63" i="3"/>
  <c r="R63" i="3"/>
  <c r="Q63" i="3"/>
  <c r="P63" i="3"/>
  <c r="O63" i="3"/>
  <c r="T62" i="3"/>
  <c r="S62" i="3"/>
  <c r="R62" i="3"/>
  <c r="Q62" i="3"/>
  <c r="P62" i="3"/>
  <c r="O62" i="3"/>
  <c r="T61" i="3"/>
  <c r="S61" i="3"/>
  <c r="R61" i="3"/>
  <c r="Q61" i="3"/>
  <c r="P61" i="3"/>
  <c r="O61" i="3"/>
  <c r="T60" i="3"/>
  <c r="S60" i="3"/>
  <c r="R60" i="3"/>
  <c r="Q60" i="3"/>
  <c r="P60" i="3"/>
  <c r="O60" i="3"/>
  <c r="T59" i="3"/>
  <c r="S59" i="3"/>
  <c r="R59" i="3"/>
  <c r="Q59" i="3"/>
  <c r="P59" i="3"/>
  <c r="O59" i="3"/>
  <c r="T58" i="3"/>
  <c r="S58" i="3"/>
  <c r="R58" i="3"/>
  <c r="Q58" i="3"/>
  <c r="P58" i="3"/>
  <c r="O58" i="3"/>
  <c r="T57" i="3"/>
  <c r="S57" i="3"/>
  <c r="R57" i="3"/>
  <c r="Q57" i="3"/>
  <c r="P57" i="3"/>
  <c r="O57" i="3"/>
  <c r="T56" i="3"/>
  <c r="S56" i="3"/>
  <c r="R56" i="3"/>
  <c r="Q56" i="3"/>
  <c r="P56" i="3"/>
  <c r="O56" i="3"/>
  <c r="T55" i="3"/>
  <c r="S55" i="3"/>
  <c r="R55" i="3"/>
  <c r="Q55" i="3"/>
  <c r="P55" i="3"/>
  <c r="O55" i="3"/>
  <c r="T54" i="3"/>
  <c r="S54" i="3"/>
  <c r="R54" i="3"/>
  <c r="Q54" i="3"/>
  <c r="P54" i="3"/>
  <c r="O54" i="3"/>
  <c r="T53" i="3"/>
  <c r="S53" i="3"/>
  <c r="R53" i="3"/>
  <c r="Q53" i="3"/>
  <c r="P53" i="3"/>
  <c r="O53" i="3"/>
  <c r="T52" i="3"/>
  <c r="S52" i="3"/>
  <c r="R52" i="3"/>
  <c r="Q52" i="3"/>
  <c r="P52" i="3"/>
  <c r="O52" i="3"/>
  <c r="T51" i="3"/>
  <c r="S51" i="3"/>
  <c r="R51" i="3"/>
  <c r="Q51" i="3"/>
  <c r="P51" i="3"/>
  <c r="O51" i="3"/>
  <c r="T50" i="3"/>
  <c r="S50" i="3"/>
  <c r="R50" i="3"/>
  <c r="Q50" i="3"/>
  <c r="P50" i="3"/>
  <c r="O50" i="3"/>
  <c r="T49" i="3"/>
  <c r="S49" i="3"/>
  <c r="R49" i="3"/>
  <c r="Q49" i="3"/>
  <c r="P49" i="3"/>
  <c r="O49" i="3"/>
  <c r="T48" i="3"/>
  <c r="S48" i="3"/>
  <c r="R48" i="3"/>
  <c r="Q48" i="3"/>
  <c r="P48" i="3"/>
  <c r="O48" i="3"/>
  <c r="T47" i="3"/>
  <c r="S47" i="3"/>
  <c r="R47" i="3"/>
  <c r="Q47" i="3"/>
  <c r="P47" i="3"/>
  <c r="O47" i="3"/>
  <c r="T46" i="3"/>
  <c r="S46" i="3"/>
  <c r="R46" i="3"/>
  <c r="Q46" i="3"/>
  <c r="P46" i="3"/>
  <c r="O46" i="3"/>
  <c r="T45" i="3"/>
  <c r="S45" i="3"/>
  <c r="R45" i="3"/>
  <c r="Q45" i="3"/>
  <c r="P45" i="3"/>
  <c r="O45" i="3"/>
  <c r="T44" i="3"/>
  <c r="S44" i="3"/>
  <c r="R44" i="3"/>
  <c r="Q44" i="3"/>
  <c r="P44" i="3"/>
  <c r="O44" i="3"/>
  <c r="T43" i="3"/>
  <c r="S43" i="3"/>
  <c r="R43" i="3"/>
  <c r="Q43" i="3"/>
  <c r="P43" i="3"/>
  <c r="O43" i="3"/>
  <c r="T42" i="3"/>
  <c r="S42" i="3"/>
  <c r="R42" i="3"/>
  <c r="Q42" i="3"/>
  <c r="P42" i="3"/>
  <c r="O42" i="3"/>
  <c r="T41" i="3"/>
  <c r="S41" i="3"/>
  <c r="R41" i="3"/>
  <c r="Q41" i="3"/>
  <c r="P41" i="3"/>
  <c r="O41" i="3"/>
  <c r="T40" i="3"/>
  <c r="S40" i="3"/>
  <c r="R40" i="3"/>
  <c r="Q40" i="3"/>
  <c r="P40" i="3"/>
  <c r="O40" i="3"/>
  <c r="T39" i="3"/>
  <c r="S39" i="3"/>
  <c r="R39" i="3"/>
  <c r="Q39" i="3"/>
  <c r="P39" i="3"/>
  <c r="O39" i="3"/>
  <c r="T38" i="3"/>
  <c r="S38" i="3"/>
  <c r="R38" i="3"/>
  <c r="Q38" i="3"/>
  <c r="P38" i="3"/>
  <c r="O38" i="3"/>
  <c r="T37" i="3"/>
  <c r="S37" i="3"/>
  <c r="R37" i="3"/>
  <c r="Q37" i="3"/>
  <c r="P37" i="3"/>
  <c r="O37" i="3"/>
  <c r="T36" i="3"/>
  <c r="S36" i="3"/>
  <c r="R36" i="3"/>
  <c r="Q36" i="3"/>
  <c r="P36" i="3"/>
  <c r="O36" i="3"/>
  <c r="T35" i="3"/>
  <c r="S35" i="3"/>
  <c r="R35" i="3"/>
  <c r="Q35" i="3"/>
  <c r="P35" i="3"/>
  <c r="O35" i="3"/>
  <c r="T34" i="3"/>
  <c r="S34" i="3"/>
  <c r="R34" i="3"/>
  <c r="Q34" i="3"/>
  <c r="P34" i="3"/>
  <c r="O34" i="3"/>
  <c r="T33" i="3"/>
  <c r="S33" i="3"/>
  <c r="R33" i="3"/>
  <c r="Q33" i="3"/>
  <c r="P33" i="3"/>
  <c r="O33" i="3"/>
  <c r="T32" i="3"/>
  <c r="S32" i="3"/>
  <c r="R32" i="3"/>
  <c r="Q32" i="3"/>
  <c r="P32" i="3"/>
  <c r="O32" i="3"/>
  <c r="T31" i="3"/>
  <c r="S31" i="3"/>
  <c r="R31" i="3"/>
  <c r="Q31" i="3"/>
  <c r="P31" i="3"/>
  <c r="O31" i="3"/>
  <c r="T30" i="3"/>
  <c r="S30" i="3"/>
  <c r="R30" i="3"/>
  <c r="Q30" i="3"/>
  <c r="P30" i="3"/>
  <c r="O30" i="3"/>
  <c r="T29" i="3"/>
  <c r="S29" i="3"/>
  <c r="R29" i="3"/>
  <c r="Q29" i="3"/>
  <c r="P29" i="3"/>
  <c r="O29" i="3"/>
  <c r="T28" i="3"/>
  <c r="S28" i="3"/>
  <c r="R28" i="3"/>
  <c r="Q28" i="3"/>
  <c r="P28" i="3"/>
  <c r="O28" i="3"/>
  <c r="T27" i="3"/>
  <c r="S27" i="3"/>
  <c r="R27" i="3"/>
  <c r="Q27" i="3"/>
  <c r="P27" i="3"/>
  <c r="O27" i="3"/>
  <c r="T26" i="3"/>
  <c r="S26" i="3"/>
  <c r="R26" i="3"/>
  <c r="Q26" i="3"/>
  <c r="P26" i="3"/>
  <c r="O26" i="3"/>
  <c r="T25" i="3"/>
  <c r="S25" i="3"/>
  <c r="R25" i="3"/>
  <c r="Q25" i="3"/>
  <c r="P25" i="3"/>
  <c r="O25" i="3"/>
  <c r="T24" i="3"/>
  <c r="S24" i="3"/>
  <c r="R24" i="3"/>
  <c r="Q24" i="3"/>
  <c r="P24" i="3"/>
  <c r="O24" i="3"/>
  <c r="T23" i="3"/>
  <c r="S23" i="3"/>
  <c r="R23" i="3"/>
  <c r="Q23" i="3"/>
  <c r="P23" i="3"/>
  <c r="O23" i="3"/>
  <c r="T22" i="3"/>
  <c r="S22" i="3"/>
  <c r="R22" i="3"/>
  <c r="Q22" i="3"/>
  <c r="P22" i="3"/>
  <c r="O22" i="3"/>
  <c r="T21" i="3"/>
  <c r="S21" i="3"/>
  <c r="R21" i="3"/>
  <c r="Q21" i="3"/>
  <c r="P21" i="3"/>
  <c r="O21" i="3"/>
  <c r="T20" i="3"/>
  <c r="S20" i="3"/>
  <c r="R20" i="3"/>
  <c r="Q20" i="3"/>
  <c r="P20" i="3"/>
  <c r="O20" i="3"/>
  <c r="T19" i="3"/>
  <c r="S19" i="3"/>
  <c r="R19" i="3"/>
  <c r="Q19" i="3"/>
  <c r="P19" i="3"/>
  <c r="O19" i="3"/>
  <c r="T18" i="3"/>
  <c r="S18" i="3"/>
  <c r="R18" i="3"/>
  <c r="Q18" i="3"/>
  <c r="P18" i="3"/>
  <c r="O18" i="3"/>
  <c r="T17" i="3"/>
  <c r="S17" i="3"/>
  <c r="R17" i="3"/>
  <c r="Q17" i="3"/>
  <c r="P17" i="3"/>
  <c r="O17" i="3"/>
  <c r="T16" i="3"/>
  <c r="S16" i="3"/>
  <c r="R16" i="3"/>
  <c r="Q16" i="3"/>
  <c r="P16" i="3"/>
  <c r="O16" i="3"/>
  <c r="T15" i="3"/>
  <c r="S15" i="3"/>
  <c r="R15" i="3"/>
  <c r="Q15" i="3"/>
  <c r="P15" i="3"/>
  <c r="O15" i="3"/>
  <c r="T14" i="3"/>
  <c r="S14" i="3"/>
  <c r="R14" i="3"/>
  <c r="Q14" i="3"/>
  <c r="P14" i="3"/>
  <c r="O14" i="3"/>
  <c r="T13" i="3"/>
  <c r="S13" i="3"/>
  <c r="R13" i="3"/>
  <c r="Q13" i="3"/>
  <c r="P13" i="3"/>
  <c r="O13" i="3"/>
  <c r="T12" i="3"/>
  <c r="S12" i="3"/>
  <c r="R12" i="3"/>
  <c r="Q12" i="3"/>
  <c r="P12" i="3"/>
  <c r="O12" i="3"/>
  <c r="T11" i="3"/>
  <c r="S11" i="3"/>
  <c r="R11" i="3"/>
  <c r="Q11" i="3"/>
  <c r="P11" i="3"/>
  <c r="O11" i="3"/>
  <c r="T10" i="3"/>
  <c r="S10" i="3"/>
  <c r="R10" i="3"/>
  <c r="Q10" i="3"/>
  <c r="P10" i="3"/>
  <c r="O10" i="3"/>
  <c r="T9" i="3"/>
  <c r="S9" i="3"/>
  <c r="R9" i="3"/>
  <c r="Q9" i="3"/>
  <c r="P9" i="3"/>
  <c r="O9" i="3"/>
  <c r="T8" i="3"/>
  <c r="S8" i="3"/>
  <c r="R8" i="3"/>
  <c r="Q8" i="3"/>
  <c r="P8" i="3"/>
  <c r="O8" i="3"/>
  <c r="T7" i="3"/>
  <c r="S7" i="3"/>
  <c r="R7" i="3"/>
  <c r="Q7" i="3"/>
  <c r="P7" i="3"/>
  <c r="O7" i="3"/>
  <c r="T6" i="3"/>
  <c r="S6" i="3"/>
  <c r="R6" i="3"/>
  <c r="Q6" i="3"/>
  <c r="P6" i="3"/>
  <c r="O6" i="3"/>
  <c r="T5" i="3"/>
  <c r="S5" i="3"/>
  <c r="R5" i="3"/>
  <c r="Q5" i="3"/>
  <c r="P5" i="3"/>
  <c r="O5" i="3"/>
  <c r="T4" i="3"/>
  <c r="S4" i="3"/>
  <c r="R4" i="3"/>
  <c r="Q4" i="3"/>
  <c r="P4" i="3"/>
  <c r="O4" i="3"/>
  <c r="T3" i="3"/>
  <c r="S3" i="3"/>
  <c r="R3" i="3"/>
  <c r="Q3" i="3"/>
  <c r="P3" i="3"/>
  <c r="O3" i="3"/>
  <c r="T2" i="3"/>
  <c r="S2" i="3"/>
  <c r="R2" i="3"/>
  <c r="Q2" i="3"/>
  <c r="P2" i="3"/>
  <c r="O2" i="3"/>
  <c r="F6" i="7"/>
  <c r="D6" i="7"/>
  <c r="B6" i="7"/>
  <c r="H6" i="7" l="1"/>
</calcChain>
</file>

<file path=xl/sharedStrings.xml><?xml version="1.0" encoding="utf-8"?>
<sst xmlns="http://schemas.openxmlformats.org/spreadsheetml/2006/main" count="16133" uniqueCount="1658">
  <si>
    <t>Order ID</t>
  </si>
  <si>
    <t>Order Date</t>
  </si>
  <si>
    <t>Customer</t>
  </si>
  <si>
    <t>Category</t>
  </si>
  <si>
    <t>Product</t>
  </si>
  <si>
    <t>Region</t>
  </si>
  <si>
    <t>City</t>
  </si>
  <si>
    <t>Salesperson</t>
  </si>
  <si>
    <t>Quantity</t>
  </si>
  <si>
    <t>Unit Price</t>
  </si>
  <si>
    <t>Discount</t>
  </si>
  <si>
    <t>Sales</t>
  </si>
  <si>
    <t>Cost</t>
  </si>
  <si>
    <t>Profit</t>
  </si>
  <si>
    <t>ORD-00709</t>
  </si>
  <si>
    <t>2025-09-01</t>
  </si>
  <si>
    <t>Customer 199</t>
  </si>
  <si>
    <t>Electronics</t>
  </si>
  <si>
    <t>USB-C Hub</t>
  </si>
  <si>
    <t>South</t>
  </si>
  <si>
    <t>Hyderabad</t>
  </si>
  <si>
    <t>Sneha Joshi</t>
  </si>
  <si>
    <t>ORD-00030</t>
  </si>
  <si>
    <t>2025-09-02</t>
  </si>
  <si>
    <t>Customer 129</t>
  </si>
  <si>
    <t>Home &amp; Kitchen</t>
  </si>
  <si>
    <t>Storage Container</t>
  </si>
  <si>
    <t>East</t>
  </si>
  <si>
    <t>Bhubaneswar</t>
  </si>
  <si>
    <t>Neha Kulkarni</t>
  </si>
  <si>
    <t>ORD-00736</t>
  </si>
  <si>
    <t>Customer 010</t>
  </si>
  <si>
    <t>Power Bank</t>
  </si>
  <si>
    <t>Priya Patil</t>
  </si>
  <si>
    <t>ORD-00877</t>
  </si>
  <si>
    <t>Customer 041</t>
  </si>
  <si>
    <t>Lunch Box</t>
  </si>
  <si>
    <t>West</t>
  </si>
  <si>
    <t>Nashik</t>
  </si>
  <si>
    <t>Rahul Verma</t>
  </si>
  <si>
    <t>ORD-00204</t>
  </si>
  <si>
    <t>2025-09-03</t>
  </si>
  <si>
    <t>Customer 127</t>
  </si>
  <si>
    <t>Fitness</t>
  </si>
  <si>
    <t>Dumbbell Set</t>
  </si>
  <si>
    <t>North</t>
  </si>
  <si>
    <t>Jaipur</t>
  </si>
  <si>
    <t>Amit Sharma</t>
  </si>
  <si>
    <t>ORD-00411</t>
  </si>
  <si>
    <t>Customer 028</t>
  </si>
  <si>
    <t>Wireless Mouse</t>
  </si>
  <si>
    <t>Ranchi</t>
  </si>
  <si>
    <t>ORD-00711</t>
  </si>
  <si>
    <t>Customer 116</t>
  </si>
  <si>
    <t>Office Supplies</t>
  </si>
  <si>
    <t>Notebook</t>
  </si>
  <si>
    <t>Kochi</t>
  </si>
  <si>
    <t>ORD-00209</t>
  </si>
  <si>
    <t>2025-09-04</t>
  </si>
  <si>
    <t>Customer 108</t>
  </si>
  <si>
    <t>ORD-00446</t>
  </si>
  <si>
    <t>Customer 067</t>
  </si>
  <si>
    <t>Gym Gloves</t>
  </si>
  <si>
    <t>ORD-00694</t>
  </si>
  <si>
    <t>Customer 191</t>
  </si>
  <si>
    <t>Bluetooth Speaker</t>
  </si>
  <si>
    <t>ORD-00079</t>
  </si>
  <si>
    <t>2025-09-05</t>
  </si>
  <si>
    <t>Customer 119</t>
  </si>
  <si>
    <t>Coffee Mug</t>
  </si>
  <si>
    <t>Chandigarh</t>
  </si>
  <si>
    <t>ORD-00092</t>
  </si>
  <si>
    <t>Customer 092</t>
  </si>
  <si>
    <t>Pune</t>
  </si>
  <si>
    <t>ORD-00171</t>
  </si>
  <si>
    <t>Customer 005</t>
  </si>
  <si>
    <t>ORD-00267</t>
  </si>
  <si>
    <t>Customer 162</t>
  </si>
  <si>
    <t>ORD-00383</t>
  </si>
  <si>
    <t>Customer 184</t>
  </si>
  <si>
    <t>Kitchen Scale</t>
  </si>
  <si>
    <t>ORD-00426</t>
  </si>
  <si>
    <t>Customer 084</t>
  </si>
  <si>
    <t>ORD-00616</t>
  </si>
  <si>
    <t>Customer 148</t>
  </si>
  <si>
    <t>Kolkata</t>
  </si>
  <si>
    <t>ORD-00101</t>
  </si>
  <si>
    <t>2025-09-06</t>
  </si>
  <si>
    <t>Customer 180</t>
  </si>
  <si>
    <t>Water Bottle</t>
  </si>
  <si>
    <t>Patna</t>
  </si>
  <si>
    <t>ORD-00187</t>
  </si>
  <si>
    <t>2025-09-07</t>
  </si>
  <si>
    <t>Customer 029</t>
  </si>
  <si>
    <t>ORD-00261</t>
  </si>
  <si>
    <t>ORD-00313</t>
  </si>
  <si>
    <t>Customer 070</t>
  </si>
  <si>
    <t>Mumbai</t>
  </si>
  <si>
    <t>ORD-00653</t>
  </si>
  <si>
    <t>Customer 022</t>
  </si>
  <si>
    <t>ORD-00193</t>
  </si>
  <si>
    <t>2025-09-08</t>
  </si>
  <si>
    <t>Customer 079</t>
  </si>
  <si>
    <t>File Folder</t>
  </si>
  <si>
    <t>Delhi</t>
  </si>
  <si>
    <t>ORD-00212</t>
  </si>
  <si>
    <t>Customer 100</t>
  </si>
  <si>
    <t>Ball Pen Pack</t>
  </si>
  <si>
    <t>ORD-00223</t>
  </si>
  <si>
    <t>Customer 085</t>
  </si>
  <si>
    <t>Stapler</t>
  </si>
  <si>
    <t>ORD-00279</t>
  </si>
  <si>
    <t>Customer 077</t>
  </si>
  <si>
    <t>Bengaluru</t>
  </si>
  <si>
    <t>ORD-00610</t>
  </si>
  <si>
    <t>Customer 069</t>
  </si>
  <si>
    <t>Desk Organizer</t>
  </si>
  <si>
    <t>ORD-00294</t>
  </si>
  <si>
    <t>2025-09-10</t>
  </si>
  <si>
    <t>Customer 149</t>
  </si>
  <si>
    <t>ORD-00453</t>
  </si>
  <si>
    <t>Customer 017</t>
  </si>
  <si>
    <t>Lucknow</t>
  </si>
  <si>
    <t>ORD-00574</t>
  </si>
  <si>
    <t>Keyboard</t>
  </si>
  <si>
    <t>Vikas Singh</t>
  </si>
  <si>
    <t>ORD-00693</t>
  </si>
  <si>
    <t>Customer 030</t>
  </si>
  <si>
    <t>ORD-00806</t>
  </si>
  <si>
    <t>Customer 102</t>
  </si>
  <si>
    <t>ORD-00821</t>
  </si>
  <si>
    <t>Customer 047</t>
  </si>
  <si>
    <t>ORD-00150</t>
  </si>
  <si>
    <t>2025-09-11</t>
  </si>
  <si>
    <t>Customer 164</t>
  </si>
  <si>
    <t>ORD-00605</t>
  </si>
  <si>
    <t>ORD-00192</t>
  </si>
  <si>
    <t>2025-09-12</t>
  </si>
  <si>
    <t>Customer 018</t>
  </si>
  <si>
    <t>ORD-00790</t>
  </si>
  <si>
    <t>Ahmedabad</t>
  </si>
  <si>
    <t>ORD-00878</t>
  </si>
  <si>
    <t>Customer 099</t>
  </si>
  <si>
    <t>Resistance Bands</t>
  </si>
  <si>
    <t>ORD-00991</t>
  </si>
  <si>
    <t>Customer 035</t>
  </si>
  <si>
    <t>ORD-00042</t>
  </si>
  <si>
    <t>2025-09-13</t>
  </si>
  <si>
    <t>Customer 060</t>
  </si>
  <si>
    <t>ORD-00395</t>
  </si>
  <si>
    <t>ORD-00920</t>
  </si>
  <si>
    <t>2025-09-15</t>
  </si>
  <si>
    <t>Customer 036</t>
  </si>
  <si>
    <t>ORD-00394</t>
  </si>
  <si>
    <t>2025-09-16</t>
  </si>
  <si>
    <t>Customer 066</t>
  </si>
  <si>
    <t>ORD-00657</t>
  </si>
  <si>
    <t>ORD-00719</t>
  </si>
  <si>
    <t>Customer 051</t>
  </si>
  <si>
    <t>ORD-00280</t>
  </si>
  <si>
    <t>2025-09-17</t>
  </si>
  <si>
    <t>Customer 133</t>
  </si>
  <si>
    <t>ORD-00357</t>
  </si>
  <si>
    <t>Customer 088</t>
  </si>
  <si>
    <t>ORD-00765</t>
  </si>
  <si>
    <t>Customer 154</t>
  </si>
  <si>
    <t>ORD-00602</t>
  </si>
  <si>
    <t>2025-09-18</t>
  </si>
  <si>
    <t>Customer 113</t>
  </si>
  <si>
    <t>Skipping Rope</t>
  </si>
  <si>
    <t>ORD-00724</t>
  </si>
  <si>
    <t>Customer 182</t>
  </si>
  <si>
    <t>ORD-00782</t>
  </si>
  <si>
    <t>Customer 057</t>
  </si>
  <si>
    <t>ORD-00897</t>
  </si>
  <si>
    <t>Customer 117</t>
  </si>
  <si>
    <t>ORD-00062</t>
  </si>
  <si>
    <t>2025-09-19</t>
  </si>
  <si>
    <t>Customer 177</t>
  </si>
  <si>
    <t>ORD-00500</t>
  </si>
  <si>
    <t>Customer 195</t>
  </si>
  <si>
    <t>ORD-00812</t>
  </si>
  <si>
    <t>Customer 128</t>
  </si>
  <si>
    <t>ORD-00296</t>
  </si>
  <si>
    <t>2025-09-20</t>
  </si>
  <si>
    <t>Customer 075</t>
  </si>
  <si>
    <t>ORD-00638</t>
  </si>
  <si>
    <t>Customer 046</t>
  </si>
  <si>
    <t>ORD-00839</t>
  </si>
  <si>
    <t>Customer 185</t>
  </si>
  <si>
    <t>ORD-00035</t>
  </si>
  <si>
    <t>2025-09-22</t>
  </si>
  <si>
    <t>Customer 158</t>
  </si>
  <si>
    <t>ORD-00186</t>
  </si>
  <si>
    <t>Customer 120</t>
  </si>
  <si>
    <t>ORD-00319</t>
  </si>
  <si>
    <t>Customer 112</t>
  </si>
  <si>
    <t>ORD-00388</t>
  </si>
  <si>
    <t>Customer 093</t>
  </si>
  <si>
    <t>ORD-00082</t>
  </si>
  <si>
    <t>2025-09-23</t>
  </si>
  <si>
    <t>Customer 053</t>
  </si>
  <si>
    <t>ORD-00983</t>
  </si>
  <si>
    <t>ORD-00099</t>
  </si>
  <si>
    <t>2025-09-25</t>
  </si>
  <si>
    <t>Customer 145</t>
  </si>
  <si>
    <t>ORD-00128</t>
  </si>
  <si>
    <t>Customer 090</t>
  </si>
  <si>
    <t>ORD-00205</t>
  </si>
  <si>
    <t>Customer 045</t>
  </si>
  <si>
    <t>ORD-00264</t>
  </si>
  <si>
    <t>Customer 141</t>
  </si>
  <si>
    <t>ORD-00476</t>
  </si>
  <si>
    <t>ORD-00158</t>
  </si>
  <si>
    <t>2025-09-26</t>
  </si>
  <si>
    <t>Chennai</t>
  </si>
  <si>
    <t>ORD-00225</t>
  </si>
  <si>
    <t>Customer 136</t>
  </si>
  <si>
    <t>ORD-00323</t>
  </si>
  <si>
    <t>ORD-00643</t>
  </si>
  <si>
    <t>Customer 151</t>
  </si>
  <si>
    <t>ORD-00900</t>
  </si>
  <si>
    <t>Customer 167</t>
  </si>
  <si>
    <t>ORD-00915</t>
  </si>
  <si>
    <t>Customer 198</t>
  </si>
  <si>
    <t>ORD-00237</t>
  </si>
  <si>
    <t>2025-09-27</t>
  </si>
  <si>
    <t>Customer 157</t>
  </si>
  <si>
    <t>ORD-00396</t>
  </si>
  <si>
    <t>Customer 118</t>
  </si>
  <si>
    <t>ORD-00013</t>
  </si>
  <si>
    <t>2025-09-28</t>
  </si>
  <si>
    <t>Customer 135</t>
  </si>
  <si>
    <t>ORD-00096</t>
  </si>
  <si>
    <t>Customer 078</t>
  </si>
  <si>
    <t>ORD-00650</t>
  </si>
  <si>
    <t>Customer 111</t>
  </si>
  <si>
    <t>ORD-00687</t>
  </si>
  <si>
    <t>Customer 169</t>
  </si>
  <si>
    <t>ORD-00871</t>
  </si>
  <si>
    <t>ORD-00067</t>
  </si>
  <si>
    <t>2025-09-29</t>
  </si>
  <si>
    <t>Customer 165</t>
  </si>
  <si>
    <t>ORD-00906</t>
  </si>
  <si>
    <t>Customer 163</t>
  </si>
  <si>
    <t>ORD-00908</t>
  </si>
  <si>
    <t>ORD-00450</t>
  </si>
  <si>
    <t>2025-09-30</t>
  </si>
  <si>
    <t>Customer 190</t>
  </si>
  <si>
    <t>ORD-00507</t>
  </si>
  <si>
    <t>Yoga Mat</t>
  </si>
  <si>
    <t>ORD-00779</t>
  </si>
  <si>
    <t>Customer 172</t>
  </si>
  <si>
    <t>ORD-00892</t>
  </si>
  <si>
    <t>Customer 008</t>
  </si>
  <si>
    <t>ORD-00181</t>
  </si>
  <si>
    <t>2025-10-01</t>
  </si>
  <si>
    <t>Customer 023</t>
  </si>
  <si>
    <t>ORD-00321</t>
  </si>
  <si>
    <t>2025-10-02</t>
  </si>
  <si>
    <t>ORD-00458</t>
  </si>
  <si>
    <t>Customer 096</t>
  </si>
  <si>
    <t>ORD-00661</t>
  </si>
  <si>
    <t>2025-10-03</t>
  </si>
  <si>
    <t>Customer 012</t>
  </si>
  <si>
    <t>ORD-00089</t>
  </si>
  <si>
    <t>2025-10-04</t>
  </si>
  <si>
    <t>Customer 006</t>
  </si>
  <si>
    <t>ORD-00651</t>
  </si>
  <si>
    <t>2025-10-05</t>
  </si>
  <si>
    <t>ORD-00678</t>
  </si>
  <si>
    <t>ORD-00702</t>
  </si>
  <si>
    <t>Customer 183</t>
  </si>
  <si>
    <t>ORD-00766</t>
  </si>
  <si>
    <t>ORD-00867</t>
  </si>
  <si>
    <t>Customer 024</t>
  </si>
  <si>
    <t>ORD-00140</t>
  </si>
  <si>
    <t>2025-10-06</t>
  </si>
  <si>
    <t>ORD-00310</t>
  </si>
  <si>
    <t>ORD-00493</t>
  </si>
  <si>
    <t>Customer 110</t>
  </si>
  <si>
    <t>ORD-00817</t>
  </si>
  <si>
    <t>Customer 168</t>
  </si>
  <si>
    <t>ORD-00391</t>
  </si>
  <si>
    <t>2025-10-07</t>
  </si>
  <si>
    <t>ORD-00340</t>
  </si>
  <si>
    <t>2025-10-08</t>
  </si>
  <si>
    <t>Customer 142</t>
  </si>
  <si>
    <t>ORD-00116</t>
  </si>
  <si>
    <t>2025-10-09</t>
  </si>
  <si>
    <t>Customer 179</t>
  </si>
  <si>
    <t>ORD-00162</t>
  </si>
  <si>
    <t>Customer 015</t>
  </si>
  <si>
    <t>ORD-00658</t>
  </si>
  <si>
    <t>Customer 132</t>
  </si>
  <si>
    <t>ORD-00775</t>
  </si>
  <si>
    <t>Customer 033</t>
  </si>
  <si>
    <t>ORD-00443</t>
  </si>
  <si>
    <t>2025-10-10</t>
  </si>
  <si>
    <t>ORD-00408</t>
  </si>
  <si>
    <t>2025-10-11</t>
  </si>
  <si>
    <t>ORD-00472</t>
  </si>
  <si>
    <t>ORD-00862</t>
  </si>
  <si>
    <t>2025-10-12</t>
  </si>
  <si>
    <t>ORD-00480</t>
  </si>
  <si>
    <t>2025-10-13</t>
  </si>
  <si>
    <t>Customer 121</t>
  </si>
  <si>
    <t>ORD-00634</t>
  </si>
  <si>
    <t>2025-10-14</t>
  </si>
  <si>
    <t>Customer 098</t>
  </si>
  <si>
    <t>ORD-00984</t>
  </si>
  <si>
    <t>ORD-00420</t>
  </si>
  <si>
    <t>2025-10-15</t>
  </si>
  <si>
    <t>Customer 059</t>
  </si>
  <si>
    <t>ORD-00509</t>
  </si>
  <si>
    <t>ORD-00692</t>
  </si>
  <si>
    <t>Customer 134</t>
  </si>
  <si>
    <t>ORD-00884</t>
  </si>
  <si>
    <t>Customer 137</t>
  </si>
  <si>
    <t>ORD-00985</t>
  </si>
  <si>
    <t>ORD-00194</t>
  </si>
  <si>
    <t>2025-10-16</t>
  </si>
  <si>
    <t>ORD-00094</t>
  </si>
  <si>
    <t>2025-10-17</t>
  </si>
  <si>
    <t>ORD-00120</t>
  </si>
  <si>
    <t>Customer 068</t>
  </si>
  <si>
    <t>ORD-00451</t>
  </si>
  <si>
    <t>ORD-00751</t>
  </si>
  <si>
    <t>Customer 107</t>
  </si>
  <si>
    <t>ORD-00846</t>
  </si>
  <si>
    <t>ORD-00855</t>
  </si>
  <si>
    <t>Customer 095</t>
  </si>
  <si>
    <t>ORD-00552</t>
  </si>
  <si>
    <t>2025-10-18</t>
  </si>
  <si>
    <t>ORD-00916</t>
  </si>
  <si>
    <t>Customer 153</t>
  </si>
  <si>
    <t>ORD-00037</t>
  </si>
  <si>
    <t>2025-10-19</t>
  </si>
  <si>
    <t>ORD-00457</t>
  </si>
  <si>
    <t>Customer 076</t>
  </si>
  <si>
    <t>ORD-00546</t>
  </si>
  <si>
    <t>ORD-00798</t>
  </si>
  <si>
    <t>ORD-00876</t>
  </si>
  <si>
    <t>Customer 101</t>
  </si>
  <si>
    <t>ORD-00713</t>
  </si>
  <si>
    <t>2025-10-20</t>
  </si>
  <si>
    <t>ORD-00083</t>
  </si>
  <si>
    <t>2025-10-21</t>
  </si>
  <si>
    <t>Customer 173</t>
  </si>
  <si>
    <t>ORD-00774</t>
  </si>
  <si>
    <t>Customer 038</t>
  </si>
  <si>
    <t>ORD-00851</t>
  </si>
  <si>
    <t>Customer 130</t>
  </si>
  <si>
    <t>ORD-00169</t>
  </si>
  <si>
    <t>2025-10-22</t>
  </si>
  <si>
    <t>Customer 004</t>
  </si>
  <si>
    <t>ORD-00425</t>
  </si>
  <si>
    <t>ORD-00974</t>
  </si>
  <si>
    <t>Customer 091</t>
  </si>
  <si>
    <t>ORD-00064</t>
  </si>
  <si>
    <t>2025-10-23</t>
  </si>
  <si>
    <t>ORD-00397</t>
  </si>
  <si>
    <t>Customer 019</t>
  </si>
  <si>
    <t>ORD-00413</t>
  </si>
  <si>
    <t>Customer 044</t>
  </si>
  <si>
    <t>ORD-00398</t>
  </si>
  <si>
    <t>2025-10-24</t>
  </si>
  <si>
    <t>Customer 052</t>
  </si>
  <si>
    <t>ORD-00889</t>
  </si>
  <si>
    <t>2025-10-25</t>
  </si>
  <si>
    <t>ORD-00966</t>
  </si>
  <si>
    <t>2025-10-26</t>
  </si>
  <si>
    <t>ORD-00070</t>
  </si>
  <si>
    <t>2025-10-28</t>
  </si>
  <si>
    <t>ORD-00589</t>
  </si>
  <si>
    <t>Customer 049</t>
  </si>
  <si>
    <t>ORD-00952</t>
  </si>
  <si>
    <t>Customer 009</t>
  </si>
  <si>
    <t>ORD-00452</t>
  </si>
  <si>
    <t>2025-10-29</t>
  </si>
  <si>
    <t>Customer 031</t>
  </si>
  <si>
    <t>ORD-00045</t>
  </si>
  <si>
    <t>2025-10-30</t>
  </si>
  <si>
    <t>ORD-00243</t>
  </si>
  <si>
    <t>ORD-00172</t>
  </si>
  <si>
    <t>2025-10-31</t>
  </si>
  <si>
    <t>Customer 123</t>
  </si>
  <si>
    <t>ORD-00427</t>
  </si>
  <si>
    <t>Customer 122</t>
  </si>
  <si>
    <t>ORD-00492</t>
  </si>
  <si>
    <t>Customer 063</t>
  </si>
  <si>
    <t>ORD-00995</t>
  </si>
  <si>
    <t>Customer 026</t>
  </si>
  <si>
    <t>ORD-00018</t>
  </si>
  <si>
    <t>2025-11-01</t>
  </si>
  <si>
    <t>ORD-00808</t>
  </si>
  <si>
    <t>ORD-00227</t>
  </si>
  <si>
    <t>2025-11-02</t>
  </si>
  <si>
    <t>Customer 073</t>
  </si>
  <si>
    <t>ORD-00522</t>
  </si>
  <si>
    <t>ORD-00591</t>
  </si>
  <si>
    <t>ORD-00609</t>
  </si>
  <si>
    <t>Customer 124</t>
  </si>
  <si>
    <t>ORD-00710</t>
  </si>
  <si>
    <t>ORD-00795</t>
  </si>
  <si>
    <t>ORD-00196</t>
  </si>
  <si>
    <t>2025-11-03</t>
  </si>
  <si>
    <t>Customer 072</t>
  </si>
  <si>
    <t>ORD-00372</t>
  </si>
  <si>
    <t>ORD-00534</t>
  </si>
  <si>
    <t>Customer 071</t>
  </si>
  <si>
    <t>ORD-00683</t>
  </si>
  <si>
    <t>Customer 087</t>
  </si>
  <si>
    <t>ORD-00848</t>
  </si>
  <si>
    <t>ORD-00887</t>
  </si>
  <si>
    <t>ORD-00166</t>
  </si>
  <si>
    <t>2025-11-04</t>
  </si>
  <si>
    <t>ORD-00734</t>
  </si>
  <si>
    <t>ORD-00787</t>
  </si>
  <si>
    <t>ORD-00829</t>
  </si>
  <si>
    <t>2025-11-06</t>
  </si>
  <si>
    <t>ORD-00529</t>
  </si>
  <si>
    <t>2025-11-07</t>
  </si>
  <si>
    <t>Customer 061</t>
  </si>
  <si>
    <t>ORD-00758</t>
  </si>
  <si>
    <t>ORD-00244</t>
  </si>
  <si>
    <t>2025-11-08</t>
  </si>
  <si>
    <t>Customer 175</t>
  </si>
  <si>
    <t>ORD-00491</t>
  </si>
  <si>
    <t>ORD-00695</t>
  </si>
  <si>
    <t>ORD-00764</t>
  </si>
  <si>
    <t>Customer 011</t>
  </si>
  <si>
    <t>ORD-00940</t>
  </si>
  <si>
    <t>ORD-00579</t>
  </si>
  <si>
    <t>2025-11-09</t>
  </si>
  <si>
    <t>ORD-00660</t>
  </si>
  <si>
    <t>ORD-00723</t>
  </si>
  <si>
    <t>Customer 062</t>
  </si>
  <si>
    <t>ORD-00299</t>
  </si>
  <si>
    <t>2025-11-10</t>
  </si>
  <si>
    <t>ORD-00763</t>
  </si>
  <si>
    <t>Customer 048</t>
  </si>
  <si>
    <t>ORD-00084</t>
  </si>
  <si>
    <t>2025-11-11</t>
  </si>
  <si>
    <t>Customer 039</t>
  </si>
  <si>
    <t>ORD-00242</t>
  </si>
  <si>
    <t>Customer 152</t>
  </si>
  <si>
    <t>ORD-00326</t>
  </si>
  <si>
    <t>Customer 055</t>
  </si>
  <si>
    <t>ORD-00393</t>
  </si>
  <si>
    <t>Customer 003</t>
  </si>
  <si>
    <t>ORD-00899</t>
  </si>
  <si>
    <t>Customer 074</t>
  </si>
  <si>
    <t>ORD-00153</t>
  </si>
  <si>
    <t>2025-11-12</t>
  </si>
  <si>
    <t>Customer 040</t>
  </si>
  <si>
    <t>ORD-00202</t>
  </si>
  <si>
    <t>Customer 103</t>
  </si>
  <si>
    <t>ORD-00861</t>
  </si>
  <si>
    <t>ORD-00977</t>
  </si>
  <si>
    <t>ORD-00184</t>
  </si>
  <si>
    <t>2025-11-13</t>
  </si>
  <si>
    <t>ORD-00434</t>
  </si>
  <si>
    <t>ORD-00471</t>
  </si>
  <si>
    <t>Customer 166</t>
  </si>
  <si>
    <t>ORD-00145</t>
  </si>
  <si>
    <t>2025-11-14</t>
  </si>
  <si>
    <t>ORD-00189</t>
  </si>
  <si>
    <t>ORD-00688</t>
  </si>
  <si>
    <t>ORD-00869</t>
  </si>
  <si>
    <t>ORD-00198</t>
  </si>
  <si>
    <t>2025-11-15</t>
  </si>
  <si>
    <t>ORD-00911</t>
  </si>
  <si>
    <t>Customer 194</t>
  </si>
  <si>
    <t>ORD-00238</t>
  </si>
  <si>
    <t>2025-11-16</t>
  </si>
  <si>
    <t>ORD-00553</t>
  </si>
  <si>
    <t>Customer 188</t>
  </si>
  <si>
    <t>ORD-00834</t>
  </si>
  <si>
    <t>ORD-00828</t>
  </si>
  <si>
    <t>2025-11-17</t>
  </si>
  <si>
    <t>ORD-00278</t>
  </si>
  <si>
    <t>2025-11-18</t>
  </si>
  <si>
    <t>ORD-00401</t>
  </si>
  <si>
    <t>ORD-00467</t>
  </si>
  <si>
    <t>Customer 014</t>
  </si>
  <si>
    <t>ORD-00800</t>
  </si>
  <si>
    <t>2025-11-19</t>
  </si>
  <si>
    <t>ORD-00012</t>
  </si>
  <si>
    <t>2025-11-20</t>
  </si>
  <si>
    <t>ORD-00317</t>
  </si>
  <si>
    <t>ORD-00994</t>
  </si>
  <si>
    <t>ORD-00078</t>
  </si>
  <si>
    <t>2025-11-21</t>
  </si>
  <si>
    <t>Customer 115</t>
  </si>
  <si>
    <t>ORD-00160</t>
  </si>
  <si>
    <t>ORD-00260</t>
  </si>
  <si>
    <t>ORD-00551</t>
  </si>
  <si>
    <t>ORD-00715</t>
  </si>
  <si>
    <t>ORD-00822</t>
  </si>
  <si>
    <t>ORD-00268</t>
  </si>
  <si>
    <t>2025-11-22</t>
  </si>
  <si>
    <t>ORD-00729</t>
  </si>
  <si>
    <t>ORD-00951</t>
  </si>
  <si>
    <t>ORD-00131</t>
  </si>
  <si>
    <t>2025-11-23</t>
  </si>
  <si>
    <t>Customer 105</t>
  </si>
  <si>
    <t>ORD-00214</t>
  </si>
  <si>
    <t>ORD-00295</t>
  </si>
  <si>
    <t>2025-11-25</t>
  </si>
  <si>
    <t>ORD-00320</t>
  </si>
  <si>
    <t>ORD-00346</t>
  </si>
  <si>
    <t>ORD-00495</t>
  </si>
  <si>
    <t>2025-11-26</t>
  </si>
  <si>
    <t>ORD-00740</t>
  </si>
  <si>
    <t>ORD-00825</t>
  </si>
  <si>
    <t>2025-11-27</t>
  </si>
  <si>
    <t>Customer 001</t>
  </si>
  <si>
    <t>ORD-00830</t>
  </si>
  <si>
    <t>ORD-00626</t>
  </si>
  <si>
    <t>2025-11-28</t>
  </si>
  <si>
    <t>ORD-00901</t>
  </si>
  <si>
    <t>ORD-00076</t>
  </si>
  <si>
    <t>2025-11-29</t>
  </si>
  <si>
    <t>ORD-00308</t>
  </si>
  <si>
    <t>ORD-00430</t>
  </si>
  <si>
    <t>ORD-00686</t>
  </si>
  <si>
    <t>ORD-00856</t>
  </si>
  <si>
    <t>Customer 186</t>
  </si>
  <si>
    <t>ORD-00969</t>
  </si>
  <si>
    <t>ORD-00382</t>
  </si>
  <si>
    <t>2025-11-30</t>
  </si>
  <si>
    <t>ORD-00179</t>
  </si>
  <si>
    <t>2025-12-01</t>
  </si>
  <si>
    <t>Customer 097</t>
  </si>
  <si>
    <t>ORD-00271</t>
  </si>
  <si>
    <t>ORD-00949</t>
  </si>
  <si>
    <t>ORD-00980</t>
  </si>
  <si>
    <t>ORD-00428</t>
  </si>
  <si>
    <t>2025-12-02</t>
  </si>
  <si>
    <t>ORD-00535</t>
  </si>
  <si>
    <t>Customer 174</t>
  </si>
  <si>
    <t>ORD-00970</t>
  </si>
  <si>
    <t>Customer 114</t>
  </si>
  <si>
    <t>ORD-00999</t>
  </si>
  <si>
    <t>ORD-00051</t>
  </si>
  <si>
    <t>2025-12-03</t>
  </si>
  <si>
    <t>ORD-00110</t>
  </si>
  <si>
    <t>ORD-00561</t>
  </si>
  <si>
    <t>Customer 082</t>
  </si>
  <si>
    <t>ORD-00676</t>
  </si>
  <si>
    <t>ORD-00263</t>
  </si>
  <si>
    <t>2025-12-04</t>
  </si>
  <si>
    <t>ORD-00810</t>
  </si>
  <si>
    <t>ORD-00060</t>
  </si>
  <si>
    <t>2025-12-05</t>
  </si>
  <si>
    <t>ORD-00631</t>
  </si>
  <si>
    <t>Customer 161</t>
  </si>
  <si>
    <t>ORD-00036</t>
  </si>
  <si>
    <t>2025-12-06</t>
  </si>
  <si>
    <t>ORD-00721</t>
  </si>
  <si>
    <t>ORD-00738</t>
  </si>
  <si>
    <t>ORD-00741</t>
  </si>
  <si>
    <t>ORD-00026</t>
  </si>
  <si>
    <t>2025-12-07</t>
  </si>
  <si>
    <t>ORD-00228</t>
  </si>
  <si>
    <t>Customer 125</t>
  </si>
  <si>
    <t>ORD-00031</t>
  </si>
  <si>
    <t>2025-12-08</t>
  </si>
  <si>
    <t>Customer 147</t>
  </si>
  <si>
    <t>ORD-00081</t>
  </si>
  <si>
    <t>ORD-00442</t>
  </si>
  <si>
    <t>ORD-00850</t>
  </si>
  <si>
    <t>ORD-00410</t>
  </si>
  <si>
    <t>2025-12-09</t>
  </si>
  <si>
    <t>Customer 109</t>
  </si>
  <si>
    <t>ORD-00816</t>
  </si>
  <si>
    <t>ORD-00935</t>
  </si>
  <si>
    <t>2025-12-10</t>
  </si>
  <si>
    <t>ORD-00001</t>
  </si>
  <si>
    <t>2025-12-12</t>
  </si>
  <si>
    <t>ORD-00086</t>
  </si>
  <si>
    <t>ORD-00584</t>
  </si>
  <si>
    <t>ORD-00596</t>
  </si>
  <si>
    <t>ORD-00032</t>
  </si>
  <si>
    <t>2025-12-13</t>
  </si>
  <si>
    <t>ORD-00174</t>
  </si>
  <si>
    <t>2025-12-14</t>
  </si>
  <si>
    <t>ORD-00742</t>
  </si>
  <si>
    <t>ORD-00866</t>
  </si>
  <si>
    <t>ORD-00913</t>
  </si>
  <si>
    <t>Customer 027</t>
  </si>
  <si>
    <t>ORD-00201</t>
  </si>
  <si>
    <t>2025-12-15</t>
  </si>
  <si>
    <t>ORD-00253</t>
  </si>
  <si>
    <t>ORD-00550</t>
  </si>
  <si>
    <t>ORD-00485</t>
  </si>
  <si>
    <t>2025-12-16</t>
  </si>
  <si>
    <t>Customer 089</t>
  </si>
  <si>
    <t>ORD-00511</t>
  </si>
  <si>
    <t>ORD-00163</t>
  </si>
  <si>
    <t>2025-12-17</t>
  </si>
  <si>
    <t>Customer 126</t>
  </si>
  <si>
    <t>ORD-00583</t>
  </si>
  <si>
    <t>ORD-00598</t>
  </si>
  <si>
    <t>ORD-00248</t>
  </si>
  <si>
    <t>2025-12-18</t>
  </si>
  <si>
    <t>ORD-00359</t>
  </si>
  <si>
    <t>ORD-00739</t>
  </si>
  <si>
    <t>ORD-00873</t>
  </si>
  <si>
    <t>ORD-00776</t>
  </si>
  <si>
    <t>2025-12-19</t>
  </si>
  <si>
    <t>ORD-00100</t>
  </si>
  <si>
    <t>2025-12-20</t>
  </si>
  <si>
    <t>ORD-00123</t>
  </si>
  <si>
    <t>Customer 104</t>
  </si>
  <si>
    <t>ORD-00275</t>
  </si>
  <si>
    <t>2025-12-21</t>
  </si>
  <si>
    <t>ORD-00023</t>
  </si>
  <si>
    <t>2025-12-22</t>
  </si>
  <si>
    <t>ORD-00134</t>
  </si>
  <si>
    <t>ORD-00276</t>
  </si>
  <si>
    <t>ORD-00177</t>
  </si>
  <si>
    <t>2025-12-23</t>
  </si>
  <si>
    <t>ORD-00463</t>
  </si>
  <si>
    <t>Customer 016</t>
  </si>
  <si>
    <t>ORD-00487</t>
  </si>
  <si>
    <t>ORD-00880</t>
  </si>
  <si>
    <t>ORD-00440</t>
  </si>
  <si>
    <t>2025-12-25</t>
  </si>
  <si>
    <t>ORD-00562</t>
  </si>
  <si>
    <t>Customer 143</t>
  </si>
  <si>
    <t>ORD-00712</t>
  </si>
  <si>
    <t>ORD-00978</t>
  </si>
  <si>
    <t>ORD-00210</t>
  </si>
  <si>
    <t>2025-12-26</t>
  </si>
  <si>
    <t>ORD-00338</t>
  </si>
  <si>
    <t>Customer 181</t>
  </si>
  <si>
    <t>ORD-00504</t>
  </si>
  <si>
    <t>Customer 160</t>
  </si>
  <si>
    <t>ORD-00106</t>
  </si>
  <si>
    <t>2025-12-27</t>
  </si>
  <si>
    <t>ORD-00755</t>
  </si>
  <si>
    <t>Customer 007</t>
  </si>
  <si>
    <t>ORD-00815</t>
  </si>
  <si>
    <t>ORD-00098</t>
  </si>
  <si>
    <t>2025-12-28</t>
  </si>
  <si>
    <t>ORD-00284</t>
  </si>
  <si>
    <t>ORD-00400</t>
  </si>
  <si>
    <t>Customer 159</t>
  </si>
  <si>
    <t>ORD-00541</t>
  </si>
  <si>
    <t>ORD-00311</t>
  </si>
  <si>
    <t>2025-12-29</t>
  </si>
  <si>
    <t>Customer 138</t>
  </si>
  <si>
    <t>ORD-00747</t>
  </si>
  <si>
    <t>ORD-00065</t>
  </si>
  <si>
    <t>2025-12-31</t>
  </si>
  <si>
    <t>ORD-00368</t>
  </si>
  <si>
    <t>ORD-00498</t>
  </si>
  <si>
    <t>ORD-00669</t>
  </si>
  <si>
    <t>ORD-00632</t>
  </si>
  <si>
    <t>2026-01-01</t>
  </si>
  <si>
    <t>Customer 144</t>
  </si>
  <si>
    <t>ORD-00843</t>
  </si>
  <si>
    <t>Customer 176</t>
  </si>
  <si>
    <t>ORD-00270</t>
  </si>
  <si>
    <t>2026-01-02</t>
  </si>
  <si>
    <t>ORD-00337</t>
  </si>
  <si>
    <t>ORD-00375</t>
  </si>
  <si>
    <t>2026-01-03</t>
  </si>
  <si>
    <t>Customer 037</t>
  </si>
  <si>
    <t>ORD-00464</t>
  </si>
  <si>
    <t>2026-01-04</t>
  </si>
  <si>
    <t>ORD-00690</t>
  </si>
  <si>
    <t>ORD-00730</t>
  </si>
  <si>
    <t>ORD-00743</t>
  </si>
  <si>
    <t>ORD-00358</t>
  </si>
  <si>
    <t>2026-01-05</t>
  </si>
  <si>
    <t>ORD-00745</t>
  </si>
  <si>
    <t>ORD-00837</t>
  </si>
  <si>
    <t>2026-01-06</t>
  </si>
  <si>
    <t>ORD-00048</t>
  </si>
  <si>
    <t>2026-01-07</t>
  </si>
  <si>
    <t>Customer 058</t>
  </si>
  <si>
    <t>ORD-00437</t>
  </si>
  <si>
    <t>ORD-00637</t>
  </si>
  <si>
    <t>ORD-00691</t>
  </si>
  <si>
    <t>Customer 042</t>
  </si>
  <si>
    <t>ORD-00863</t>
  </si>
  <si>
    <t>ORD-00002</t>
  </si>
  <si>
    <t>2026-01-09</t>
  </si>
  <si>
    <t>Customer 150</t>
  </si>
  <si>
    <t>ORD-00005</t>
  </si>
  <si>
    <t>ORD-00015</t>
  </si>
  <si>
    <t>ORD-00297</t>
  </si>
  <si>
    <t>2026-01-10</t>
  </si>
  <si>
    <t>Customer 020</t>
  </si>
  <si>
    <t>ORD-00718</t>
  </si>
  <si>
    <t>ORD-00088</t>
  </si>
  <si>
    <t>2026-01-11</t>
  </si>
  <si>
    <t>ORD-00332</t>
  </si>
  <si>
    <t>Customer 189</t>
  </si>
  <si>
    <t>ORD-00422</t>
  </si>
  <si>
    <t>Customer 056</t>
  </si>
  <si>
    <t>ORD-00490</t>
  </si>
  <si>
    <t>ORD-00842</t>
  </si>
  <si>
    <t>ORD-00497</t>
  </si>
  <si>
    <t>2026-01-12</t>
  </si>
  <si>
    <t>ORD-00419</t>
  </si>
  <si>
    <t>2026-01-13</t>
  </si>
  <si>
    <t>ORD-00663</t>
  </si>
  <si>
    <t>Customer 171</t>
  </si>
  <si>
    <t>ORD-00685</t>
  </si>
  <si>
    <t>Customer 050</t>
  </si>
  <si>
    <t>ORD-00943</t>
  </si>
  <si>
    <t>Customer 156</t>
  </si>
  <si>
    <t>ORD-00353</t>
  </si>
  <si>
    <t>2026-01-14</t>
  </si>
  <si>
    <t>ORD-00937</t>
  </si>
  <si>
    <t>ORD-00021</t>
  </si>
  <si>
    <t>2026-01-15</t>
  </si>
  <si>
    <t>ORD-00111</t>
  </si>
  <si>
    <t>ORD-00617</t>
  </si>
  <si>
    <t>Customer 106</t>
  </si>
  <si>
    <t>ORD-00748</t>
  </si>
  <si>
    <t>ORD-00477</t>
  </si>
  <si>
    <t>2026-01-16</t>
  </si>
  <si>
    <t>ORD-00501</t>
  </si>
  <si>
    <t>2026-01-19</t>
  </si>
  <si>
    <t>ORD-00593</t>
  </si>
  <si>
    <t>ORD-00809</t>
  </si>
  <si>
    <t>ORD-00833</t>
  </si>
  <si>
    <t>Customer 155</t>
  </si>
  <si>
    <t>ORD-00043</t>
  </si>
  <si>
    <t>2026-01-20</t>
  </si>
  <si>
    <t>ORD-00573</t>
  </si>
  <si>
    <t>Customer 025</t>
  </si>
  <si>
    <t>ORD-00017</t>
  </si>
  <si>
    <t>2026-01-21</t>
  </si>
  <si>
    <t>ORD-00074</t>
  </si>
  <si>
    <t>ORD-00259</t>
  </si>
  <si>
    <t>Customer 086</t>
  </si>
  <si>
    <t>ORD-00254</t>
  </si>
  <si>
    <t>2026-01-22</t>
  </si>
  <si>
    <t>ORD-00539</t>
  </si>
  <si>
    <t>ORD-00619</t>
  </si>
  <si>
    <t>ORD-00703</t>
  </si>
  <si>
    <t>ORD-00077</t>
  </si>
  <si>
    <t>2026-01-23</t>
  </si>
  <si>
    <t>ORD-00478</t>
  </si>
  <si>
    <t>ORD-00725</t>
  </si>
  <si>
    <t>2026-01-24</t>
  </si>
  <si>
    <t>ORD-00891</t>
  </si>
  <si>
    <t>ORD-00941</t>
  </si>
  <si>
    <t>ORD-00403</t>
  </si>
  <si>
    <t>2026-01-25</t>
  </si>
  <si>
    <t>ORD-00847</t>
  </si>
  <si>
    <t>ORD-00845</t>
  </si>
  <si>
    <t>2026-01-26</t>
  </si>
  <si>
    <t>ORD-00347</t>
  </si>
  <si>
    <t>2026-01-27</t>
  </si>
  <si>
    <t>ORD-00029</t>
  </si>
  <si>
    <t>2026-01-29</t>
  </si>
  <si>
    <t>ORD-00090</t>
  </si>
  <si>
    <t>ORD-00289</t>
  </si>
  <si>
    <t>ORD-00462</t>
  </si>
  <si>
    <t>Customer 002</t>
  </si>
  <si>
    <t>ORD-00481</t>
  </si>
  <si>
    <t>ORD-00924</t>
  </si>
  <si>
    <t>ORD-00115</t>
  </si>
  <si>
    <t>2026-01-31</t>
  </si>
  <si>
    <t>ORD-00233</t>
  </si>
  <si>
    <t>ORD-00286</t>
  </si>
  <si>
    <t>ORD-00360</t>
  </si>
  <si>
    <t>ORD-00050</t>
  </si>
  <si>
    <t>2026-02-01</t>
  </si>
  <si>
    <t>ORD-00200</t>
  </si>
  <si>
    <t>ORD-00314</t>
  </si>
  <si>
    <t>ORD-00384</t>
  </si>
  <si>
    <t>ORD-00647</t>
  </si>
  <si>
    <t>ORD-00859</t>
  </si>
  <si>
    <t>ORD-00334</t>
  </si>
  <si>
    <t>2026-02-03</t>
  </si>
  <si>
    <t>ORD-00370</t>
  </si>
  <si>
    <t>ORD-00429</t>
  </si>
  <si>
    <t>ORD-00560</t>
  </si>
  <si>
    <t>ORD-00844</t>
  </si>
  <si>
    <t>ORD-00117</t>
  </si>
  <si>
    <t>2026-02-04</t>
  </si>
  <si>
    <t>ORD-00330</t>
  </si>
  <si>
    <t>2026-02-05</t>
  </si>
  <si>
    <t>Customer 013</t>
  </si>
  <si>
    <t>ORD-00119</t>
  </si>
  <si>
    <t>2026-02-06</t>
  </si>
  <si>
    <t>ORD-00239</t>
  </si>
  <si>
    <t>ORD-00512</t>
  </si>
  <si>
    <t>ORD-00628</t>
  </si>
  <si>
    <t>ORD-00496</t>
  </si>
  <si>
    <t>2026-02-07</t>
  </si>
  <si>
    <t>ORD-00554</t>
  </si>
  <si>
    <t>Customer 187</t>
  </si>
  <si>
    <t>ORD-00907</t>
  </si>
  <si>
    <t>Customer 064</t>
  </si>
  <si>
    <t>ORD-00316</t>
  </si>
  <si>
    <t>2026-02-08</t>
  </si>
  <si>
    <t>Customer 178</t>
  </si>
  <si>
    <t>ORD-00870</t>
  </si>
  <si>
    <t>ORD-00946</t>
  </si>
  <si>
    <t>2026-02-09</t>
  </si>
  <si>
    <t>Customer 139</t>
  </si>
  <si>
    <t>ORD-00438</t>
  </si>
  <si>
    <t>2026-02-10</t>
  </si>
  <si>
    <t>ORD-00780</t>
  </si>
  <si>
    <t>2026-02-11</t>
  </si>
  <si>
    <t>ORD-00146</t>
  </si>
  <si>
    <t>2026-02-12</t>
  </si>
  <si>
    <t>ORD-00377</t>
  </si>
  <si>
    <t>ORD-00803</t>
  </si>
  <si>
    <t>ORD-00195</t>
  </si>
  <si>
    <t>2026-02-13</t>
  </si>
  <si>
    <t>ORD-00587</t>
  </si>
  <si>
    <t>Customer 081</t>
  </si>
  <si>
    <t>ORD-00976</t>
  </si>
  <si>
    <t>ORD-00460</t>
  </si>
  <si>
    <t>2026-02-15</t>
  </si>
  <si>
    <t>Customer 083</t>
  </si>
  <si>
    <t>ORD-00832</t>
  </si>
  <si>
    <t>ORD-00767</t>
  </si>
  <si>
    <t>2026-02-16</t>
  </si>
  <si>
    <t>ORD-00874</t>
  </si>
  <si>
    <t>Customer 146</t>
  </si>
  <si>
    <t>ORD-00004</t>
  </si>
  <si>
    <t>2026-02-17</t>
  </si>
  <si>
    <t>ORD-00175</t>
  </si>
  <si>
    <t>ORD-00796</t>
  </si>
  <si>
    <t>Customer 080</t>
  </si>
  <si>
    <t>ORD-00894</t>
  </si>
  <si>
    <t>ORD-00939</t>
  </si>
  <si>
    <t>2026-02-18</t>
  </si>
  <si>
    <t>ORD-00881</t>
  </si>
  <si>
    <t>2026-02-19</t>
  </si>
  <si>
    <t>ORD-00072</t>
  </si>
  <si>
    <t>2026-02-20</t>
  </si>
  <si>
    <t>ORD-00148</t>
  </si>
  <si>
    <t>ORD-00265</t>
  </si>
  <si>
    <t>ORD-00302</t>
  </si>
  <si>
    <t>Customer 094</t>
  </si>
  <si>
    <t>ORD-00641</t>
  </si>
  <si>
    <t>ORD-00224</t>
  </si>
  <si>
    <t>2026-02-22</t>
  </si>
  <si>
    <t>Customer 034</t>
  </si>
  <si>
    <t>ORD-00386</t>
  </si>
  <si>
    <t>ORD-00176</t>
  </si>
  <si>
    <t>2026-02-23</t>
  </si>
  <si>
    <t>ORD-00523</t>
  </si>
  <si>
    <t>ORD-00576</t>
  </si>
  <si>
    <t>ORD-00318</t>
  </si>
  <si>
    <t>2026-02-24</t>
  </si>
  <si>
    <t>ORD-00404</t>
  </si>
  <si>
    <t>ORD-00470</t>
  </si>
  <si>
    <t>ORD-00853</t>
  </si>
  <si>
    <t>Customer 131</t>
  </si>
  <si>
    <t>ORD-00965</t>
  </si>
  <si>
    <t>ORD-00108</t>
  </si>
  <si>
    <t>2026-02-25</t>
  </si>
  <si>
    <t>ORD-00222</t>
  </si>
  <si>
    <t>ORD-00786</t>
  </si>
  <si>
    <t>ORD-00016</t>
  </si>
  <si>
    <t>2026-02-26</t>
  </si>
  <si>
    <t>ORD-00055</t>
  </si>
  <si>
    <t>ORD-00728</t>
  </si>
  <si>
    <t>ORD-00680</t>
  </si>
  <si>
    <t>2026-02-27</t>
  </si>
  <si>
    <t>ORD-00777</t>
  </si>
  <si>
    <t>ORD-00417</t>
  </si>
  <si>
    <t>2026-02-28</t>
  </si>
  <si>
    <t>Customer 170</t>
  </si>
  <si>
    <t>ORD-00424</t>
  </si>
  <si>
    <t>Customer 200</t>
  </si>
  <si>
    <t>ORD-00540</t>
  </si>
  <si>
    <t>ORD-00575</t>
  </si>
  <si>
    <t>ORD-00621</t>
  </si>
  <si>
    <t>ORD-00659</t>
  </si>
  <si>
    <t>ORD-00735</t>
  </si>
  <si>
    <t>ORD-00753</t>
  </si>
  <si>
    <t>ORD-00792</t>
  </si>
  <si>
    <t>ORD-00126</t>
  </si>
  <si>
    <t>2026-03-01</t>
  </si>
  <si>
    <t>ORD-00415</t>
  </si>
  <si>
    <t>ORD-00510</t>
  </si>
  <si>
    <t>ORD-00811</t>
  </si>
  <si>
    <t>ORD-00761</t>
  </si>
  <si>
    <t>2026-03-02</t>
  </si>
  <si>
    <t>ORD-00312</t>
  </si>
  <si>
    <t>2026-03-03</t>
  </si>
  <si>
    <t>ORD-00754</t>
  </si>
  <si>
    <t>ORD-00665</t>
  </si>
  <si>
    <t>2026-03-04</t>
  </si>
  <si>
    <t>ORD-00211</t>
  </si>
  <si>
    <t>2026-03-05</t>
  </si>
  <si>
    <t>ORD-00488</t>
  </si>
  <si>
    <t>ORD-00783</t>
  </si>
  <si>
    <t>ORD-00923</t>
  </si>
  <si>
    <t>ORD-00486</t>
  </si>
  <si>
    <t>2026-03-06</t>
  </si>
  <si>
    <t>ORD-00161</t>
  </si>
  <si>
    <t>2026-03-07</t>
  </si>
  <si>
    <t>ORD-00785</t>
  </si>
  <si>
    <t>ORD-00852</t>
  </si>
  <si>
    <t>ORD-00890</t>
  </si>
  <si>
    <t>ORD-00291</t>
  </si>
  <si>
    <t>2026-03-08</t>
  </si>
  <si>
    <t>ORD-00714</t>
  </si>
  <si>
    <t>ORD-00071</t>
  </si>
  <si>
    <t>2026-03-09</t>
  </si>
  <si>
    <t>ORD-00355</t>
  </si>
  <si>
    <t>ORD-00274</t>
  </si>
  <si>
    <t>2026-03-10</t>
  </si>
  <si>
    <t>ORD-00392</t>
  </si>
  <si>
    <t>ORD-00938</t>
  </si>
  <si>
    <t>ORD-00356</t>
  </si>
  <si>
    <t>2026-03-11</t>
  </si>
  <si>
    <t>ORD-00514</t>
  </si>
  <si>
    <t>ORD-00968</t>
  </si>
  <si>
    <t>ORD-00981</t>
  </si>
  <si>
    <t>ORD-00167</t>
  </si>
  <si>
    <t>2026-03-12</t>
  </si>
  <si>
    <t>ORD-00105</t>
  </si>
  <si>
    <t>2026-03-13</t>
  </si>
  <si>
    <t>ORD-00389</t>
  </si>
  <si>
    <t>ORD-00805</t>
  </si>
  <si>
    <t>ORD-00141</t>
  </si>
  <si>
    <t>2026-03-14</t>
  </si>
  <si>
    <t>ORD-00445</t>
  </si>
  <si>
    <t>ORD-00519</t>
  </si>
  <si>
    <t>ORD-00670</t>
  </si>
  <si>
    <t>ORD-00058</t>
  </si>
  <si>
    <t>2026-03-15</t>
  </si>
  <si>
    <t>ORD-00249</t>
  </si>
  <si>
    <t>ORD-00802</t>
  </si>
  <si>
    <t>ORD-00818</t>
  </si>
  <si>
    <t>ORD-00466</t>
  </si>
  <si>
    <t>2026-03-16</t>
  </si>
  <si>
    <t>ORD-00769</t>
  </si>
  <si>
    <t>ORD-00963</t>
  </si>
  <si>
    <t>ORD-00157</t>
  </si>
  <si>
    <t>2026-03-17</t>
  </si>
  <si>
    <t>ORD-00220</t>
  </si>
  <si>
    <t>ORD-00633</t>
  </si>
  <si>
    <t>Customer 140</t>
  </si>
  <si>
    <t>ORD-00814</t>
  </si>
  <si>
    <t>ORD-00910</t>
  </si>
  <si>
    <t>ORD-00028</t>
  </si>
  <si>
    <t>2026-03-18</t>
  </si>
  <si>
    <t>ORD-00230</t>
  </si>
  <si>
    <t>ORD-00423</t>
  </si>
  <si>
    <t>ORD-00506</t>
  </si>
  <si>
    <t>ORD-00698</t>
  </si>
  <si>
    <t>ORD-00857</t>
  </si>
  <si>
    <t>ORD-00122</t>
  </si>
  <si>
    <t>2026-03-19</t>
  </si>
  <si>
    <t>ORD-00250</t>
  </si>
  <si>
    <t>ORD-00708</t>
  </si>
  <si>
    <t>ORD-00364</t>
  </si>
  <si>
    <t>2026-03-20</t>
  </si>
  <si>
    <t>ORD-00376</t>
  </si>
  <si>
    <t>ORD-00823</t>
  </si>
  <si>
    <t>ORD-00069</t>
  </si>
  <si>
    <t>2026-03-21</t>
  </si>
  <si>
    <t>ORD-00371</t>
  </si>
  <si>
    <t>ORD-00468</t>
  </si>
  <si>
    <t>ORD-00385</t>
  </si>
  <si>
    <t>2026-03-22</t>
  </si>
  <si>
    <t>Customer 192</t>
  </si>
  <si>
    <t>ORD-00581</t>
  </si>
  <si>
    <t>ORD-00746</t>
  </si>
  <si>
    <t>ORD-00218</t>
  </si>
  <si>
    <t>2026-03-23</t>
  </si>
  <si>
    <t>ORD-00517</t>
  </si>
  <si>
    <t>ORD-00744</t>
  </si>
  <si>
    <t>ORD-00824</t>
  </si>
  <si>
    <t>ORD-00987</t>
  </si>
  <si>
    <t>ORD-00421</t>
  </si>
  <si>
    <t>2026-03-24</t>
  </si>
  <si>
    <t>ORD-00558</t>
  </si>
  <si>
    <t>ORD-00917</t>
  </si>
  <si>
    <t>ORD-00007</t>
  </si>
  <si>
    <t>2026-03-25</t>
  </si>
  <si>
    <t>ORD-00063</t>
  </si>
  <si>
    <t>ORD-00262</t>
  </si>
  <si>
    <t>ORD-00942</t>
  </si>
  <si>
    <t>ORD-00954</t>
  </si>
  <si>
    <t>ORD-00489</t>
  </si>
  <si>
    <t>2026-03-26</t>
  </si>
  <si>
    <t>ORD-00528</t>
  </si>
  <si>
    <t>ORD-00536</t>
  </si>
  <si>
    <t>ORD-00572</t>
  </si>
  <si>
    <t>2026-03-27</t>
  </si>
  <si>
    <t>ORD-00594</t>
  </si>
  <si>
    <t>ORD-00143</t>
  </si>
  <si>
    <t>2026-03-28</t>
  </si>
  <si>
    <t>ORD-00716</t>
  </si>
  <si>
    <t>ORD-00409</t>
  </si>
  <si>
    <t>2026-03-29</t>
  </si>
  <si>
    <t>ORD-00664</t>
  </si>
  <si>
    <t>Customer 196</t>
  </si>
  <si>
    <t>ORD-00882</t>
  </si>
  <si>
    <t>ORD-00281</t>
  </si>
  <si>
    <t>2026-03-30</t>
  </si>
  <si>
    <t>ORD-00301</t>
  </si>
  <si>
    <t>ORD-00407</t>
  </si>
  <si>
    <t>ORD-00530</t>
  </si>
  <si>
    <t>ORD-00831</t>
  </si>
  <si>
    <t>Customer 021</t>
  </si>
  <si>
    <t>ORD-00750</t>
  </si>
  <si>
    <t>2026-03-31</t>
  </si>
  <si>
    <t>ORD-00273</t>
  </si>
  <si>
    <t>2026-04-01</t>
  </si>
  <si>
    <t>ORD-00287</t>
  </si>
  <si>
    <t>ORD-00290</t>
  </si>
  <si>
    <t>ORD-00580</t>
  </si>
  <si>
    <t>2026-04-02</t>
  </si>
  <si>
    <t>ORD-00679</t>
  </si>
  <si>
    <t>ORD-00682</t>
  </si>
  <si>
    <t>ORD-00820</t>
  </si>
  <si>
    <t>ORD-00936</t>
  </si>
  <si>
    <t>ORD-00251</t>
  </si>
  <si>
    <t>2026-04-03</t>
  </si>
  <si>
    <t>ORD-00515</t>
  </si>
  <si>
    <t>ORD-00705</t>
  </si>
  <si>
    <t>ORD-00799</t>
  </si>
  <si>
    <t>ORD-00014</t>
  </si>
  <si>
    <t>2026-04-04</t>
  </si>
  <si>
    <t>ORD-00912</t>
  </si>
  <si>
    <t>ORD-00872</t>
  </si>
  <si>
    <t>2026-04-05</t>
  </si>
  <si>
    <t>ORD-00315</t>
  </si>
  <si>
    <t>2026-04-06</t>
  </si>
  <si>
    <t>ORD-00655</t>
  </si>
  <si>
    <t>ORD-00733</t>
  </si>
  <si>
    <t>2026-04-07</t>
  </si>
  <si>
    <t>ORD-00925</t>
  </si>
  <si>
    <t>ORD-00961</t>
  </si>
  <si>
    <t>ORD-00104</t>
  </si>
  <si>
    <t>2026-04-08</t>
  </si>
  <si>
    <t>ORD-00328</t>
  </si>
  <si>
    <t>ORD-00675</t>
  </si>
  <si>
    <t>ORD-00947</t>
  </si>
  <si>
    <t>ORD-00444</t>
  </si>
  <si>
    <t>2026-04-09</t>
  </si>
  <si>
    <t>ORD-00566</t>
  </si>
  <si>
    <t>ORD-00597</t>
  </si>
  <si>
    <t>ORD-00085</t>
  </si>
  <si>
    <t>2026-04-10</t>
  </si>
  <si>
    <t>ORD-00139</t>
  </si>
  <si>
    <t>2026-04-11</t>
  </si>
  <si>
    <t>ORD-00699</t>
  </si>
  <si>
    <t>ORD-00849</t>
  </si>
  <si>
    <t>ORD-00418</t>
  </si>
  <si>
    <t>2026-04-12</t>
  </si>
  <si>
    <t>ORD-00971</t>
  </si>
  <si>
    <t>ORD-00387</t>
  </si>
  <si>
    <t>2026-04-13</t>
  </si>
  <si>
    <t>ORD-00997</t>
  </si>
  <si>
    <t>ORD-00188</t>
  </si>
  <si>
    <t>2026-04-14</t>
  </si>
  <si>
    <t>ORD-00627</t>
  </si>
  <si>
    <t>ORD-00791</t>
  </si>
  <si>
    <t>ORD-00930</t>
  </si>
  <si>
    <t>ORD-00173</t>
  </si>
  <si>
    <t>2026-04-15</t>
  </si>
  <si>
    <t>ORD-00324</t>
  </si>
  <si>
    <t>ORD-00933</t>
  </si>
  <si>
    <t>ORD-00073</t>
  </si>
  <si>
    <t>2026-04-17</t>
  </si>
  <si>
    <t>ORD-00599</t>
  </si>
  <si>
    <t>ORD-00778</t>
  </si>
  <si>
    <t>ORD-00524</t>
  </si>
  <si>
    <t>2026-04-18</t>
  </si>
  <si>
    <t>ORD-00256</t>
  </si>
  <si>
    <t>2026-04-19</t>
  </si>
  <si>
    <t>Customer 032</t>
  </si>
  <si>
    <t>ORD-00807</t>
  </si>
  <si>
    <t>ORD-00886</t>
  </si>
  <si>
    <t>ORD-00322</t>
  </si>
  <si>
    <t>2026-04-20</t>
  </si>
  <si>
    <t>ORD-00350</t>
  </si>
  <si>
    <t>ORD-00022</t>
  </si>
  <si>
    <t>2026-04-21</t>
  </si>
  <si>
    <t>ORD-00038</t>
  </si>
  <si>
    <t>ORD-00567</t>
  </si>
  <si>
    <t>ORD-00757</t>
  </si>
  <si>
    <t>ORD-00374</t>
  </si>
  <si>
    <t>2026-04-22</t>
  </si>
  <si>
    <t>ORD-00760</t>
  </si>
  <si>
    <t>ORD-00662</t>
  </si>
  <si>
    <t>2026-04-23</t>
  </si>
  <si>
    <t>ORD-00967</t>
  </si>
  <si>
    <t>ORD-00190</t>
  </si>
  <si>
    <t>2026-04-24</t>
  </si>
  <si>
    <t>ORD-00854</t>
  </si>
  <si>
    <t>ORD-00049</t>
  </si>
  <si>
    <t>2026-04-25</t>
  </si>
  <si>
    <t>ORD-00555</t>
  </si>
  <si>
    <t>ORD-00788</t>
  </si>
  <si>
    <t>ORD-00989</t>
  </si>
  <si>
    <t>ORD-00097</t>
  </si>
  <si>
    <t>2026-04-26</t>
  </si>
  <si>
    <t>ORD-00571</t>
  </si>
  <si>
    <t>ORD-00362</t>
  </si>
  <si>
    <t>2026-04-27</t>
  </si>
  <si>
    <t>ORD-00508</t>
  </si>
  <si>
    <t>ORD-00304</t>
  </si>
  <si>
    <t>2026-04-28</t>
  </si>
  <si>
    <t>ORD-00247</t>
  </si>
  <si>
    <t>2026-04-29</t>
  </si>
  <si>
    <t>ORD-00689</t>
  </si>
  <si>
    <t>ORD-00898</t>
  </si>
  <si>
    <t>ORD-00185</t>
  </si>
  <si>
    <t>2026-04-30</t>
  </si>
  <si>
    <t>ORD-00199</t>
  </si>
  <si>
    <t>ORD-00221</t>
  </si>
  <si>
    <t>Customer 043</t>
  </si>
  <si>
    <t>ORD-00590</t>
  </si>
  <si>
    <t>ORD-00959</t>
  </si>
  <si>
    <t>ORD-00152</t>
  </si>
  <si>
    <t>2026-05-02</t>
  </si>
  <si>
    <t>ORD-00165</t>
  </si>
  <si>
    <t>2026-05-03</t>
  </si>
  <si>
    <t>ORD-00922</t>
  </si>
  <si>
    <t>ORD-00144</t>
  </si>
  <si>
    <t>2026-05-04</t>
  </si>
  <si>
    <t>ORD-00151</t>
  </si>
  <si>
    <t>ORD-00272</t>
  </si>
  <si>
    <t>ORD-00499</t>
  </si>
  <si>
    <t>ORD-00595</t>
  </si>
  <si>
    <t>ORD-00625</t>
  </si>
  <si>
    <t>ORD-00918</t>
  </si>
  <si>
    <t>ORD-00103</t>
  </si>
  <si>
    <t>2026-05-05</t>
  </si>
  <si>
    <t>ORD-00549</t>
  </si>
  <si>
    <t>ORD-00601</t>
  </si>
  <si>
    <t>ORD-00903</t>
  </si>
  <si>
    <t>ORD-00255</t>
  </si>
  <si>
    <t>2026-05-06</t>
  </si>
  <si>
    <t>ORD-00726</t>
  </si>
  <si>
    <t>ORD-00059</t>
  </si>
  <si>
    <t>2026-05-07</t>
  </si>
  <si>
    <t>ORD-00053</t>
  </si>
  <si>
    <t>2026-05-08</t>
  </si>
  <si>
    <t>ORD-00578</t>
  </si>
  <si>
    <t>ORD-00203</t>
  </si>
  <si>
    <t>2026-05-09</t>
  </si>
  <si>
    <t>ORD-00303</t>
  </si>
  <si>
    <t>ORD-00456</t>
  </si>
  <si>
    <t>ORD-00269</t>
  </si>
  <si>
    <t>2026-05-10</t>
  </si>
  <si>
    <t>ORD-00339</t>
  </si>
  <si>
    <t>ORD-00435</t>
  </si>
  <si>
    <t>ORD-00841</t>
  </si>
  <si>
    <t>ORD-00039</t>
  </si>
  <si>
    <t>2026-05-11</t>
  </si>
  <si>
    <t>ORD-00066</t>
  </si>
  <si>
    <t>ORD-00885</t>
  </si>
  <si>
    <t>ORD-00300</t>
  </si>
  <si>
    <t>2026-05-12</t>
  </si>
  <si>
    <t>ORD-00137</t>
  </si>
  <si>
    <t>2026-05-13</t>
  </si>
  <si>
    <t>ORD-00556</t>
  </si>
  <si>
    <t>2026-05-14</t>
  </si>
  <si>
    <t>ORD-00603</t>
  </si>
  <si>
    <t>ORD-00919</t>
  </si>
  <si>
    <t>ORD-00095</t>
  </si>
  <si>
    <t>2026-05-15</t>
  </si>
  <si>
    <t>ORD-00132</t>
  </si>
  <si>
    <t>ORD-00191</t>
  </si>
  <si>
    <t>ORD-00054</t>
  </si>
  <si>
    <t>2026-05-16</t>
  </si>
  <si>
    <t>ORD-00246</t>
  </si>
  <si>
    <t>ORD-00784</t>
  </si>
  <si>
    <t>ORD-00955</t>
  </si>
  <si>
    <t>Customer 054</t>
  </si>
  <si>
    <t>ORD-00956</t>
  </si>
  <si>
    <t>ORD-00027</t>
  </si>
  <si>
    <t>2026-05-17</t>
  </si>
  <si>
    <t>ORD-00008</t>
  </si>
  <si>
    <t>2026-05-18</t>
  </si>
  <si>
    <t>ORD-00215</t>
  </si>
  <si>
    <t>2026-05-19</t>
  </si>
  <si>
    <t>Customer 193</t>
  </si>
  <si>
    <t>ORD-00293</t>
  </si>
  <si>
    <t>ORD-00793</t>
  </si>
  <si>
    <t>ORD-00893</t>
  </si>
  <si>
    <t>ORD-00944</t>
  </si>
  <si>
    <t>2026-05-20</t>
  </si>
  <si>
    <t>ORD-00240</t>
  </si>
  <si>
    <t>2026-05-21</t>
  </si>
  <si>
    <t>ORD-00327</t>
  </si>
  <si>
    <t>ORD-00921</t>
  </si>
  <si>
    <t>ORD-00138</t>
  </si>
  <si>
    <t>2026-05-22</t>
  </si>
  <si>
    <t>ORD-00217</t>
  </si>
  <si>
    <t>ORD-00390</t>
  </si>
  <si>
    <t>ORD-00232</t>
  </si>
  <si>
    <t>2026-05-23</t>
  </si>
  <si>
    <t>ORD-00344</t>
  </si>
  <si>
    <t>ORD-00666</t>
  </si>
  <si>
    <t>ORD-00475</t>
  </si>
  <si>
    <t>2026-05-24</t>
  </si>
  <si>
    <t>ORD-00548</t>
  </si>
  <si>
    <t>ORD-00624</t>
  </si>
  <si>
    <t>ORD-00756</t>
  </si>
  <si>
    <t>ORD-00325</t>
  </si>
  <si>
    <t>2026-05-25</t>
  </si>
  <si>
    <t>ORD-00770</t>
  </si>
  <si>
    <t>ORD-00934</t>
  </si>
  <si>
    <t>ORD-00986</t>
  </si>
  <si>
    <t>ORD-00288</t>
  </si>
  <si>
    <t>2026-05-26</t>
  </si>
  <si>
    <t>ORD-00531</t>
  </si>
  <si>
    <t>ORD-00565</t>
  </si>
  <si>
    <t>Customer 065</t>
  </si>
  <si>
    <t>ORD-00644</t>
  </si>
  <si>
    <t>ORD-00285</t>
  </si>
  <si>
    <t>2026-05-27</t>
  </si>
  <si>
    <t>ORD-00520</t>
  </si>
  <si>
    <t>ORD-00648</t>
  </si>
  <si>
    <t>ORD-00759</t>
  </si>
  <si>
    <t>ORD-00902</t>
  </si>
  <si>
    <t>ORD-00009</t>
  </si>
  <si>
    <t>2026-05-28</t>
  </si>
  <si>
    <t>ORD-00159</t>
  </si>
  <si>
    <t>ORD-00216</t>
  </si>
  <si>
    <t>ORD-00611</t>
  </si>
  <si>
    <t>ORD-00455</t>
  </si>
  <si>
    <t>2026-05-29</t>
  </si>
  <si>
    <t>ORD-00479</t>
  </si>
  <si>
    <t>ORD-00544</t>
  </si>
  <si>
    <t>ORD-00868</t>
  </si>
  <si>
    <t>ORD-00336</t>
  </si>
  <si>
    <t>2026-05-30</t>
  </si>
  <si>
    <t>ORD-00717</t>
  </si>
  <si>
    <t>ORD-00927</t>
  </si>
  <si>
    <t>ORD-00988</t>
  </si>
  <si>
    <t>ORD-00041</t>
  </si>
  <si>
    <t>2026-05-31</t>
  </si>
  <si>
    <t>ORD-00380</t>
  </si>
  <si>
    <t>ORD-00542</t>
  </si>
  <si>
    <t>ORD-00704</t>
  </si>
  <si>
    <t>ORD-00731</t>
  </si>
  <si>
    <t>ORD-00797</t>
  </si>
  <si>
    <t>ORD-00164</t>
  </si>
  <si>
    <t>2026-06-01</t>
  </si>
  <si>
    <t>ORD-00047</t>
  </si>
  <si>
    <t>2026-06-02</t>
  </si>
  <si>
    <t>ORD-00155</t>
  </si>
  <si>
    <t>ORD-00329</t>
  </si>
  <si>
    <t>ORD-00342</t>
  </si>
  <si>
    <t>ORD-00343</t>
  </si>
  <si>
    <t>ORD-00612</t>
  </si>
  <si>
    <t>ORD-00614</t>
  </si>
  <si>
    <t>ORD-00645</t>
  </si>
  <si>
    <t>ORD-00781</t>
  </si>
  <si>
    <t>ORD-00525</t>
  </si>
  <si>
    <t>2026-06-03</t>
  </si>
  <si>
    <t>ORD-00858</t>
  </si>
  <si>
    <t>ORD-00003</t>
  </si>
  <si>
    <t>2026-06-04</t>
  </si>
  <si>
    <t>ORD-00034</t>
  </si>
  <si>
    <t>ORD-00236</t>
  </si>
  <si>
    <t>ORD-00241</t>
  </si>
  <si>
    <t>ORD-00367</t>
  </si>
  <si>
    <t>ORD-00441</t>
  </si>
  <si>
    <t>2026-06-05</t>
  </si>
  <si>
    <t>ORD-00585</t>
  </si>
  <si>
    <t>ORD-00671</t>
  </si>
  <si>
    <t>ORD-00229</t>
  </si>
  <si>
    <t>2026-06-06</t>
  </si>
  <si>
    <t>ORD-00673</t>
  </si>
  <si>
    <t>ORD-00895</t>
  </si>
  <si>
    <t>ORD-00629</t>
  </si>
  <si>
    <t>2026-06-07</t>
  </si>
  <si>
    <t>ORD-00292</t>
  </si>
  <si>
    <t>2026-06-08</t>
  </si>
  <si>
    <t>ORD-00953</t>
  </si>
  <si>
    <t>ORD-00080</t>
  </si>
  <si>
    <t>2026-06-09</t>
  </si>
  <si>
    <t>ORD-00121</t>
  </si>
  <si>
    <t>ORD-00896</t>
  </si>
  <si>
    <t>ORD-00020</t>
  </si>
  <si>
    <t>2026-06-10</t>
  </si>
  <si>
    <t>ORD-00722</t>
  </si>
  <si>
    <t>ORD-00706</t>
  </si>
  <si>
    <t>2026-06-11</t>
  </si>
  <si>
    <t>ORD-00056</t>
  </si>
  <si>
    <t>2026-06-12</t>
  </si>
  <si>
    <t>ORD-00130</t>
  </si>
  <si>
    <t>ORD-00363</t>
  </si>
  <si>
    <t>ORD-00636</t>
  </si>
  <si>
    <t>ORD-00875</t>
  </si>
  <si>
    <t>ORD-00133</t>
  </si>
  <si>
    <t>2026-06-13</t>
  </si>
  <si>
    <t>ORD-00147</t>
  </si>
  <si>
    <t>2026-06-14</t>
  </si>
  <si>
    <t>ORD-00226</t>
  </si>
  <si>
    <t>ORD-00557</t>
  </si>
  <si>
    <t>ORD-00982</t>
  </si>
  <si>
    <t>ORD-00135</t>
  </si>
  <si>
    <t>2026-06-15</t>
  </si>
  <si>
    <t>ORD-00136</t>
  </si>
  <si>
    <t>ORD-00206</t>
  </si>
  <si>
    <t>ORD-00532</t>
  </si>
  <si>
    <t>ORD-00564</t>
  </si>
  <si>
    <t>ORD-00618</t>
  </si>
  <si>
    <t>ORD-00928</t>
  </si>
  <si>
    <t>ORD-00052</t>
  </si>
  <si>
    <t>2026-06-16</t>
  </si>
  <si>
    <t>ORD-00102</t>
  </si>
  <si>
    <t>ORD-00118</t>
  </si>
  <si>
    <t>ORD-00958</t>
  </si>
  <si>
    <t>ORD-00473</t>
  </si>
  <si>
    <t>2026-06-17</t>
  </si>
  <si>
    <t>ORD-00482</t>
  </si>
  <si>
    <t>ORD-00154</t>
  </si>
  <si>
    <t>2026-06-18</t>
  </si>
  <si>
    <t>ORD-00231</t>
  </si>
  <si>
    <t>ORD-00354</t>
  </si>
  <si>
    <t>ORD-00732</t>
  </si>
  <si>
    <t>ORD-00257</t>
  </si>
  <si>
    <t>2026-06-19</t>
  </si>
  <si>
    <t>ORD-00656</t>
  </si>
  <si>
    <t>ORD-00794</t>
  </si>
  <si>
    <t>ORD-00124</t>
  </si>
  <si>
    <t>2026-06-20</t>
  </si>
  <si>
    <t>ORD-00168</t>
  </si>
  <si>
    <t>ORD-00245</t>
  </si>
  <si>
    <t>ORD-00569</t>
  </si>
  <si>
    <t>ORD-00865</t>
  </si>
  <si>
    <t>ORD-00681</t>
  </si>
  <si>
    <t>2026-06-21</t>
  </si>
  <si>
    <t>ORD-00773</t>
  </si>
  <si>
    <t>ORD-00502</t>
  </si>
  <si>
    <t>2026-06-22</t>
  </si>
  <si>
    <t>ORD-00114</t>
  </si>
  <si>
    <t>2026-06-23</t>
  </si>
  <si>
    <t>ORD-00125</t>
  </si>
  <si>
    <t>ORD-00827</t>
  </si>
  <si>
    <t>2026-06-24</t>
  </si>
  <si>
    <t>ORD-00905</t>
  </si>
  <si>
    <t>ORD-00606</t>
  </si>
  <si>
    <t>2026-06-25</t>
  </si>
  <si>
    <t>ORD-00697</t>
  </si>
  <si>
    <t>ORD-00432</t>
  </si>
  <si>
    <t>2026-06-26</t>
  </si>
  <si>
    <t>ORD-00538</t>
  </si>
  <si>
    <t>ORD-00252</t>
  </si>
  <si>
    <t>2026-06-27</t>
  </si>
  <si>
    <t>ORD-00888</t>
  </si>
  <si>
    <t>ORD-00011</t>
  </si>
  <si>
    <t>2026-06-28</t>
  </si>
  <si>
    <t>ORD-00197</t>
  </si>
  <si>
    <t>ORD-00677</t>
  </si>
  <si>
    <t>ORD-00960</t>
  </si>
  <si>
    <t>2026-06-29</t>
  </si>
  <si>
    <t>ORD-00964</t>
  </si>
  <si>
    <t>ORD-00156</t>
  </si>
  <si>
    <t>2026-06-30</t>
  </si>
  <si>
    <t>ORD-00527</t>
  </si>
  <si>
    <t>2026-07-01</t>
  </si>
  <si>
    <t>ORD-00623</t>
  </si>
  <si>
    <t>2026-07-02</t>
  </si>
  <si>
    <t>ORD-00649</t>
  </si>
  <si>
    <t>ORD-00948</t>
  </si>
  <si>
    <t>ORD-00622</t>
  </si>
  <si>
    <t>2026-07-03</t>
  </si>
  <si>
    <t>ORD-00654</t>
  </si>
  <si>
    <t>ORD-00672</t>
  </si>
  <si>
    <t>ORD-00046</t>
  </si>
  <si>
    <t>2026-07-05</t>
  </si>
  <si>
    <t>ORD-00087</t>
  </si>
  <si>
    <t>ORD-00570</t>
  </si>
  <si>
    <t>ORD-00962</t>
  </si>
  <si>
    <t>ORD-00127</t>
  </si>
  <si>
    <t>2026-07-06</t>
  </si>
  <si>
    <t>ORD-00771</t>
  </si>
  <si>
    <t>ORD-00789</t>
  </si>
  <si>
    <t>ORD-00588</t>
  </si>
  <si>
    <t>2026-07-07</t>
  </si>
  <si>
    <t>ORD-00990</t>
  </si>
  <si>
    <t>2026-07-08</t>
  </si>
  <si>
    <t>ORD-00448</t>
  </si>
  <si>
    <t>2026-07-10</t>
  </si>
  <si>
    <t>ORD-00563</t>
  </si>
  <si>
    <t>ORD-00684</t>
  </si>
  <si>
    <t>ORD-00836</t>
  </si>
  <si>
    <t>ORD-00993</t>
  </si>
  <si>
    <t>ORD-00277</t>
  </si>
  <si>
    <t>2026-07-11</t>
  </si>
  <si>
    <t>ORD-00335</t>
  </si>
  <si>
    <t>ORD-00459</t>
  </si>
  <si>
    <t>ORD-00503</t>
  </si>
  <si>
    <t>ORD-00604</t>
  </si>
  <si>
    <t>ORD-00864</t>
  </si>
  <si>
    <t>ORD-00931</t>
  </si>
  <si>
    <t>2026-07-12</t>
  </si>
  <si>
    <t>ORD-00266</t>
  </si>
  <si>
    <t>2026-07-13</t>
  </si>
  <si>
    <t>ORD-00405</t>
  </si>
  <si>
    <t>ORD-00494</t>
  </si>
  <si>
    <t>2026-07-14</t>
  </si>
  <si>
    <t>ORD-00929</t>
  </si>
  <si>
    <t>ORD-00613</t>
  </si>
  <si>
    <t>2026-07-16</t>
  </si>
  <si>
    <t>ORD-00674</t>
  </si>
  <si>
    <t>ORD-00107</t>
  </si>
  <si>
    <t>2026-07-17</t>
  </si>
  <si>
    <t>ORD-00461</t>
  </si>
  <si>
    <t>ORD-00109</t>
  </si>
  <si>
    <t>2026-07-18</t>
  </si>
  <si>
    <t>ORD-00433</t>
  </si>
  <si>
    <t>ORD-00454</t>
  </si>
  <si>
    <t>ORD-00505</t>
  </si>
  <si>
    <t>ORD-00945</t>
  </si>
  <si>
    <t>ORD-00537</t>
  </si>
  <si>
    <t>2026-07-19</t>
  </si>
  <si>
    <t>ORD-00813</t>
  </si>
  <si>
    <t>2026-07-20</t>
  </si>
  <si>
    <t>ORD-00835</t>
  </si>
  <si>
    <t>ORD-00904</t>
  </si>
  <si>
    <t>ORD-00025</t>
  </si>
  <si>
    <t>2026-07-21</t>
  </si>
  <si>
    <t>ORD-00348</t>
  </si>
  <si>
    <t>ORD-00996</t>
  </si>
  <si>
    <t>ORD-00213</t>
  </si>
  <si>
    <t>2026-07-22</t>
  </si>
  <si>
    <t>ORD-00305</t>
  </si>
  <si>
    <t>ORD-00331</t>
  </si>
  <si>
    <t>ORD-00373</t>
  </si>
  <si>
    <t>ORD-00469</t>
  </si>
  <si>
    <t>ORD-00701</t>
  </si>
  <si>
    <t>ORD-00309</t>
  </si>
  <si>
    <t>2026-07-23</t>
  </si>
  <si>
    <t>ORD-00474</t>
  </si>
  <si>
    <t>ORD-00521</t>
  </si>
  <si>
    <t>ORD-00840</t>
  </si>
  <si>
    <t>ORD-00068</t>
  </si>
  <si>
    <t>2026-07-24</t>
  </si>
  <si>
    <t>ORD-00620</t>
  </si>
  <si>
    <t>ORD-00860</t>
  </si>
  <si>
    <t>ORD-00973</t>
  </si>
  <si>
    <t>ORD-00559</t>
  </si>
  <si>
    <t>2026-07-25</t>
  </si>
  <si>
    <t>ORD-00646</t>
  </si>
  <si>
    <t>ORD-00283</t>
  </si>
  <si>
    <t>2026-07-26</t>
  </si>
  <si>
    <t>ORD-00615</t>
  </si>
  <si>
    <t>ORD-00075</t>
  </si>
  <si>
    <t>2026-07-27</t>
  </si>
  <si>
    <t>ORD-00170</t>
  </si>
  <si>
    <t>ORD-00667</t>
  </si>
  <si>
    <t>ORD-00696</t>
  </si>
  <si>
    <t>ORD-00019</t>
  </si>
  <si>
    <t>2026-07-28</t>
  </si>
  <si>
    <t>ORD-00258</t>
  </si>
  <si>
    <t>ORD-00349</t>
  </si>
  <si>
    <t>2026-07-29</t>
  </si>
  <si>
    <t>ORD-00449</t>
  </si>
  <si>
    <t>ORD-00516</t>
  </si>
  <si>
    <t>ORD-00630</t>
  </si>
  <si>
    <t>ORD-00608</t>
  </si>
  <si>
    <t>2026-07-30</t>
  </si>
  <si>
    <t>ORD-00219</t>
  </si>
  <si>
    <t>2026-07-31</t>
  </si>
  <si>
    <t>ORD-00345</t>
  </si>
  <si>
    <t>ORD-00465</t>
  </si>
  <si>
    <t>ORD-00399</t>
  </si>
  <si>
    <t>2026-08-01</t>
  </si>
  <si>
    <t>ORD-00586</t>
  </si>
  <si>
    <t>ORD-00235</t>
  </si>
  <si>
    <t>2026-08-02</t>
  </si>
  <si>
    <t>ORD-00057</t>
  </si>
  <si>
    <t>2026-08-03</t>
  </si>
  <si>
    <t>ORD-00306</t>
  </si>
  <si>
    <t>ORD-00414</t>
  </si>
  <si>
    <t>ORD-00600</t>
  </si>
  <si>
    <t>ORD-00010</t>
  </si>
  <si>
    <t>2026-08-04</t>
  </si>
  <si>
    <t>ORD-00033</t>
  </si>
  <si>
    <t>ORD-00361</t>
  </si>
  <si>
    <t>ORD-00483</t>
  </si>
  <si>
    <t>ORD-00547</t>
  </si>
  <si>
    <t>ORD-00113</t>
  </si>
  <si>
    <t>2026-08-05</t>
  </si>
  <si>
    <t>ORD-00568</t>
  </si>
  <si>
    <t>ORD-00416</t>
  </si>
  <si>
    <t>2026-08-06</t>
  </si>
  <si>
    <t>ORD-00577</t>
  </si>
  <si>
    <t>ORD-00639</t>
  </si>
  <si>
    <t>ORD-00737</t>
  </si>
  <si>
    <t>ORD-00381</t>
  </si>
  <si>
    <t>2026-08-07</t>
  </si>
  <si>
    <t>ORD-00749</t>
  </si>
  <si>
    <t>ORD-00914</t>
  </si>
  <si>
    <t>ORD-00044</t>
  </si>
  <si>
    <t>2026-08-08</t>
  </si>
  <si>
    <t>ORD-00772</t>
  </si>
  <si>
    <t>ORD-00801</t>
  </si>
  <si>
    <t>ORD-01000</t>
  </si>
  <si>
    <t>ORD-00024</t>
  </si>
  <si>
    <t>2026-08-09</t>
  </si>
  <si>
    <t>ORD-00234</t>
  </si>
  <si>
    <t>ORD-00402</t>
  </si>
  <si>
    <t>ORD-00533</t>
  </si>
  <si>
    <t>ORD-00341</t>
  </si>
  <si>
    <t>2026-08-10</t>
  </si>
  <si>
    <t>ORD-00819</t>
  </si>
  <si>
    <t>ORD-00926</t>
  </si>
  <si>
    <t>ORD-00992</t>
  </si>
  <si>
    <t>ORD-00979</t>
  </si>
  <si>
    <t>2026-08-11</t>
  </si>
  <si>
    <t>ORD-00006</t>
  </si>
  <si>
    <t>2026-08-12</t>
  </si>
  <si>
    <t>ORD-00093</t>
  </si>
  <si>
    <t>ORD-00518</t>
  </si>
  <si>
    <t>ORD-00607</t>
  </si>
  <si>
    <t>ORD-00752</t>
  </si>
  <si>
    <t>ORD-00909</t>
  </si>
  <si>
    <t>ORD-00352</t>
  </si>
  <si>
    <t>2026-08-13</t>
  </si>
  <si>
    <t>ORD-00526</t>
  </si>
  <si>
    <t>ORD-00932</t>
  </si>
  <si>
    <t>ORD-00351</t>
  </si>
  <si>
    <t>2026-08-14</t>
  </si>
  <si>
    <t>ORD-00668</t>
  </si>
  <si>
    <t>ORD-00112</t>
  </si>
  <si>
    <t>2026-08-15</t>
  </si>
  <si>
    <t>ORD-00307</t>
  </si>
  <si>
    <t>ORD-00439</t>
  </si>
  <si>
    <t>ORD-00365</t>
  </si>
  <si>
    <t>2026-08-16</t>
  </si>
  <si>
    <t>ORD-00447</t>
  </si>
  <si>
    <t>2026-08-17</t>
  </si>
  <si>
    <t>ORD-00091</t>
  </si>
  <si>
    <t>2026-08-18</t>
  </si>
  <si>
    <t>ORD-00282</t>
  </si>
  <si>
    <t>ORD-00208</t>
  </si>
  <si>
    <t>2026-08-19</t>
  </si>
  <si>
    <t>ORD-00883</t>
  </si>
  <si>
    <t>ORD-00957</t>
  </si>
  <si>
    <t>ORD-00178</t>
  </si>
  <si>
    <t>2026-08-20</t>
  </si>
  <si>
    <t>ORD-00378</t>
  </si>
  <si>
    <t>ORD-00142</t>
  </si>
  <si>
    <t>2026-08-21</t>
  </si>
  <si>
    <t>ORD-00635</t>
  </si>
  <si>
    <t>ORD-00180</t>
  </si>
  <si>
    <t>2026-08-22</t>
  </si>
  <si>
    <t>ORD-00182</t>
  </si>
  <si>
    <t>ORD-00412</t>
  </si>
  <si>
    <t>ORD-00762</t>
  </si>
  <si>
    <t>ORD-00804</t>
  </si>
  <si>
    <t>ORD-00366</t>
  </si>
  <si>
    <t>2026-08-23</t>
  </si>
  <si>
    <t>ORD-00513</t>
  </si>
  <si>
    <t>ORD-00998</t>
  </si>
  <si>
    <t>ORD-00431</t>
  </si>
  <si>
    <t>2026-08-24</t>
  </si>
  <si>
    <t>ORD-00484</t>
  </si>
  <si>
    <t>ORD-00582</t>
  </si>
  <si>
    <t>ORD-00652</t>
  </si>
  <si>
    <t>ORD-00298</t>
  </si>
  <si>
    <t>2026-08-25</t>
  </si>
  <si>
    <t>ORD-00379</t>
  </si>
  <si>
    <t>ORD-00700</t>
  </si>
  <si>
    <t>ORD-00707</t>
  </si>
  <si>
    <t>ORD-00768</t>
  </si>
  <si>
    <t>ORD-00826</t>
  </si>
  <si>
    <t>ORD-00040</t>
  </si>
  <si>
    <t>2026-08-26</t>
  </si>
  <si>
    <t>ORD-00183</t>
  </si>
  <si>
    <t>ORD-00369</t>
  </si>
  <si>
    <t>ORD-00545</t>
  </si>
  <si>
    <t>ORD-00592</t>
  </si>
  <si>
    <t>ORD-00061</t>
  </si>
  <si>
    <t>2026-08-27</t>
  </si>
  <si>
    <t>ORD-00207</t>
  </si>
  <si>
    <t>ORD-00838</t>
  </si>
  <si>
    <t>2026-08-28</t>
  </si>
  <si>
    <t>ORD-00879</t>
  </si>
  <si>
    <t>ORD-00975</t>
  </si>
  <si>
    <t>ORD-00149</t>
  </si>
  <si>
    <t>2026-08-29</t>
  </si>
  <si>
    <t>ORD-00720</t>
  </si>
  <si>
    <t>ORD-00727</t>
  </si>
  <si>
    <t>ORD-00972</t>
  </si>
  <si>
    <t>ORD-00129</t>
  </si>
  <si>
    <t>2026-08-30</t>
  </si>
  <si>
    <t>ORD-00333</t>
  </si>
  <si>
    <t>ORD-00406</t>
  </si>
  <si>
    <t>ORD-00436</t>
  </si>
  <si>
    <t>ORD-00543</t>
  </si>
  <si>
    <t>ORD-00640</t>
  </si>
  <si>
    <t>ORD-00950</t>
  </si>
  <si>
    <t>ORD-00642</t>
  </si>
  <si>
    <t>2026-08-31</t>
  </si>
  <si>
    <t>Project</t>
  </si>
  <si>
    <t>Retail Sales &amp; Profit Analytics Dashboard</t>
  </si>
  <si>
    <t>Sales_Check</t>
  </si>
  <si>
    <t>Profit_Check</t>
  </si>
  <si>
    <t>Profit Margin</t>
  </si>
  <si>
    <t>Order Month</t>
  </si>
  <si>
    <t>Order Year</t>
  </si>
  <si>
    <t>Profit Category</t>
  </si>
  <si>
    <t>KPI</t>
  </si>
  <si>
    <t>Value</t>
  </si>
  <si>
    <t>Total Sales</t>
  </si>
  <si>
    <t>Total Cost</t>
  </si>
  <si>
    <t>Total Profit</t>
  </si>
  <si>
    <t>Total Orders</t>
  </si>
  <si>
    <t>Total Quantity</t>
  </si>
  <si>
    <t>Average Order Value</t>
  </si>
  <si>
    <t>Row Labels</t>
  </si>
  <si>
    <t>Grand Total</t>
  </si>
  <si>
    <t>Sum of Sales</t>
  </si>
  <si>
    <t>Sum of Profit</t>
  </si>
  <si>
    <t>RETAIL SALES &amp; PROFIT ANALYTICS</t>
  </si>
  <si>
    <t>September 2025 – August 2026</t>
  </si>
  <si>
    <t>TOTAL SALES</t>
  </si>
  <si>
    <t>TOTAL PROFIT</t>
  </si>
  <si>
    <t>TOTAL ORDERS</t>
  </si>
  <si>
    <t>PROFIT MARGIN</t>
  </si>
  <si>
    <t>Count of Order ID</t>
  </si>
  <si>
    <t>KEY BUSINESS INSIGHTS</t>
  </si>
  <si>
    <t>Insight 1 — Regional Performance</t>
  </si>
  <si>
    <t>Insight 2 — Profitability</t>
  </si>
  <si>
    <t>Insight 3 — Sales Volume</t>
  </si>
  <si>
    <t>Insight 4 — Interactive Analysis</t>
  </si>
  <si>
    <t>PERFORMANCE SUMMARY</t>
  </si>
  <si>
    <t>Metric</t>
  </si>
  <si>
    <t>Objective</t>
  </si>
  <si>
    <t>Analyze sales, profit, regional performance, category performance, salesperson performance and product performance.</t>
  </si>
  <si>
    <t>Tools</t>
  </si>
  <si>
    <t>Microsoft Excel</t>
  </si>
  <si>
    <t>PivotTables</t>
  </si>
  <si>
    <t>PivotCharts</t>
  </si>
  <si>
    <t>Slicers</t>
  </si>
  <si>
    <t>Excel formulas</t>
  </si>
  <si>
    <t>Data cleaning</t>
  </si>
  <si>
    <t>Dashboard design</t>
  </si>
  <si>
    <t>Dataset</t>
  </si>
  <si>
    <t>1,000 retail transactions covering September 2025–August 2026.</t>
  </si>
  <si>
    <t>Dashboard Features</t>
  </si>
  <si>
    <t>Dynamic KPI cards</t>
  </si>
  <si>
    <t>Sales &amp; profit trend</t>
  </si>
  <si>
    <t>Category analysis</t>
  </si>
  <si>
    <t>Regional analysis</t>
  </si>
  <si>
    <t>Top 10 products</t>
  </si>
  <si>
    <t>Interactive filtering by Region, Category, Salesperson and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</si>
</sst>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6" formatCode="&quot;₹&quot;\ #,##0;[Red]&quot;₹&quot;\ \-#,##0"/>
    <numFmt numFmtId="44" formatCode="_ &quot;₹&quot;\ * #,##0.00_ ;_ &quot;₹&quot;\ * \-#,##0.00_ ;_ &quot;₹&quot;\ * &quot;-&quot;??_ ;_ @_ "/>
    <numFmt numFmtId="164" formatCode="_ [$₹-4009]\ * #,##0.00_ ;_ [$₹-4009]\ * \-#,##0.00_ ;_ [$₹-4009]\ * &quot;-&quot;??_ ;_ @_ "/>
    <numFmt numFmtId="165" formatCode="dd/mmm/yyyy"/>
    <numFmt numFmtId="166" formatCode="0.0%"/>
    <numFmt numFmtId="174" formatCode="_ &quot;₹&quot;\ * #,##0_ ;_ &quot;₹&quot;\ * \-#,##0_ ;_ &quot;₹&quot;\ * &quot;-&quot;??_ ;_ @_ "/>
  </numFmts>
  <fonts count="14"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1"/>
      <name val="Calibri"/>
      <family val="2"/>
    </font>
    <font>
      <b/>
      <sz val="12"/>
      <color theme="1"/>
      <name val="Calibri"/>
      <family val="2"/>
      <scheme val="minor"/>
    </font>
    <font>
      <b/>
      <sz val="20"/>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b/>
      <sz val="16"/>
      <color theme="1"/>
      <name val="Calibri"/>
      <family val="2"/>
      <scheme val="minor"/>
    </font>
    <font>
      <b/>
      <sz val="24"/>
      <color theme="3" tint="-0.249977111117893"/>
      <name val="Cambria"/>
      <family val="1"/>
      <scheme val="major"/>
    </font>
    <font>
      <b/>
      <sz val="12"/>
      <color theme="3" tint="-0.249977111117893"/>
      <name val="Calibri"/>
      <family val="2"/>
      <scheme val="minor"/>
    </font>
    <font>
      <b/>
      <sz val="16"/>
      <color theme="3" tint="-0.249977111117893"/>
      <name val="Calibri"/>
      <family val="2"/>
      <scheme val="minor"/>
    </font>
  </fonts>
  <fills count="3">
    <fill>
      <patternFill patternType="none"/>
    </fill>
    <fill>
      <patternFill patternType="gray125"/>
    </fill>
    <fill>
      <patternFill patternType="solid">
        <fgColor theme="0" tint="-4.9989318521683403E-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3" tint="-0.249977111117893"/>
      </left>
      <right style="thin">
        <color theme="3" tint="-0.249977111117893"/>
      </right>
      <top style="thin">
        <color theme="3" tint="-0.249977111117893"/>
      </top>
      <bottom style="thin">
        <color theme="3" tint="-0.249977111117893"/>
      </bottom>
      <diagonal/>
    </border>
    <border>
      <left/>
      <right/>
      <top/>
      <bottom style="thin">
        <color theme="3" tint="-0.249977111117893"/>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59">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164" fontId="1" fillId="0" borderId="2" xfId="0" applyNumberFormat="1" applyFont="1" applyBorder="1" applyAlignment="1">
      <alignment horizontal="center" vertical="top"/>
    </xf>
    <xf numFmtId="164" fontId="0" fillId="0" borderId="0" xfId="0" applyNumberFormat="1"/>
    <xf numFmtId="9" fontId="1" fillId="0" borderId="2" xfId="2" applyFont="1" applyBorder="1" applyAlignment="1">
      <alignment horizontal="center" vertical="top"/>
    </xf>
    <xf numFmtId="9" fontId="0" fillId="0" borderId="0" xfId="2" applyFont="1"/>
    <xf numFmtId="44" fontId="1" fillId="0" borderId="2" xfId="1" applyFont="1" applyBorder="1" applyAlignment="1">
      <alignment horizontal="center" vertical="top"/>
    </xf>
    <xf numFmtId="44" fontId="0" fillId="0" borderId="0" xfId="1" applyFont="1"/>
    <xf numFmtId="165" fontId="1" fillId="0" borderId="2" xfId="0" applyNumberFormat="1" applyFont="1" applyBorder="1" applyAlignment="1">
      <alignment horizontal="center" vertical="top"/>
    </xf>
    <xf numFmtId="165" fontId="0" fillId="0" borderId="0" xfId="0" applyNumberFormat="1"/>
    <xf numFmtId="0" fontId="4" fillId="0" borderId="2" xfId="0" applyFont="1" applyBorder="1" applyAlignment="1">
      <alignment horizontal="center" vertical="top"/>
    </xf>
    <xf numFmtId="166" fontId="4" fillId="0" borderId="2" xfId="2" applyNumberFormat="1" applyFont="1" applyBorder="1" applyAlignment="1">
      <alignment horizontal="center" vertical="top"/>
    </xf>
    <xf numFmtId="166" fontId="0" fillId="0" borderId="0" xfId="2" applyNumberFormat="1" applyFont="1"/>
    <xf numFmtId="0" fontId="0" fillId="0" borderId="0" xfId="0" applyAlignment="1">
      <alignment horizontal="right" vertical="center" wrapText="1"/>
    </xf>
    <xf numFmtId="0" fontId="3" fillId="0" borderId="0" xfId="0" applyFont="1" applyAlignment="1">
      <alignment horizontal="right" vertical="center" wrapText="1"/>
    </xf>
    <xf numFmtId="0" fontId="0" fillId="0" borderId="0" xfId="0" applyAlignment="1">
      <alignment vertical="center" wrapText="1"/>
    </xf>
    <xf numFmtId="0" fontId="3" fillId="0" borderId="0" xfId="0" applyFont="1" applyAlignment="1">
      <alignment vertical="center" wrapText="1"/>
    </xf>
    <xf numFmtId="166" fontId="0" fillId="0" borderId="0" xfId="2" applyNumberFormat="1" applyFont="1" applyAlignment="1">
      <alignment horizontal="right" vertical="center" wrapText="1"/>
    </xf>
    <xf numFmtId="44" fontId="0" fillId="0" borderId="0" xfId="1" applyFont="1" applyAlignment="1">
      <alignment horizontal="righ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6" fillId="0" borderId="1" xfId="0" applyFont="1" applyBorder="1" applyAlignment="1">
      <alignment horizontal="center" vertical="center"/>
    </xf>
    <xf numFmtId="166" fontId="6" fillId="0" borderId="1" xfId="2" applyNumberFormat="1" applyFont="1" applyBorder="1" applyAlignment="1">
      <alignment horizontal="center" vertical="center"/>
    </xf>
    <xf numFmtId="0" fontId="7" fillId="0" borderId="0" xfId="0" applyFont="1"/>
    <xf numFmtId="0" fontId="9" fillId="0" borderId="0" xfId="0" applyFont="1"/>
    <xf numFmtId="0" fontId="3" fillId="0" borderId="0" xfId="0" applyFont="1" applyAlignment="1">
      <alignment horizontal="center" vertical="center" wrapText="1"/>
    </xf>
    <xf numFmtId="6" fontId="0" fillId="0" borderId="0" xfId="0" applyNumberFormat="1" applyAlignment="1">
      <alignment horizontal="right" vertical="center" wrapText="1"/>
    </xf>
    <xf numFmtId="10" fontId="0" fillId="0" borderId="0" xfId="0" applyNumberFormat="1" applyAlignment="1">
      <alignment horizontal="right" vertical="center" wrapText="1"/>
    </xf>
    <xf numFmtId="3" fontId="0" fillId="0" borderId="0" xfId="0" applyNumberFormat="1" applyAlignment="1">
      <alignment horizontal="right" vertical="center" wrapText="1"/>
    </xf>
    <xf numFmtId="0" fontId="10" fillId="0" borderId="0" xfId="0" applyFont="1" applyAlignment="1">
      <alignment vertical="center"/>
    </xf>
    <xf numFmtId="0" fontId="9" fillId="0" borderId="3" xfId="0" applyFont="1" applyBorder="1" applyAlignment="1">
      <alignment vertical="center" wrapText="1"/>
    </xf>
    <xf numFmtId="0" fontId="9" fillId="0" borderId="3" xfId="0" applyFont="1" applyBorder="1" applyAlignment="1">
      <alignment horizontal="right" vertical="center" wrapText="1"/>
    </xf>
    <xf numFmtId="0" fontId="7" fillId="0" borderId="3" xfId="0" applyFont="1" applyBorder="1" applyAlignment="1">
      <alignment horizontal="left" vertical="center" wrapText="1"/>
    </xf>
    <xf numFmtId="6" fontId="7" fillId="0" borderId="3" xfId="0" applyNumberFormat="1" applyFont="1" applyBorder="1" applyAlignment="1">
      <alignment horizontal="right" vertical="center" wrapText="1"/>
    </xf>
    <xf numFmtId="10" fontId="7" fillId="0" borderId="3" xfId="0" applyNumberFormat="1" applyFont="1" applyBorder="1" applyAlignment="1">
      <alignment horizontal="right" vertical="center" wrapText="1"/>
    </xf>
    <xf numFmtId="3" fontId="7" fillId="0" borderId="3" xfId="0" applyNumberFormat="1" applyFont="1" applyBorder="1" applyAlignment="1">
      <alignment horizontal="right" vertical="center" wrapText="1"/>
    </xf>
    <xf numFmtId="0" fontId="10" fillId="0" borderId="0" xfId="0" applyFont="1" applyBorder="1" applyAlignment="1">
      <alignment vertical="center"/>
    </xf>
    <xf numFmtId="0" fontId="10" fillId="0" borderId="0" xfId="0" applyFont="1" applyBorder="1" applyAlignment="1">
      <alignment horizontal="center" vertical="center"/>
    </xf>
    <xf numFmtId="0" fontId="9" fillId="0" borderId="0" xfId="0" applyFont="1" applyBorder="1" applyAlignment="1">
      <alignment vertical="center" wrapText="1"/>
    </xf>
    <xf numFmtId="0" fontId="8" fillId="0" borderId="0" xfId="0" applyFont="1" applyBorder="1" applyAlignment="1">
      <alignment horizontal="center"/>
    </xf>
    <xf numFmtId="0" fontId="9" fillId="0" borderId="0" xfId="0" applyFont="1" applyBorder="1" applyAlignment="1">
      <alignment horizontal="right" vertical="center" wrapText="1"/>
    </xf>
    <xf numFmtId="0" fontId="7" fillId="0" borderId="0" xfId="0" applyFont="1" applyBorder="1" applyAlignment="1">
      <alignment horizontal="left" vertical="center" wrapText="1"/>
    </xf>
    <xf numFmtId="6" fontId="7" fillId="0" borderId="0" xfId="0" applyNumberFormat="1" applyFont="1" applyBorder="1" applyAlignment="1">
      <alignment horizontal="right" vertical="center" wrapText="1"/>
    </xf>
    <xf numFmtId="10" fontId="7" fillId="0" borderId="0" xfId="0" applyNumberFormat="1" applyFont="1" applyBorder="1" applyAlignment="1">
      <alignment horizontal="right" vertical="center" wrapText="1"/>
    </xf>
    <xf numFmtId="3" fontId="7" fillId="0" borderId="0" xfId="0" applyNumberFormat="1" applyFont="1" applyBorder="1" applyAlignment="1">
      <alignment horizontal="right" vertical="center" wrapText="1"/>
    </xf>
    <xf numFmtId="174" fontId="6" fillId="0" borderId="1" xfId="0" applyNumberFormat="1" applyFont="1" applyBorder="1" applyAlignment="1">
      <alignment horizontal="center" vertical="center"/>
    </xf>
    <xf numFmtId="174" fontId="6" fillId="0" borderId="2" xfId="0" applyNumberFormat="1" applyFont="1" applyBorder="1" applyAlignment="1">
      <alignment horizontal="center" vertical="center"/>
    </xf>
    <xf numFmtId="0" fontId="11" fillId="0" borderId="0" xfId="0" applyFont="1" applyFill="1" applyAlignment="1">
      <alignment horizontal="center" vertical="center"/>
    </xf>
    <xf numFmtId="0" fontId="12" fillId="0" borderId="0" xfId="0" applyFont="1" applyAlignment="1">
      <alignment horizontal="center"/>
    </xf>
    <xf numFmtId="0" fontId="12" fillId="2" borderId="1" xfId="0" applyFont="1" applyFill="1" applyBorder="1" applyAlignment="1">
      <alignment horizontal="center" vertical="center"/>
    </xf>
    <xf numFmtId="0" fontId="13" fillId="0" borderId="0" xfId="0" applyFont="1" applyAlignment="1">
      <alignment horizontal="center" vertical="center"/>
    </xf>
    <xf numFmtId="0" fontId="13" fillId="0" borderId="4" xfId="0" applyFont="1" applyBorder="1" applyAlignment="1">
      <alignment horizontal="center" vertical="center"/>
    </xf>
    <xf numFmtId="0" fontId="1" fillId="0" borderId="0" xfId="0" applyFont="1" applyBorder="1" applyAlignment="1">
      <alignment horizontal="center" vertical="top"/>
    </xf>
    <xf numFmtId="0" fontId="7" fillId="0" borderId="0" xfId="0" applyFont="1" applyAlignment="1"/>
  </cellXfs>
  <cellStyles count="3">
    <cellStyle name="Currency" xfId="1" builtinId="4"/>
    <cellStyle name="Normal" xfId="0" builtinId="0"/>
    <cellStyle name="Percent" xfId="2" builtinId="5"/>
  </cellStyles>
  <dxfs count="13">
    <dxf>
      <font>
        <color rgb="FF9C0006"/>
      </font>
      <fill>
        <patternFill>
          <bgColor rgb="FFFFC7CE"/>
        </patternFill>
      </fill>
    </dxf>
    <dxf>
      <font>
        <color rgb="FF9C0006"/>
      </font>
      <fill>
        <patternFill>
          <bgColor rgb="FFFFC7CE"/>
        </patternFill>
      </fill>
    </dxf>
    <dxf>
      <numFmt numFmtId="165" formatCode="dd/mmm/yyyy"/>
      <alignment horizontal="center" vertical="center" textRotation="0" wrapText="0" indent="0" justifyLastLine="0" shrinkToFit="0" readingOrder="0"/>
    </dxf>
    <dxf>
      <numFmt numFmtId="0" formatCode="General"/>
    </dxf>
    <dxf>
      <numFmt numFmtId="0" formatCode="General"/>
    </dxf>
    <dxf>
      <numFmt numFmtId="0" formatCode="General"/>
    </dxf>
    <dxf>
      <numFmt numFmtId="166" formatCode="0.0%"/>
    </dxf>
    <dxf>
      <numFmt numFmtId="34" formatCode="_ &quot;₹&quot;\ * #,##0.00_ ;_ &quot;₹&quot;\ * \-#,##0.00_ ;_ &quot;₹&quot;\ * &quot;-&quot;??_ ;_ @_ "/>
    </dxf>
    <dxf>
      <numFmt numFmtId="34" formatCode="_ &quot;₹&quot;\ * #,##0.00_ ;_ &quot;₹&quot;\ * \-#,##0.00_ ;_ &quot;₹&quot;\ * &quot;-&quot;??_ ;_ @_ "/>
    </dxf>
    <dxf>
      <numFmt numFmtId="164" formatCode="_ [$₹-4009]\ * #,##0.00_ ;_ [$₹-4009]\ * \-#,##0.00_ ;_ [$₹-4009]\ * &quot;-&quot;??_ ;_ @_ "/>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[Retail_Sales_Profit_Analytics_BACKUP.xlsx]03_Calculations!Monthly Sales Trend</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MONTHLY SALES &amp; PROFIT TREND</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
        <c:idx val="8"/>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
        <c:idx val="9"/>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s>
    <c:plotArea>
      <c:layout>
        <c:manualLayout>
          <c:layoutTarget val="inner"/>
          <c:xMode val="edge"/>
          <c:yMode val="edge"/>
          <c:x val="0.14409053961645815"/>
          <c:y val="0.18054389729178213"/>
          <c:w val="0.83892494957357955"/>
          <c:h val="0.60044951709874428"/>
        </c:manualLayout>
      </c:layout>
      <c:lineChart>
        <c:grouping val="standard"/>
        <c:varyColors val="0"/>
        <c:ser>
          <c:idx val="0"/>
          <c:order val="0"/>
          <c:tx>
            <c:strRef>
              <c:f>'03_Calculations'!$B$24</c:f>
              <c:strCache>
                <c:ptCount val="1"/>
                <c:pt idx="0">
                  <c:v>Sum of Sales</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'03_Calculations'!$A$25:$A$27</c:f>
              <c:strCache>
                <c:ptCount val="2"/>
                <c:pt idx="0">
                  <c:v>2025</c:v>
                </c:pt>
                <c:pt idx="1">
                  <c:v>2026</c:v>
                </c:pt>
              </c:strCache>
            </c:strRef>
          </c:cat>
          <c:val>
            <c:numRef>
              <c:f>'03_Calculations'!$B$25:$B$27</c:f>
              <c:numCache>
                <c:formatCode>General</c:formatCode>
                <c:ptCount val="2"/>
                <c:pt idx="0">
                  <c:v>1594197</c:v>
                </c:pt>
                <c:pt idx="1">
                  <c:v>2776191</c:v>
                </c:pt>
              </c:numCache>
            </c:numRef>
          </c:val>
          <c:smooth val="0"/>
          <c:extLst>
            <c:ext xmlns:c16="http://schemas.microsoft.com/office/drawing/2014/chart" uri="{C3380CC4-5D6E-409C-BE32-E72D297353CC}">
              <c16:uniqueId val="{00000000-8461-4068-9CB5-524A060C80AB}"/>
            </c:ext>
          </c:extLst>
        </c:ser>
        <c:ser>
          <c:idx val="1"/>
          <c:order val="1"/>
          <c:tx>
            <c:strRef>
              <c:f>'03_Calculations'!$C$24</c:f>
              <c:strCache>
                <c:ptCount val="1"/>
                <c:pt idx="0">
                  <c:v>Sum of Profit</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'03_Calculations'!$A$25:$A$27</c:f>
              <c:strCache>
                <c:ptCount val="2"/>
                <c:pt idx="0">
                  <c:v>2025</c:v>
                </c:pt>
                <c:pt idx="1">
                  <c:v>2026</c:v>
                </c:pt>
              </c:strCache>
            </c:strRef>
          </c:cat>
          <c:val>
            <c:numRef>
              <c:f>'03_Calculations'!$C$25:$C$27</c:f>
              <c:numCache>
                <c:formatCode>General</c:formatCode>
                <c:ptCount val="2"/>
                <c:pt idx="0">
                  <c:v>603652</c:v>
                </c:pt>
                <c:pt idx="1">
                  <c:v>1058586</c:v>
                </c:pt>
              </c:numCache>
            </c:numRef>
          </c:val>
          <c:smooth val="0"/>
          <c:extLst>
            <c:ext xmlns:c16="http://schemas.microsoft.com/office/drawing/2014/chart" uri="{C3380CC4-5D6E-409C-BE32-E72D297353CC}">
              <c16:uniqueId val="{00000001-8461-4068-9CB5-524A060C80AB}"/>
            </c:ext>
          </c:extLst>
        </c:ser>
        <c:dLbls>
          <c:showLegendKey val="0"/>
          <c:showVal val="0"/>
          <c:showCatName val="0"/>
          <c:showSerName val="0"/>
          <c:showPercent val="0"/>
          <c:showBubbleSize val="0"/>
        </c:dLbls>
        <c:marker val="1"/>
        <c:smooth val="0"/>
        <c:axId val="686405935"/>
        <c:axId val="686399695"/>
      </c:lineChart>
      <c:catAx>
        <c:axId val="68640593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6399695"/>
        <c:crosses val="autoZero"/>
        <c:auto val="1"/>
        <c:lblAlgn val="ctr"/>
        <c:lblOffset val="100"/>
        <c:noMultiLvlLbl val="0"/>
      </c:catAx>
      <c:valAx>
        <c:axId val="68639969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6405935"/>
        <c:crosses val="autoZero"/>
        <c:crossBetween val="between"/>
      </c:valAx>
      <c:spPr>
        <a:noFill/>
        <a:ln>
          <a:noFill/>
        </a:ln>
        <a:effectLst/>
      </c:spPr>
    </c:plotArea>
    <c:legend>
      <c:legendPos val="r"/>
      <c:layout>
        <c:manualLayout>
          <c:xMode val="edge"/>
          <c:yMode val="edge"/>
          <c:x val="0.71332401770809317"/>
          <c:y val="0.87279253896275322"/>
          <c:w val="0.26565010286263674"/>
          <c:h val="0.112501177857677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[Retail_Sales_Profit_Analytics_BACKUP.xlsx]03_Calculations!Regional Performance</c:name>
    <c:fmtId val="3"/>
  </c:pivotSource>
  <c:chart>
    <c:title>
      <c:tx>
        <c:rich>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r>
              <a:rPr lang="en-IN" sz="1600">
                <a:solidFill>
                  <a:schemeClr val="tx2">
                    <a:lumMod val="75000"/>
                  </a:schemeClr>
                </a:solidFill>
              </a:rPr>
              <a:t>SALES BY REGION</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pivotFmt>
      <c:pivotFmt>
        <c:idx val="8"/>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bar"/>
        <c:grouping val="clustered"/>
        <c:varyColors val="0"/>
        <c:ser>
          <c:idx val="0"/>
          <c:order val="0"/>
          <c:tx>
            <c:strRef>
              <c:f>'03_Calculations'!$B$17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cat>
            <c:strRef>
              <c:f>'03_Calculations'!$A$18:$A$22</c:f>
              <c:strCache>
                <c:ptCount val="4"/>
                <c:pt idx="0">
                  <c:v>North</c:v>
                </c:pt>
                <c:pt idx="1">
                  <c:v>West</c:v>
                </c:pt>
                <c:pt idx="2">
                  <c:v>East</c:v>
                </c:pt>
                <c:pt idx="3">
                  <c:v>South</c:v>
                </c:pt>
              </c:strCache>
            </c:strRef>
          </c:cat>
          <c:val>
            <c:numRef>
              <c:f>'03_Calculations'!$B$18:$B$22</c:f>
              <c:numCache>
                <c:formatCode>General</c:formatCode>
                <c:ptCount val="4"/>
                <c:pt idx="0">
                  <c:v>1239183</c:v>
                </c:pt>
                <c:pt idx="1">
                  <c:v>1184217</c:v>
                </c:pt>
                <c:pt idx="2">
                  <c:v>1086164</c:v>
                </c:pt>
                <c:pt idx="3">
                  <c:v>860824</c:v>
                </c:pt>
              </c:numCache>
            </c:numRef>
          </c:val>
          <c:extLst>
            <c:ext xmlns:c16="http://schemas.microsoft.com/office/drawing/2014/chart" uri="{C3380CC4-5D6E-409C-BE32-E72D297353CC}">
              <c16:uniqueId val="{00000000-7DF9-4727-AFEA-EE43778EDDEB}"/>
            </c:ext>
          </c:extLst>
        </c:ser>
        <c:dLbls>
          <c:dLblPos val="inEnd"/>
          <c:showLegendKey val="0"/>
          <c:showVal val="1"/>
          <c:showCatName val="0"/>
          <c:showSerName val="0"/>
          <c:showPercent val="0"/>
          <c:showBubbleSize val="0"/>
        </c:dLbls>
        <c:gapWidth val="65"/>
        <c:axId val="1261181072"/>
        <c:axId val="1261189808"/>
      </c:barChart>
      <c:catAx>
        <c:axId val="1261181072"/>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2">
                    <a:lumMod val="50000"/>
                  </a:schemeClr>
                </a:solidFill>
                <a:latin typeface="+mn-lt"/>
                <a:ea typeface="+mn-ea"/>
                <a:cs typeface="+mn-cs"/>
              </a:defRPr>
            </a:pPr>
            <a:endParaRPr lang="en-US"/>
          </a:p>
        </c:txPr>
        <c:crossAx val="1261189808"/>
        <c:crosses val="autoZero"/>
        <c:auto val="1"/>
        <c:lblAlgn val="ctr"/>
        <c:lblOffset val="100"/>
        <c:noMultiLvlLbl val="0"/>
      </c:catAx>
      <c:valAx>
        <c:axId val="1261189808"/>
        <c:scaling>
          <c:orientation val="minMax"/>
        </c:scaling>
        <c:delete val="0"/>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1181072"/>
        <c:crosses val="autoZero"/>
        <c:crossBetween val="between"/>
      </c:valAx>
      <c:spPr>
        <a:noFill/>
        <a:ln>
          <a:noFill/>
        </a:ln>
        <a:effectLst/>
      </c:spPr>
    </c:plotArea>
    <c:plotVisOnly val="1"/>
    <c:dispBlanksAs val="gap"/>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[Retail_Sales_Profit_Analytics_BACKUP.xlsx]03_Calculations!PivotTable5</c:name>
    <c:fmtId val="3"/>
  </c:pivotSource>
  <c:chart>
    <c:title>
      <c:tx>
        <c:rich>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r>
              <a:rPr lang="en-IN" sz="1600">
                <a:solidFill>
                  <a:schemeClr val="tx2">
                    <a:lumMod val="75000"/>
                  </a:schemeClr>
                </a:solidFill>
              </a:rPr>
              <a:t>TOP 10 PRODUCTS BY SALES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s>
    <c:plotArea>
      <c:layout/>
      <c:barChart>
        <c:barDir val="bar"/>
        <c:grouping val="clustered"/>
        <c:varyColors val="0"/>
        <c:ser>
          <c:idx val="0"/>
          <c:order val="0"/>
          <c:tx>
            <c:strRef>
              <c:f>'03_Calculations'!$G$19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cat>
            <c:strRef>
              <c:f>'03_Calculations'!$F$20:$F$30</c:f>
              <c:strCache>
                <c:ptCount val="10"/>
                <c:pt idx="0">
                  <c:v>Bluetooth Speaker</c:v>
                </c:pt>
                <c:pt idx="1">
                  <c:v>USB-C Hub</c:v>
                </c:pt>
                <c:pt idx="2">
                  <c:v>Power Bank</c:v>
                </c:pt>
                <c:pt idx="3">
                  <c:v>Dumbbell Set</c:v>
                </c:pt>
                <c:pt idx="4">
                  <c:v>Keyboard</c:v>
                </c:pt>
                <c:pt idx="5">
                  <c:v>Lunch Box</c:v>
                </c:pt>
                <c:pt idx="6">
                  <c:v>Yoga Mat</c:v>
                </c:pt>
                <c:pt idx="7">
                  <c:v>Kitchen Scale</c:v>
                </c:pt>
                <c:pt idx="8">
                  <c:v>Water Bottle</c:v>
                </c:pt>
                <c:pt idx="9">
                  <c:v>Wireless Mouse</c:v>
                </c:pt>
              </c:strCache>
            </c:strRef>
          </c:cat>
          <c:val>
            <c:numRef>
              <c:f>'03_Calculations'!$G$20:$G$30</c:f>
              <c:numCache>
                <c:formatCode>General</c:formatCode>
                <c:ptCount val="10"/>
                <c:pt idx="0">
                  <c:v>717640</c:v>
                </c:pt>
                <c:pt idx="1">
                  <c:v>586170</c:v>
                </c:pt>
                <c:pt idx="2">
                  <c:v>490200</c:v>
                </c:pt>
                <c:pt idx="3">
                  <c:v>382910</c:v>
                </c:pt>
                <c:pt idx="4">
                  <c:v>346800</c:v>
                </c:pt>
                <c:pt idx="5">
                  <c:v>247800</c:v>
                </c:pt>
                <c:pt idx="6">
                  <c:v>201195</c:v>
                </c:pt>
                <c:pt idx="7">
                  <c:v>195795</c:v>
                </c:pt>
                <c:pt idx="8">
                  <c:v>173497.5</c:v>
                </c:pt>
                <c:pt idx="9">
                  <c:v>163215</c:v>
                </c:pt>
              </c:numCache>
            </c:numRef>
          </c:val>
          <c:extLst>
            <c:ext xmlns:c16="http://schemas.microsoft.com/office/drawing/2014/chart" uri="{C3380CC4-5D6E-409C-BE32-E72D297353CC}">
              <c16:uniqueId val="{00000000-F341-4D1B-BADB-AA215BA6F5B6}"/>
            </c:ext>
          </c:extLst>
        </c:ser>
        <c:dLbls>
          <c:dLblPos val="inEnd"/>
          <c:showLegendKey val="0"/>
          <c:showVal val="1"/>
          <c:showCatName val="0"/>
          <c:showSerName val="0"/>
          <c:showPercent val="0"/>
          <c:showBubbleSize val="0"/>
        </c:dLbls>
        <c:gapWidth val="65"/>
        <c:axId val="909831728"/>
        <c:axId val="909832976"/>
      </c:barChart>
      <c:catAx>
        <c:axId val="909831728"/>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2">
                    <a:lumMod val="50000"/>
                  </a:schemeClr>
                </a:solidFill>
                <a:latin typeface="+mn-lt"/>
                <a:ea typeface="+mn-ea"/>
                <a:cs typeface="+mn-cs"/>
              </a:defRPr>
            </a:pPr>
            <a:endParaRPr lang="en-US"/>
          </a:p>
        </c:txPr>
        <c:crossAx val="909832976"/>
        <c:crosses val="autoZero"/>
        <c:auto val="1"/>
        <c:lblAlgn val="ctr"/>
        <c:lblOffset val="100"/>
        <c:noMultiLvlLbl val="0"/>
      </c:catAx>
      <c:valAx>
        <c:axId val="909832976"/>
        <c:scaling>
          <c:orientation val="minMax"/>
        </c:scaling>
        <c:delete val="0"/>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09831728"/>
        <c:crosses val="autoZero"/>
        <c:crossBetween val="between"/>
      </c:valAx>
      <c:spPr>
        <a:noFill/>
        <a:ln>
          <a:noFill/>
        </a:ln>
        <a:effectLst/>
      </c:spPr>
    </c:plotArea>
    <c:plotVisOnly val="1"/>
    <c:dispBlanksAs val="gap"/>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[Retail_Sales_Profit_Analytics_BACKUP.xlsx]03_Calculations!PivotTable1</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CATEGORY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'03_Calculations'!$L$2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'03_Calculations'!$K$3:$K$7</c:f>
              <c:strCache>
                <c:ptCount val="4"/>
                <c:pt idx="0">
                  <c:v>Electronics</c:v>
                </c:pt>
                <c:pt idx="1">
                  <c:v>Fitness</c:v>
                </c:pt>
                <c:pt idx="2">
                  <c:v>Home &amp; Kitchen</c:v>
                </c:pt>
                <c:pt idx="3">
                  <c:v>Office Supplies</c:v>
                </c:pt>
              </c:strCache>
            </c:strRef>
          </c:cat>
          <c:val>
            <c:numRef>
              <c:f>'03_Calculations'!$L$3:$L$7</c:f>
              <c:numCache>
                <c:formatCode>General</c:formatCode>
                <c:ptCount val="4"/>
                <c:pt idx="0">
                  <c:v>2304025</c:v>
                </c:pt>
                <c:pt idx="1">
                  <c:v>912997.5</c:v>
                </c:pt>
                <c:pt idx="2">
                  <c:v>870282.5</c:v>
                </c:pt>
                <c:pt idx="3">
                  <c:v>283083</c:v>
                </c:pt>
              </c:numCache>
            </c:numRef>
          </c:val>
          <c:extLst>
            <c:ext xmlns:c16="http://schemas.microsoft.com/office/drawing/2014/chart" uri="{C3380CC4-5D6E-409C-BE32-E72D297353CC}">
              <c16:uniqueId val="{00000000-7140-43E5-AD29-7AB594DB67E1}"/>
            </c:ext>
          </c:extLst>
        </c:ser>
        <c:dLbls>
          <c:showLegendKey val="0"/>
          <c:showVal val="0"/>
          <c:showCatName val="0"/>
          <c:showSerName val="0"/>
          <c:showPercent val="0"/>
          <c:showBubbleSize val="0"/>
        </c:dLbls>
        <c:gapWidth val="100"/>
        <c:overlap val="-24"/>
        <c:axId val="1261176496"/>
        <c:axId val="1261184400"/>
      </c:barChart>
      <c:catAx>
        <c:axId val="12611764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61184400"/>
        <c:crosses val="autoZero"/>
        <c:auto val="1"/>
        <c:lblAlgn val="ctr"/>
        <c:lblOffset val="100"/>
        <c:noMultiLvlLbl val="0"/>
      </c:catAx>
      <c:valAx>
        <c:axId val="12611844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61176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457200</xdr:colOff>
      <xdr:row>1</xdr:row>
      <xdr:rowOff>25400</xdr:rowOff>
    </xdr:from>
    <xdr:to>
      <xdr:col>9</xdr:col>
      <xdr:colOff>444500</xdr:colOff>
      <xdr:row>10</xdr:row>
      <xdr:rowOff>155575</xdr:rowOff>
    </xdr:to>
    <mc:AlternateContent xmlns:mc="http://schemas.openxmlformats.org/markup-compatibility/2006" xmlns:a14="http://schemas.microsoft.com/office/drawing/2010/main">
      <mc:Choice Requires="a14">
        <xdr:graphicFrame macro="">
          <xdr:nvGraphicFramePr>
            <xdr:cNvPr id="4"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146800" y="209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7</xdr:row>
      <xdr:rowOff>177800</xdr:rowOff>
    </xdr:from>
    <xdr:to>
      <xdr:col>3</xdr:col>
      <xdr:colOff>1794566</xdr:colOff>
      <xdr:row>21</xdr:row>
      <xdr:rowOff>177800</xdr:rowOff>
    </xdr:to>
    <xdr:graphicFrame macro="">
      <xdr:nvGraphicFramePr>
        <xdr:cNvPr id="3" name="Chart 2" title="Monthly Sales Trend"/>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612</xdr:colOff>
      <xdr:row>23</xdr:row>
      <xdr:rowOff>0</xdr:rowOff>
    </xdr:from>
    <xdr:to>
      <xdr:col>7</xdr:col>
      <xdr:colOff>1780759</xdr:colOff>
      <xdr:row>31</xdr:row>
      <xdr:rowOff>112889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7667</xdr:colOff>
      <xdr:row>32</xdr:row>
      <xdr:rowOff>56444</xdr:rowOff>
    </xdr:from>
    <xdr:to>
      <xdr:col>7</xdr:col>
      <xdr:colOff>1780912</xdr:colOff>
      <xdr:row>44</xdr:row>
      <xdr:rowOff>317499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128250</xdr:colOff>
      <xdr:row>4</xdr:row>
      <xdr:rowOff>6349</xdr:rowOff>
    </xdr:from>
    <xdr:to>
      <xdr:col>9</xdr:col>
      <xdr:colOff>1128905</xdr:colOff>
      <xdr:row>11</xdr:row>
      <xdr:rowOff>183443</xdr:rowOff>
    </xdr:to>
    <mc:AlternateContent xmlns:mc="http://schemas.openxmlformats.org/markup-compatibility/2006">
      <mc:Choice xmlns:a14="http://schemas.microsoft.com/office/drawing/2010/main"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47972" y="951793"/>
              <a:ext cx="2390600" cy="1517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8</xdr:row>
      <xdr:rowOff>0</xdr:rowOff>
    </xdr:from>
    <xdr:to>
      <xdr:col>8</xdr:col>
      <xdr:colOff>0</xdr:colOff>
      <xdr:row>21</xdr:row>
      <xdr:rowOff>163286</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124157</xdr:colOff>
      <xdr:row>12</xdr:row>
      <xdr:rowOff>59768</xdr:rowOff>
    </xdr:from>
    <xdr:to>
      <xdr:col>9</xdr:col>
      <xdr:colOff>1144994</xdr:colOff>
      <xdr:row>20</xdr:row>
      <xdr:rowOff>144132</xdr:rowOff>
    </xdr:to>
    <mc:AlternateContent xmlns:mc="http://schemas.openxmlformats.org/markup-compatibility/2006">
      <mc:Choice xmlns:a14="http://schemas.microsoft.com/office/drawing/2010/main" Requires="a14">
        <xdr:graphicFrame macro="">
          <xdr:nvGraphicFramePr>
            <xdr:cNvPr id="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343879" y="2529212"/>
              <a:ext cx="2410782" cy="1551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128008</xdr:colOff>
      <xdr:row>21</xdr:row>
      <xdr:rowOff>28223</xdr:rowOff>
    </xdr:from>
    <xdr:to>
      <xdr:col>9</xdr:col>
      <xdr:colOff>1165174</xdr:colOff>
      <xdr:row>32</xdr:row>
      <xdr:rowOff>55437</xdr:rowOff>
    </xdr:to>
    <mc:AlternateContent xmlns:mc="http://schemas.openxmlformats.org/markup-compatibility/2006">
      <mc:Choice xmlns:a14="http://schemas.microsoft.com/office/drawing/2010/main" Requires="a14">
        <xdr:graphicFrame macro="">
          <xdr:nvGraphicFramePr>
            <xdr:cNvPr id="10"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8347730" y="4148667"/>
              <a:ext cx="2427111" cy="2045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606778</xdr:colOff>
      <xdr:row>47</xdr:row>
      <xdr:rowOff>0</xdr:rowOff>
    </xdr:from>
    <xdr:to>
      <xdr:col>7</xdr:col>
      <xdr:colOff>1262944</xdr:colOff>
      <xdr:row>48</xdr:row>
      <xdr:rowOff>134055</xdr:rowOff>
    </xdr:to>
    <xdr:sp macro="" textlink="">
      <xdr:nvSpPr>
        <xdr:cNvPr id="4" name="TextBox 3"/>
        <xdr:cNvSpPr txBox="1"/>
      </xdr:nvSpPr>
      <xdr:spPr>
        <a:xfrm>
          <a:off x="1213556" y="9256889"/>
          <a:ext cx="6469944" cy="3316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solidFill>
                <a:schemeClr val="tx2">
                  <a:lumMod val="50000"/>
                </a:schemeClr>
              </a:solidFill>
            </a:rPr>
            <a:t>🏆 </a:t>
          </a:r>
          <a:r>
            <a:rPr lang="en-IN" sz="1200" b="1">
              <a:solidFill>
                <a:schemeClr val="tx2">
                  <a:lumMod val="50000"/>
                </a:schemeClr>
              </a:solidFill>
            </a:rPr>
            <a:t>North is the leading region by sales</a:t>
          </a:r>
          <a:r>
            <a:rPr lang="en-IN" sz="1200"/>
            <a:t>, making it the strongest regional contributor.</a:t>
          </a:r>
        </a:p>
      </xdr:txBody>
    </xdr:sp>
    <xdr:clientData/>
  </xdr:twoCellAnchor>
  <xdr:twoCellAnchor>
    <xdr:from>
      <xdr:col>1</xdr:col>
      <xdr:colOff>620889</xdr:colOff>
      <xdr:row>50</xdr:row>
      <xdr:rowOff>17632</xdr:rowOff>
    </xdr:from>
    <xdr:to>
      <xdr:col>7</xdr:col>
      <xdr:colOff>1277055</xdr:colOff>
      <xdr:row>51</xdr:row>
      <xdr:rowOff>119939</xdr:rowOff>
    </xdr:to>
    <xdr:sp macro="" textlink="">
      <xdr:nvSpPr>
        <xdr:cNvPr id="12" name="TextBox 11"/>
        <xdr:cNvSpPr txBox="1"/>
      </xdr:nvSpPr>
      <xdr:spPr>
        <a:xfrm>
          <a:off x="1227667" y="9902465"/>
          <a:ext cx="6469944" cy="2998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solidFill>
                <a:schemeClr val="tx2">
                  <a:lumMod val="50000"/>
                </a:schemeClr>
              </a:solidFill>
            </a:rPr>
            <a:t>💰 </a:t>
          </a:r>
          <a:r>
            <a:rPr lang="en-IN" sz="1200" b="1">
              <a:solidFill>
                <a:schemeClr val="tx2">
                  <a:lumMod val="50000"/>
                </a:schemeClr>
              </a:solidFill>
            </a:rPr>
            <a:t>Overall profit margin is 38.0%</a:t>
          </a:r>
          <a:r>
            <a:rPr lang="en-IN" sz="1200"/>
            <a:t>, indicating strong profitability across the business.</a:t>
          </a:r>
        </a:p>
      </xdr:txBody>
    </xdr:sp>
    <xdr:clientData/>
  </xdr:twoCellAnchor>
  <xdr:twoCellAnchor>
    <xdr:from>
      <xdr:col>1</xdr:col>
      <xdr:colOff>606778</xdr:colOff>
      <xdr:row>53</xdr:row>
      <xdr:rowOff>5643</xdr:rowOff>
    </xdr:from>
    <xdr:to>
      <xdr:col>7</xdr:col>
      <xdr:colOff>1636888</xdr:colOff>
      <xdr:row>54</xdr:row>
      <xdr:rowOff>162280</xdr:rowOff>
    </xdr:to>
    <xdr:sp macro="" textlink="">
      <xdr:nvSpPr>
        <xdr:cNvPr id="13" name="TextBox 12"/>
        <xdr:cNvSpPr txBox="1"/>
      </xdr:nvSpPr>
      <xdr:spPr>
        <a:xfrm>
          <a:off x="1213556" y="10504310"/>
          <a:ext cx="6843888" cy="3400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solidFill>
                <a:schemeClr val="tx2">
                  <a:lumMod val="50000"/>
                </a:schemeClr>
              </a:solidFill>
            </a:rPr>
            <a:t>📊 </a:t>
          </a:r>
          <a:r>
            <a:rPr lang="en-IN" sz="1200" b="1">
              <a:solidFill>
                <a:schemeClr val="tx2">
                  <a:lumMod val="50000"/>
                </a:schemeClr>
              </a:solidFill>
            </a:rPr>
            <a:t>1,000 orders generated ₹43.70 lakh in sales</a:t>
          </a:r>
          <a:r>
            <a:rPr lang="en-IN" sz="1200"/>
            <a:t>, with an average order value of approximately ₹4,370.</a:t>
          </a:r>
        </a:p>
      </xdr:txBody>
    </xdr:sp>
    <xdr:clientData/>
  </xdr:twoCellAnchor>
  <xdr:twoCellAnchor>
    <xdr:from>
      <xdr:col>1</xdr:col>
      <xdr:colOff>642055</xdr:colOff>
      <xdr:row>56</xdr:row>
      <xdr:rowOff>11976</xdr:rowOff>
    </xdr:from>
    <xdr:to>
      <xdr:col>7</xdr:col>
      <xdr:colOff>1658054</xdr:colOff>
      <xdr:row>57</xdr:row>
      <xdr:rowOff>155224</xdr:rowOff>
    </xdr:to>
    <xdr:sp macro="" textlink="">
      <xdr:nvSpPr>
        <xdr:cNvPr id="14" name="TextBox 13"/>
        <xdr:cNvSpPr txBox="1"/>
      </xdr:nvSpPr>
      <xdr:spPr>
        <a:xfrm>
          <a:off x="1248833" y="11110365"/>
          <a:ext cx="6829777" cy="326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solidFill>
                <a:schemeClr val="tx2">
                  <a:lumMod val="50000"/>
                </a:schemeClr>
              </a:solidFill>
            </a:rPr>
            <a:t>🎯 </a:t>
          </a:r>
          <a:r>
            <a:rPr lang="en-IN" sz="1200" b="1">
              <a:solidFill>
                <a:schemeClr val="tx2">
                  <a:lumMod val="50000"/>
                </a:schemeClr>
              </a:solidFill>
            </a:rPr>
            <a:t>Region, Category, Salesperson and Year slicers</a:t>
          </a:r>
          <a:r>
            <a:rPr lang="en-IN" sz="1200"/>
            <a:t> allow users to drill down into performance dynamically.</a:t>
          </a:r>
        </a:p>
      </xdr:txBody>
    </xdr:sp>
    <xdr:clientData/>
  </xdr:twoCellAnchor>
  <xdr:twoCellAnchor editAs="oneCell">
    <xdr:from>
      <xdr:col>8</xdr:col>
      <xdr:colOff>128005</xdr:colOff>
      <xdr:row>32</xdr:row>
      <xdr:rowOff>119947</xdr:rowOff>
    </xdr:from>
    <xdr:to>
      <xdr:col>9</xdr:col>
      <xdr:colOff>1164165</xdr:colOff>
      <xdr:row>37</xdr:row>
      <xdr:rowOff>176388</xdr:rowOff>
    </xdr:to>
    <mc:AlternateContent xmlns:mc="http://schemas.openxmlformats.org/markup-compatibility/2006">
      <mc:Choice xmlns:a14="http://schemas.microsoft.com/office/drawing/2010/main" Requires="a14">
        <xdr:graphicFrame macro="">
          <xdr:nvGraphicFramePr>
            <xdr:cNvPr id="16" name="Order Yea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8347727" y="6258280"/>
              <a:ext cx="2426105" cy="973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Shree" refreshedDate="46269.921236689814" createdVersion="6" refreshedVersion="6" minRefreshableVersion="3" recordCount="1000">
  <cacheSource type="worksheet">
    <worksheetSource ref="A1:N1001" sheet="01_Raw_Data"/>
  </cacheSource>
  <cacheFields count="14">
    <cacheField name="Order ID" numFmtId="0">
      <sharedItems/>
    </cacheField>
    <cacheField name="Order Date" numFmtId="0">
      <sharedItems/>
    </cacheField>
    <cacheField name="Customer" numFmtId="0">
      <sharedItems/>
    </cacheField>
    <cacheField name="Category" numFmtId="0">
      <sharedItems count="4">
        <s v="Electronics"/>
        <s v="Home &amp; Kitchen"/>
        <s v="Fitness"/>
        <s v="Office Supplies"/>
      </sharedItems>
    </cacheField>
    <cacheField name="Product" numFmtId="0">
      <sharedItems/>
    </cacheField>
    <cacheField name="Region" numFmtId="0">
      <sharedItems/>
    </cacheField>
    <cacheField name="City" numFmtId="0">
      <sharedItems/>
    </cacheField>
    <cacheField name="Salesperson" numFmtId="0">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120" maxValue="2200"/>
    </cacheField>
    <cacheField name="Discount" numFmtId="0">
      <sharedItems containsSemiMixedTypes="0" containsString="0" containsNumber="1" minValue="0" maxValue="0.15"/>
    </cacheField>
    <cacheField name="Sales" numFmtId="0">
      <sharedItems containsSemiMixedTypes="0" containsString="0" containsNumber="1" minValue="108" maxValue="22000"/>
    </cacheField>
    <cacheField name="Cost" numFmtId="0">
      <sharedItems containsSemiMixedTypes="0" containsString="0" containsNumber="1" containsInteger="1" minValue="55" maxValue="14500"/>
    </cacheField>
    <cacheField name="Profit" numFmtId="0">
      <sharedItems containsSemiMixedTypes="0" containsString="0" containsNumber="1" minValue="53" maxValue="8000"/>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Shree" refreshedDate="46280.52847326389" missingItemsLimit="0" createdVersion="6" refreshedVersion="6" minRefreshableVersion="3" recordCount="1000">
  <cacheSource type="worksheet">
    <worksheetSource name="SalesData"/>
  </cacheSource>
  <cacheFields count="20">
    <cacheField name="Order ID" numFmtId="0">
      <sharedItems/>
    </cacheField>
    <cacheField name="Order Date" numFmtId="0">
      <sharedItems count="342">
        <s v="2025-09-01"/>
        <s v="2025-09-02"/>
        <s v="2025-09-03"/>
        <s v="2025-09-04"/>
        <s v="2025-09-05"/>
        <s v="2025-09-06"/>
        <s v="2025-09-07"/>
        <s v="2025-09-08"/>
        <s v="2025-09-10"/>
        <s v="2025-09-11"/>
        <s v="2025-09-12"/>
        <s v="2025-09-13"/>
        <s v="2025-09-15"/>
        <s v="2025-09-16"/>
        <s v="2025-09-17"/>
        <s v="2025-09-18"/>
        <s v="2025-09-19"/>
        <s v="2025-09-20"/>
        <s v="2025-09-22"/>
        <s v="2025-09-23"/>
        <s v="2025-09-25"/>
        <s v="2025-09-26"/>
        <s v="2025-09-27"/>
        <s v="2025-09-28"/>
        <s v="2025-09-29"/>
        <s v="2025-09-30"/>
        <s v="2025-10-01"/>
        <s v="2025-10-02"/>
        <s v="2025-10-03"/>
        <s v="2025-10-04"/>
        <s v="2025-10-05"/>
        <s v="2025-10-06"/>
        <s v="2025-10-07"/>
        <s v="2025-10-08"/>
        <s v="2025-10-09"/>
        <s v="2025-10-10"/>
        <s v="2025-10-11"/>
        <s v="2025-10-12"/>
        <s v="2025-10-13"/>
        <s v="2025-10-14"/>
        <s v="2025-10-15"/>
        <s v="2025-10-16"/>
        <s v="2025-10-17"/>
        <s v="2025-10-18"/>
        <s v="2025-10-19"/>
        <s v="2025-10-20"/>
        <s v="2025-10-21"/>
        <s v="2025-10-22"/>
        <s v="2025-10-23"/>
        <s v="2025-10-24"/>
        <s v="2025-10-25"/>
        <s v="2025-10-26"/>
        <s v="2025-10-28"/>
        <s v="2025-10-29"/>
        <s v="2025-10-30"/>
        <s v="2025-10-31"/>
        <s v="2025-11-01"/>
        <s v="2025-11-02"/>
        <s v="2025-11-03"/>
        <s v="2025-11-04"/>
        <s v="2025-11-06"/>
        <s v="2025-11-07"/>
        <s v="2025-11-08"/>
        <s v="2025-11-09"/>
        <s v="2025-11-10"/>
        <s v="2025-11-11"/>
        <s v="2025-11-12"/>
        <s v="2025-11-13"/>
        <s v="2025-11-14"/>
        <s v="2025-11-15"/>
        <s v="2025-11-16"/>
        <s v="2025-11-17"/>
        <s v="2025-11-18"/>
        <s v="2025-11-19"/>
        <s v="2025-11-20"/>
        <s v="2025-11-21"/>
        <s v="2025-11-22"/>
        <s v="2025-11-23"/>
        <s v="2025-11-25"/>
        <s v="2025-11-26"/>
        <s v="2025-11-27"/>
        <s v="2025-11-28"/>
        <s v="2025-11-29"/>
        <s v="2025-11-30"/>
        <s v="2025-12-01"/>
        <s v="2025-12-02"/>
        <s v="2025-12-03"/>
        <s v="2025-12-04"/>
        <s v="2025-12-05"/>
        <s v="2025-12-06"/>
        <s v="2025-12-07"/>
        <s v="2025-12-08"/>
        <s v="2025-12-09"/>
        <s v="2025-12-10"/>
        <s v="2025-12-12"/>
        <s v="2025-12-13"/>
        <s v="2025-12-14"/>
        <s v="2025-12-15"/>
        <s v="2025-12-16"/>
        <s v="2025-12-17"/>
        <s v="2025-12-18"/>
        <s v="2025-12-19"/>
        <s v="2025-12-20"/>
        <s v="2025-12-21"/>
        <s v="2025-12-22"/>
        <s v="2025-12-23"/>
        <s v="2025-12-25"/>
        <s v="2025-12-26"/>
        <s v="2025-12-27"/>
        <s v="2025-12-28"/>
        <s v="2025-12-29"/>
        <s v="2025-12-31"/>
        <s v="2026-01-01"/>
        <s v="2026-01-02"/>
        <s v="2026-01-03"/>
        <s v="2026-01-04"/>
        <s v="2026-01-05"/>
        <s v="2026-01-06"/>
        <s v="2026-01-07"/>
        <s v="2026-01-09"/>
        <s v="2026-01-10"/>
        <s v="2026-01-11"/>
        <s v="2026-01-12"/>
        <s v="2026-01-13"/>
        <s v="2026-01-14"/>
        <s v="2026-01-15"/>
        <s v="2026-01-16"/>
        <s v="2026-01-19"/>
        <s v="2026-01-20"/>
        <s v="2026-01-21"/>
        <s v="2026-01-22"/>
        <s v="2026-01-23"/>
        <s v="2026-01-24"/>
        <s v="2026-01-25"/>
        <s v="2026-01-26"/>
        <s v="2026-01-27"/>
        <s v="2026-01-29"/>
        <s v="2026-01-31"/>
        <s v="2026-02-01"/>
        <s v="2026-02-03"/>
        <s v="2026-02-04"/>
        <s v="2026-02-05"/>
        <s v="2026-02-06"/>
        <s v="2026-02-07"/>
        <s v="2026-02-08"/>
        <s v="2026-02-09"/>
        <s v="2026-02-10"/>
        <s v="2026-02-11"/>
        <s v="2026-02-12"/>
        <s v="2026-02-13"/>
        <s v="2026-02-15"/>
        <s v="2026-02-16"/>
        <s v="2026-02-17"/>
        <s v="2026-02-18"/>
        <s v="2026-02-19"/>
        <s v="2026-02-20"/>
        <s v="2026-02-22"/>
        <s v="2026-02-23"/>
        <s v="2026-02-24"/>
        <s v="2026-02-25"/>
        <s v="2026-02-26"/>
        <s v="2026-02-27"/>
        <s v="2026-02-28"/>
        <s v="2026-03-01"/>
        <s v="2026-03-02"/>
        <s v="2026-03-03"/>
        <s v="2026-03-04"/>
        <s v="2026-03-05"/>
        <s v="2026-03-06"/>
        <s v="2026-03-07"/>
        <s v="2026-03-08"/>
        <s v="2026-03-09"/>
        <s v="2026-03-10"/>
        <s v="2026-03-11"/>
        <s v="2026-03-12"/>
        <s v="2026-03-13"/>
        <s v="2026-03-14"/>
        <s v="2026-03-15"/>
        <s v="2026-03-16"/>
        <s v="2026-03-17"/>
        <s v="2026-03-18"/>
        <s v="2026-03-19"/>
        <s v="2026-03-20"/>
        <s v="2026-03-21"/>
        <s v="2026-03-22"/>
        <s v="2026-03-23"/>
        <s v="2026-03-24"/>
        <s v="2026-03-25"/>
        <s v="2026-03-26"/>
        <s v="2026-03-27"/>
        <s v="2026-03-28"/>
        <s v="2026-03-29"/>
        <s v="2026-03-30"/>
        <s v="2026-03-31"/>
        <s v="2026-04-01"/>
        <s v="2026-04-02"/>
        <s v="2026-04-03"/>
        <s v="2026-04-04"/>
        <s v="2026-04-05"/>
        <s v="2026-04-06"/>
        <s v="2026-04-07"/>
        <s v="2026-04-08"/>
        <s v="2026-04-09"/>
        <s v="2026-04-10"/>
        <s v="2026-04-11"/>
        <s v="2026-04-12"/>
        <s v="2026-04-13"/>
        <s v="2026-04-14"/>
        <s v="2026-04-15"/>
        <s v="2026-04-17"/>
        <s v="2026-04-18"/>
        <s v="2026-04-19"/>
        <s v="2026-04-20"/>
        <s v="2026-04-21"/>
        <s v="2026-04-22"/>
        <s v="2026-04-23"/>
        <s v="2026-04-24"/>
        <s v="2026-04-25"/>
        <s v="2026-04-26"/>
        <s v="2026-04-27"/>
        <s v="2026-04-28"/>
        <s v="2026-04-29"/>
        <s v="2026-04-30"/>
        <s v="2026-05-02"/>
        <s v="2026-05-03"/>
        <s v="2026-05-04"/>
        <s v="2026-05-05"/>
        <s v="2026-05-06"/>
        <s v="2026-05-07"/>
        <s v="2026-05-08"/>
        <s v="2026-05-09"/>
        <s v="2026-05-10"/>
        <s v="2026-05-11"/>
        <s v="2026-05-12"/>
        <s v="2026-05-13"/>
        <s v="2026-05-14"/>
        <s v="2026-05-15"/>
        <s v="2026-05-16"/>
        <s v="2026-05-17"/>
        <s v="2026-05-18"/>
        <s v="2026-05-19"/>
        <s v="2026-05-20"/>
        <s v="2026-05-21"/>
        <s v="2026-05-22"/>
        <s v="2026-05-23"/>
        <s v="2026-05-24"/>
        <s v="2026-05-25"/>
        <s v="2026-05-26"/>
        <s v="2026-05-27"/>
        <s v="2026-05-28"/>
        <s v="2026-05-29"/>
        <s v="2026-05-30"/>
        <s v="2026-05-31"/>
        <s v="2026-06-01"/>
        <s v="2026-06-02"/>
        <s v="2026-06-03"/>
        <s v="2026-06-04"/>
        <s v="2026-06-05"/>
        <s v="2026-06-06"/>
        <s v="2026-06-07"/>
        <s v="2026-06-08"/>
        <s v="2026-06-09"/>
        <s v="2026-06-10"/>
        <s v="2026-06-11"/>
        <s v="2026-06-12"/>
        <s v="2026-06-13"/>
        <s v="2026-06-14"/>
        <s v="2026-06-15"/>
        <s v="2026-06-16"/>
        <s v="2026-06-17"/>
        <s v="2026-06-18"/>
        <s v="2026-06-19"/>
        <s v="2026-06-20"/>
        <s v="2026-06-21"/>
        <s v="2026-06-22"/>
        <s v="2026-06-23"/>
        <s v="2026-06-24"/>
        <s v="2026-06-25"/>
        <s v="2026-06-26"/>
        <s v="2026-06-27"/>
        <s v="2026-06-28"/>
        <s v="2026-06-29"/>
        <s v="2026-06-30"/>
        <s v="2026-07-01"/>
        <s v="2026-07-02"/>
        <s v="2026-07-03"/>
        <s v="2026-07-05"/>
        <s v="2026-07-06"/>
        <s v="2026-07-07"/>
        <s v="2026-07-08"/>
        <s v="2026-07-10"/>
        <s v="2026-07-11"/>
        <s v="2026-07-12"/>
        <s v="2026-07-13"/>
        <s v="2026-07-14"/>
        <s v="2026-07-16"/>
        <s v="2026-07-17"/>
        <s v="2026-07-18"/>
        <s v="2026-07-19"/>
        <s v="2026-07-20"/>
        <s v="2026-07-21"/>
        <s v="2026-07-22"/>
        <s v="2026-07-23"/>
        <s v="2026-07-24"/>
        <s v="2026-07-25"/>
        <s v="2026-07-26"/>
        <s v="2026-07-27"/>
        <s v="2026-07-28"/>
        <s v="2026-07-29"/>
        <s v="2026-07-30"/>
        <s v="2026-07-31"/>
        <s v="2026-08-01"/>
        <s v="2026-08-02"/>
        <s v="2026-08-03"/>
        <s v="2026-08-04"/>
        <s v="2026-08-05"/>
        <s v="2026-08-06"/>
        <s v="2026-08-07"/>
        <s v="2026-08-08"/>
        <s v="2026-08-09"/>
        <s v="2026-08-10"/>
        <s v="2026-08-11"/>
        <s v="2026-08-12"/>
        <s v="2026-08-13"/>
        <s v="2026-08-14"/>
        <s v="2026-08-15"/>
        <s v="2026-08-16"/>
        <s v="2026-08-17"/>
        <s v="2026-08-18"/>
        <s v="2026-08-19"/>
        <s v="2026-08-20"/>
        <s v="2026-08-21"/>
        <s v="2026-08-22"/>
        <s v="2026-08-23"/>
        <s v="2026-08-24"/>
        <s v="2026-08-25"/>
        <s v="2026-08-26"/>
        <s v="2026-08-27"/>
        <s v="2026-08-28"/>
        <s v="2026-08-29"/>
        <s v="2026-08-30"/>
        <s v="2026-08-31"/>
      </sharedItems>
    </cacheField>
    <cacheField name="Customer" numFmtId="0">
      <sharedItems/>
    </cacheField>
    <cacheField name="Category" numFmtId="0">
      <sharedItems count="4">
        <s v="Electronics"/>
        <s v="Home &amp; Kitchen"/>
        <s v="Fitness"/>
        <s v="Office Supplies"/>
      </sharedItems>
    </cacheField>
    <cacheField name="Product" numFmtId="0">
      <sharedItems count="20">
        <s v="USB-C Hub"/>
        <s v="Storage Container"/>
        <s v="Power Bank"/>
        <s v="Lunch Box"/>
        <s v="Dumbbell Set"/>
        <s v="Wireless Mouse"/>
        <s v="Notebook"/>
        <s v="Gym Gloves"/>
        <s v="Bluetooth Speaker"/>
        <s v="Coffee Mug"/>
        <s v="Kitchen Scale"/>
        <s v="Water Bottle"/>
        <s v="File Folder"/>
        <s v="Ball Pen Pack"/>
        <s v="Stapler"/>
        <s v="Desk Organizer"/>
        <s v="Keyboard"/>
        <s v="Resistance Bands"/>
        <s v="Skipping Rope"/>
        <s v="Yoga Mat"/>
      </sharedItems>
    </cacheField>
    <cacheField name="Region" numFmtId="0">
      <sharedItems count="4">
        <s v="South"/>
        <s v="East"/>
        <s v="West"/>
        <s v="North"/>
      </sharedItems>
    </cacheField>
    <cacheField name="City" numFmtId="0">
      <sharedItems/>
    </cacheField>
    <cacheField name="Salesperson" numFmtId="0">
      <sharedItems count="6">
        <s v="Sneha Joshi"/>
        <s v="Neha Kulkarni"/>
        <s v="Priya Patil"/>
        <s v="Rahul Verma"/>
        <s v="Amit Sharma"/>
        <s v="Vikas Singh"/>
      </sharedItems>
    </cacheField>
    <cacheField name="Quantity" numFmtId="0">
      <sharedItems containsSemiMixedTypes="0" containsString="0" containsNumber="1" containsInteger="1" minValue="1" maxValue="10"/>
    </cacheField>
    <cacheField name="Unit Price" numFmtId="164">
      <sharedItems containsSemiMixedTypes="0" containsString="0" containsNumber="1" containsInteger="1" minValue="120" maxValue="2200"/>
    </cacheField>
    <cacheField name="Discount" numFmtId="9">
      <sharedItems containsSemiMixedTypes="0" containsString="0" containsNumber="1" minValue="0" maxValue="0.15"/>
    </cacheField>
    <cacheField name="Sales" numFmtId="44">
      <sharedItems containsSemiMixedTypes="0" containsString="0" containsNumber="1" minValue="108" maxValue="22000"/>
    </cacheField>
    <cacheField name="Cost" numFmtId="44">
      <sharedItems containsSemiMixedTypes="0" containsString="0" containsNumber="1" containsInteger="1" minValue="55" maxValue="14500"/>
    </cacheField>
    <cacheField name="Profit" numFmtId="44">
      <sharedItems containsSemiMixedTypes="0" containsString="0" containsNumber="1" minValue="53" maxValue="8000"/>
    </cacheField>
    <cacheField name="Sales_Check" numFmtId="44">
      <sharedItems containsSemiMixedTypes="0" containsString="0" containsNumber="1" minValue="108" maxValue="22000"/>
    </cacheField>
    <cacheField name="Profit_Check" numFmtId="44">
      <sharedItems containsSemiMixedTypes="0" containsString="0" containsNumber="1" minValue="53" maxValue="8000"/>
    </cacheField>
    <cacheField name="Profit Margin" numFmtId="166">
      <sharedItems containsSemiMixedTypes="0" containsString="0" containsNumber="1" minValue="0.22459893048128343" maxValue="0.54166666666666663"/>
    </cacheField>
    <cacheField name="Order Month" numFmtId="0">
      <sharedItems/>
    </cacheField>
    <cacheField name="Order Year" numFmtId="0">
      <sharedItems containsSemiMixedTypes="0" containsString="0" containsNumber="1" containsInteger="1" minValue="2025" maxValue="2026" count="2">
        <n v="2025"/>
        <n v="2026"/>
      </sharedItems>
    </cacheField>
    <cacheField name="Profit Category"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ORD-00709"/>
    <s v="2025-09-01"/>
    <s v="Customer 199"/>
    <x v="0"/>
    <s v="USB-C Hub"/>
    <s v="South"/>
    <s v="Hyderabad"/>
    <s v="Sneha Joshi"/>
    <n v="8"/>
    <n v="1800"/>
    <n v="0.1"/>
    <n v="12960"/>
    <n v="8800"/>
    <n v="4160"/>
  </r>
  <r>
    <s v="ORD-00030"/>
    <s v="2025-09-02"/>
    <s v="Customer 129"/>
    <x v="1"/>
    <s v="Storage Container"/>
    <s v="East"/>
    <s v="Bhubaneswar"/>
    <s v="Neha Kulkarni"/>
    <n v="9"/>
    <n v="600"/>
    <n v="0.05"/>
    <n v="5130"/>
    <n v="2970"/>
    <n v="2160"/>
  </r>
  <r>
    <s v="ORD-00736"/>
    <s v="2025-09-02"/>
    <s v="Customer 010"/>
    <x v="0"/>
    <s v="Power Bank"/>
    <s v="East"/>
    <s v="Bhubaneswar"/>
    <s v="Priya Patil"/>
    <n v="7"/>
    <n v="1500"/>
    <n v="0.05"/>
    <n v="9975"/>
    <n v="6300"/>
    <n v="3675"/>
  </r>
  <r>
    <s v="ORD-00877"/>
    <s v="2025-09-02"/>
    <s v="Customer 041"/>
    <x v="1"/>
    <s v="Lunch Box"/>
    <s v="West"/>
    <s v="Nashik"/>
    <s v="Rahul Verma"/>
    <n v="10"/>
    <n v="700"/>
    <n v="0.05"/>
    <n v="6650"/>
    <n v="4000"/>
    <n v="2650"/>
  </r>
  <r>
    <s v="ORD-00204"/>
    <s v="2025-09-03"/>
    <s v="Customer 127"/>
    <x v="2"/>
    <s v="Dumbbell Set"/>
    <s v="North"/>
    <s v="Jaipur"/>
    <s v="Amit Sharma"/>
    <n v="6"/>
    <n v="2200"/>
    <n v="0.05"/>
    <n v="12540"/>
    <n v="8700"/>
    <n v="3840"/>
  </r>
  <r>
    <s v="ORD-00411"/>
    <s v="2025-09-03"/>
    <s v="Customer 028"/>
    <x v="0"/>
    <s v="Wireless Mouse"/>
    <s v="East"/>
    <s v="Ranchi"/>
    <s v="Neha Kulkarni"/>
    <n v="7"/>
    <n v="650"/>
    <n v="0"/>
    <n v="4550"/>
    <n v="2660"/>
    <n v="1890"/>
  </r>
  <r>
    <s v="ORD-00711"/>
    <s v="2025-09-03"/>
    <s v="Customer 116"/>
    <x v="3"/>
    <s v="Notebook"/>
    <s v="South"/>
    <s v="Kochi"/>
    <s v="Neha Kulkarni"/>
    <n v="5"/>
    <n v="180"/>
    <n v="0.15"/>
    <n v="765"/>
    <n v="450"/>
    <n v="315"/>
  </r>
  <r>
    <s v="ORD-00209"/>
    <s v="2025-09-04"/>
    <s v="Customer 108"/>
    <x v="0"/>
    <s v="Power Bank"/>
    <s v="South"/>
    <s v="Hyderabad"/>
    <s v="Neha Kulkarni"/>
    <n v="8"/>
    <n v="1500"/>
    <n v="0"/>
    <n v="12000"/>
    <n v="7200"/>
    <n v="4800"/>
  </r>
  <r>
    <s v="ORD-00446"/>
    <s v="2025-09-04"/>
    <s v="Customer 067"/>
    <x v="2"/>
    <s v="Gym Gloves"/>
    <s v="East"/>
    <s v="Bhubaneswar"/>
    <s v="Priya Patil"/>
    <n v="8"/>
    <n v="500"/>
    <n v="0"/>
    <n v="4000"/>
    <n v="2240"/>
    <n v="1760"/>
  </r>
  <r>
    <s v="ORD-00694"/>
    <s v="2025-09-04"/>
    <s v="Customer 191"/>
    <x v="0"/>
    <s v="Bluetooth Speaker"/>
    <s v="East"/>
    <s v="Ranchi"/>
    <s v="Amit Sharma"/>
    <n v="9"/>
    <n v="2200"/>
    <n v="0.05"/>
    <n v="18810"/>
    <n v="12600"/>
    <n v="6210"/>
  </r>
  <r>
    <s v="ORD-00079"/>
    <s v="2025-09-05"/>
    <s v="Customer 119"/>
    <x v="1"/>
    <s v="Coffee Mug"/>
    <s v="North"/>
    <s v="Chandigarh"/>
    <s v="Amit Sharma"/>
    <n v="2"/>
    <n v="350"/>
    <n v="0.05"/>
    <n v="665"/>
    <n v="360"/>
    <n v="305"/>
  </r>
  <r>
    <s v="ORD-00092"/>
    <s v="2025-09-05"/>
    <s v="Customer 092"/>
    <x v="1"/>
    <s v="Coffee Mug"/>
    <s v="West"/>
    <s v="Pune"/>
    <s v="Priya Patil"/>
    <n v="3"/>
    <n v="350"/>
    <n v="0"/>
    <n v="1050"/>
    <n v="540"/>
    <n v="510"/>
  </r>
  <r>
    <s v="ORD-00171"/>
    <s v="2025-09-05"/>
    <s v="Customer 005"/>
    <x v="3"/>
    <s v="Notebook"/>
    <s v="West"/>
    <s v="Pune"/>
    <s v="Neha Kulkarni"/>
    <n v="3"/>
    <n v="180"/>
    <n v="0.1"/>
    <n v="486"/>
    <n v="270"/>
    <n v="216"/>
  </r>
  <r>
    <s v="ORD-00267"/>
    <s v="2025-09-05"/>
    <s v="Customer 162"/>
    <x v="0"/>
    <s v="USB-C Hub"/>
    <s v="North"/>
    <s v="Jaipur"/>
    <s v="Priya Patil"/>
    <n v="7"/>
    <n v="1800"/>
    <n v="0"/>
    <n v="12600"/>
    <n v="7700"/>
    <n v="4900"/>
  </r>
  <r>
    <s v="ORD-00383"/>
    <s v="2025-09-05"/>
    <s v="Customer 184"/>
    <x v="1"/>
    <s v="Kitchen Scale"/>
    <s v="South"/>
    <s v="Kochi"/>
    <s v="Sneha Joshi"/>
    <n v="6"/>
    <n v="950"/>
    <n v="0"/>
    <n v="5700"/>
    <n v="3360"/>
    <n v="2340"/>
  </r>
  <r>
    <s v="ORD-00426"/>
    <s v="2025-09-05"/>
    <s v="Customer 084"/>
    <x v="3"/>
    <s v="Notebook"/>
    <s v="North"/>
    <s v="Jaipur"/>
    <s v="Sneha Joshi"/>
    <n v="10"/>
    <n v="180"/>
    <n v="0"/>
    <n v="1800"/>
    <n v="900"/>
    <n v="900"/>
  </r>
  <r>
    <s v="ORD-00616"/>
    <s v="2025-09-05"/>
    <s v="Customer 148"/>
    <x v="0"/>
    <s v="Wireless Mouse"/>
    <s v="East"/>
    <s v="Kolkata"/>
    <s v="Neha Kulkarni"/>
    <n v="4"/>
    <n v="650"/>
    <n v="0"/>
    <n v="2600"/>
    <n v="1520"/>
    <n v="1080"/>
  </r>
  <r>
    <s v="ORD-00101"/>
    <s v="2025-09-06"/>
    <s v="Customer 180"/>
    <x v="1"/>
    <s v="Water Bottle"/>
    <s v="East"/>
    <s v="Patna"/>
    <s v="Priya Patil"/>
    <n v="10"/>
    <n v="550"/>
    <n v="0"/>
    <n v="5500"/>
    <n v="3000"/>
    <n v="2500"/>
  </r>
  <r>
    <s v="ORD-00187"/>
    <s v="2025-09-07"/>
    <s v="Customer 029"/>
    <x v="2"/>
    <s v="Gym Gloves"/>
    <s v="East"/>
    <s v="Ranchi"/>
    <s v="Rahul Verma"/>
    <n v="3"/>
    <n v="500"/>
    <n v="0.05"/>
    <n v="1425"/>
    <n v="840"/>
    <n v="585"/>
  </r>
  <r>
    <s v="ORD-00261"/>
    <s v="2025-09-07"/>
    <s v="Customer 180"/>
    <x v="1"/>
    <s v="Coffee Mug"/>
    <s v="North"/>
    <s v="Jaipur"/>
    <s v="Neha Kulkarni"/>
    <n v="6"/>
    <n v="350"/>
    <n v="0"/>
    <n v="2100"/>
    <n v="1080"/>
    <n v="1020"/>
  </r>
  <r>
    <s v="ORD-00313"/>
    <s v="2025-09-07"/>
    <s v="Customer 070"/>
    <x v="1"/>
    <s v="Lunch Box"/>
    <s v="West"/>
    <s v="Mumbai"/>
    <s v="Priya Patil"/>
    <n v="4"/>
    <n v="700"/>
    <n v="0"/>
    <n v="2800"/>
    <n v="1600"/>
    <n v="1200"/>
  </r>
  <r>
    <s v="ORD-00653"/>
    <s v="2025-09-07"/>
    <s v="Customer 022"/>
    <x v="1"/>
    <s v="Storage Container"/>
    <s v="North"/>
    <s v="Jaipur"/>
    <s v="Amit Sharma"/>
    <n v="7"/>
    <n v="600"/>
    <n v="0"/>
    <n v="4200"/>
    <n v="2310"/>
    <n v="1890"/>
  </r>
  <r>
    <s v="ORD-00193"/>
    <s v="2025-09-08"/>
    <s v="Customer 079"/>
    <x v="3"/>
    <s v="File Folder"/>
    <s v="North"/>
    <s v="Delhi"/>
    <s v="Rahul Verma"/>
    <n v="1"/>
    <n v="150"/>
    <n v="0"/>
    <n v="150"/>
    <n v="75"/>
    <n v="75"/>
  </r>
  <r>
    <s v="ORD-00212"/>
    <s v="2025-09-08"/>
    <s v="Customer 100"/>
    <x v="3"/>
    <s v="Ball Pen Pack"/>
    <s v="East"/>
    <s v="Kolkata"/>
    <s v="Neha Kulkarni"/>
    <n v="1"/>
    <n v="120"/>
    <n v="0"/>
    <n v="120"/>
    <n v="55"/>
    <n v="65"/>
  </r>
  <r>
    <s v="ORD-00223"/>
    <s v="2025-09-08"/>
    <s v="Customer 085"/>
    <x v="3"/>
    <s v="Stapler"/>
    <s v="East"/>
    <s v="Ranchi"/>
    <s v="Amit Sharma"/>
    <n v="2"/>
    <n v="280"/>
    <n v="0"/>
    <n v="560"/>
    <n v="300"/>
    <n v="260"/>
  </r>
  <r>
    <s v="ORD-00279"/>
    <s v="2025-09-08"/>
    <s v="Customer 077"/>
    <x v="3"/>
    <s v="Stapler"/>
    <s v="South"/>
    <s v="Bengaluru"/>
    <s v="Amit Sharma"/>
    <n v="1"/>
    <n v="280"/>
    <n v="0"/>
    <n v="280"/>
    <n v="150"/>
    <n v="130"/>
  </r>
  <r>
    <s v="ORD-00610"/>
    <s v="2025-09-08"/>
    <s v="Customer 069"/>
    <x v="3"/>
    <s v="Desk Organizer"/>
    <s v="West"/>
    <s v="Nashik"/>
    <s v="Priya Patil"/>
    <n v="1"/>
    <n v="450"/>
    <n v="0"/>
    <n v="450"/>
    <n v="250"/>
    <n v="200"/>
  </r>
  <r>
    <s v="ORD-00294"/>
    <s v="2025-09-10"/>
    <s v="Customer 149"/>
    <x v="0"/>
    <s v="USB-C Hub"/>
    <s v="East"/>
    <s v="Ranchi"/>
    <s v="Neha Kulkarni"/>
    <n v="10"/>
    <n v="1800"/>
    <n v="0.05"/>
    <n v="17100"/>
    <n v="11000"/>
    <n v="6100"/>
  </r>
  <r>
    <s v="ORD-00453"/>
    <s v="2025-09-10"/>
    <s v="Customer 017"/>
    <x v="1"/>
    <s v="Lunch Box"/>
    <s v="North"/>
    <s v="Lucknow"/>
    <s v="Sneha Joshi"/>
    <n v="9"/>
    <n v="700"/>
    <n v="0"/>
    <n v="6300"/>
    <n v="3600"/>
    <n v="2700"/>
  </r>
  <r>
    <s v="ORD-00574"/>
    <s v="2025-09-10"/>
    <s v="Customer 067"/>
    <x v="0"/>
    <s v="Keyboard"/>
    <s v="West"/>
    <s v="Pune"/>
    <s v="Vikas Singh"/>
    <n v="4"/>
    <n v="1200"/>
    <n v="0.1"/>
    <n v="4320"/>
    <n v="2880"/>
    <n v="1440"/>
  </r>
  <r>
    <s v="ORD-00693"/>
    <s v="2025-09-10"/>
    <s v="Customer 030"/>
    <x v="3"/>
    <s v="Notebook"/>
    <s v="East"/>
    <s v="Patna"/>
    <s v="Amit Sharma"/>
    <n v="7"/>
    <n v="180"/>
    <n v="0.05"/>
    <n v="1197"/>
    <n v="630"/>
    <n v="567"/>
  </r>
  <r>
    <s v="ORD-00806"/>
    <s v="2025-09-10"/>
    <s v="Customer 102"/>
    <x v="3"/>
    <s v="Notebook"/>
    <s v="West"/>
    <s v="Nashik"/>
    <s v="Rahul Verma"/>
    <n v="5"/>
    <n v="180"/>
    <n v="0.05"/>
    <n v="855"/>
    <n v="450"/>
    <n v="405"/>
  </r>
  <r>
    <s v="ORD-00821"/>
    <s v="2025-09-10"/>
    <s v="Customer 047"/>
    <x v="3"/>
    <s v="File Folder"/>
    <s v="West"/>
    <s v="Mumbai"/>
    <s v="Rahul Verma"/>
    <n v="1"/>
    <n v="150"/>
    <n v="0.1"/>
    <n v="135"/>
    <n v="75"/>
    <n v="60"/>
  </r>
  <r>
    <s v="ORD-00150"/>
    <s v="2025-09-11"/>
    <s v="Customer 164"/>
    <x v="0"/>
    <s v="USB-C Hub"/>
    <s v="North"/>
    <s v="Delhi"/>
    <s v="Amit Sharma"/>
    <n v="5"/>
    <n v="1800"/>
    <n v="0.1"/>
    <n v="8100"/>
    <n v="5500"/>
    <n v="2600"/>
  </r>
  <r>
    <s v="ORD-00605"/>
    <s v="2025-09-11"/>
    <s v="Customer 085"/>
    <x v="0"/>
    <s v="USB-C Hub"/>
    <s v="East"/>
    <s v="Ranchi"/>
    <s v="Vikas Singh"/>
    <n v="2"/>
    <n v="1800"/>
    <n v="0"/>
    <n v="3600"/>
    <n v="2200"/>
    <n v="1400"/>
  </r>
  <r>
    <s v="ORD-00192"/>
    <s v="2025-09-12"/>
    <s v="Customer 018"/>
    <x v="1"/>
    <s v="Coffee Mug"/>
    <s v="West"/>
    <s v="Nashik"/>
    <s v="Sneha Joshi"/>
    <n v="1"/>
    <n v="350"/>
    <n v="0.05"/>
    <n v="332.5"/>
    <n v="180"/>
    <n v="152.5"/>
  </r>
  <r>
    <s v="ORD-00790"/>
    <s v="2025-09-12"/>
    <s v="Customer 069"/>
    <x v="0"/>
    <s v="Keyboard"/>
    <s v="West"/>
    <s v="Ahmedabad"/>
    <s v="Neha Kulkarni"/>
    <n v="1"/>
    <n v="1200"/>
    <n v="0"/>
    <n v="1200"/>
    <n v="720"/>
    <n v="480"/>
  </r>
  <r>
    <s v="ORD-00878"/>
    <s v="2025-09-12"/>
    <s v="Customer 099"/>
    <x v="2"/>
    <s v="Resistance Bands"/>
    <s v="East"/>
    <s v="Ranchi"/>
    <s v="Vikas Singh"/>
    <n v="7"/>
    <n v="650"/>
    <n v="0"/>
    <n v="4550"/>
    <n v="2450"/>
    <n v="2100"/>
  </r>
  <r>
    <s v="ORD-00991"/>
    <s v="2025-09-12"/>
    <s v="Customer 035"/>
    <x v="1"/>
    <s v="Water Bottle"/>
    <s v="South"/>
    <s v="Hyderabad"/>
    <s v="Sneha Joshi"/>
    <n v="8"/>
    <n v="550"/>
    <n v="0"/>
    <n v="4400"/>
    <n v="2400"/>
    <n v="2000"/>
  </r>
  <r>
    <s v="ORD-00042"/>
    <s v="2025-09-13"/>
    <s v="Customer 060"/>
    <x v="0"/>
    <s v="Power Bank"/>
    <s v="North"/>
    <s v="Lucknow"/>
    <s v="Priya Patil"/>
    <n v="10"/>
    <n v="1500"/>
    <n v="0.1"/>
    <n v="13500"/>
    <n v="9000"/>
    <n v="4500"/>
  </r>
  <r>
    <s v="ORD-00395"/>
    <s v="2025-09-13"/>
    <s v="Customer 184"/>
    <x v="3"/>
    <s v="Ball Pen Pack"/>
    <s v="East"/>
    <s v="Ranchi"/>
    <s v="Sneha Joshi"/>
    <n v="6"/>
    <n v="120"/>
    <n v="0"/>
    <n v="720"/>
    <n v="330"/>
    <n v="390"/>
  </r>
  <r>
    <s v="ORD-00920"/>
    <s v="2025-09-15"/>
    <s v="Customer 036"/>
    <x v="0"/>
    <s v="Keyboard"/>
    <s v="South"/>
    <s v="Kochi"/>
    <s v="Amit Sharma"/>
    <n v="2"/>
    <n v="1200"/>
    <n v="0.05"/>
    <n v="2280"/>
    <n v="1440"/>
    <n v="840"/>
  </r>
  <r>
    <s v="ORD-00394"/>
    <s v="2025-09-16"/>
    <s v="Customer 066"/>
    <x v="2"/>
    <s v="Gym Gloves"/>
    <s v="East"/>
    <s v="Bhubaneswar"/>
    <s v="Amit Sharma"/>
    <n v="3"/>
    <n v="500"/>
    <n v="0.05"/>
    <n v="1425"/>
    <n v="840"/>
    <n v="585"/>
  </r>
  <r>
    <s v="ORD-00657"/>
    <s v="2025-09-16"/>
    <s v="Customer 099"/>
    <x v="0"/>
    <s v="USB-C Hub"/>
    <s v="East"/>
    <s v="Bhubaneswar"/>
    <s v="Rahul Verma"/>
    <n v="9"/>
    <n v="1800"/>
    <n v="0"/>
    <n v="16200"/>
    <n v="9900"/>
    <n v="6300"/>
  </r>
  <r>
    <s v="ORD-00719"/>
    <s v="2025-09-16"/>
    <s v="Customer 051"/>
    <x v="1"/>
    <s v="Water Bottle"/>
    <s v="South"/>
    <s v="Bengaluru"/>
    <s v="Amit Sharma"/>
    <n v="5"/>
    <n v="550"/>
    <n v="0"/>
    <n v="2750"/>
    <n v="1500"/>
    <n v="1250"/>
  </r>
  <r>
    <s v="ORD-00280"/>
    <s v="2025-09-17"/>
    <s v="Customer 133"/>
    <x v="1"/>
    <s v="Water Bottle"/>
    <s v="West"/>
    <s v="Nashik"/>
    <s v="Sneha Joshi"/>
    <n v="8"/>
    <n v="550"/>
    <n v="0"/>
    <n v="4400"/>
    <n v="2400"/>
    <n v="2000"/>
  </r>
  <r>
    <s v="ORD-00357"/>
    <s v="2025-09-17"/>
    <s v="Customer 088"/>
    <x v="0"/>
    <s v="Wireless Mouse"/>
    <s v="West"/>
    <s v="Ahmedabad"/>
    <s v="Vikas Singh"/>
    <n v="5"/>
    <n v="650"/>
    <n v="0"/>
    <n v="3250"/>
    <n v="1900"/>
    <n v="1350"/>
  </r>
  <r>
    <s v="ORD-00765"/>
    <s v="2025-09-17"/>
    <s v="Customer 154"/>
    <x v="0"/>
    <s v="Power Bank"/>
    <s v="West"/>
    <s v="Mumbai"/>
    <s v="Vikas Singh"/>
    <n v="3"/>
    <n v="1500"/>
    <n v="0"/>
    <n v="4500"/>
    <n v="2700"/>
    <n v="1800"/>
  </r>
  <r>
    <s v="ORD-00602"/>
    <s v="2025-09-18"/>
    <s v="Customer 113"/>
    <x v="2"/>
    <s v="Skipping Rope"/>
    <s v="West"/>
    <s v="Ahmedabad"/>
    <s v="Rahul Verma"/>
    <n v="7"/>
    <n v="350"/>
    <n v="0.05"/>
    <n v="2327.5"/>
    <n v="1190"/>
    <n v="1137.5"/>
  </r>
  <r>
    <s v="ORD-00724"/>
    <s v="2025-09-18"/>
    <s v="Customer 182"/>
    <x v="0"/>
    <s v="Keyboard"/>
    <s v="East"/>
    <s v="Ranchi"/>
    <s v="Vikas Singh"/>
    <n v="1"/>
    <n v="1200"/>
    <n v="0"/>
    <n v="1200"/>
    <n v="720"/>
    <n v="480"/>
  </r>
  <r>
    <s v="ORD-00782"/>
    <s v="2025-09-18"/>
    <s v="Customer 057"/>
    <x v="0"/>
    <s v="Wireless Mouse"/>
    <s v="East"/>
    <s v="Ranchi"/>
    <s v="Vikas Singh"/>
    <n v="2"/>
    <n v="650"/>
    <n v="0"/>
    <n v="1300"/>
    <n v="760"/>
    <n v="540"/>
  </r>
  <r>
    <s v="ORD-00897"/>
    <s v="2025-09-18"/>
    <s v="Customer 117"/>
    <x v="1"/>
    <s v="Storage Container"/>
    <s v="West"/>
    <s v="Nashik"/>
    <s v="Neha Kulkarni"/>
    <n v="7"/>
    <n v="600"/>
    <n v="0"/>
    <n v="4200"/>
    <n v="2310"/>
    <n v="1890"/>
  </r>
  <r>
    <s v="ORD-00062"/>
    <s v="2025-09-19"/>
    <s v="Customer 177"/>
    <x v="3"/>
    <s v="File Folder"/>
    <s v="East"/>
    <s v="Kolkata"/>
    <s v="Sneha Joshi"/>
    <n v="6"/>
    <n v="150"/>
    <n v="0"/>
    <n v="900"/>
    <n v="450"/>
    <n v="450"/>
  </r>
  <r>
    <s v="ORD-00500"/>
    <s v="2025-09-19"/>
    <s v="Customer 195"/>
    <x v="3"/>
    <s v="File Folder"/>
    <s v="East"/>
    <s v="Ranchi"/>
    <s v="Priya Patil"/>
    <n v="9"/>
    <n v="150"/>
    <n v="0"/>
    <n v="1350"/>
    <n v="675"/>
    <n v="675"/>
  </r>
  <r>
    <s v="ORD-00812"/>
    <s v="2025-09-19"/>
    <s v="Customer 128"/>
    <x v="0"/>
    <s v="Power Bank"/>
    <s v="North"/>
    <s v="Lucknow"/>
    <s v="Amit Sharma"/>
    <n v="6"/>
    <n v="1500"/>
    <n v="0.15"/>
    <n v="7650"/>
    <n v="5400"/>
    <n v="2250"/>
  </r>
  <r>
    <s v="ORD-00296"/>
    <s v="2025-09-20"/>
    <s v="Customer 075"/>
    <x v="0"/>
    <s v="Wireless Mouse"/>
    <s v="North"/>
    <s v="Jaipur"/>
    <s v="Rahul Verma"/>
    <n v="9"/>
    <n v="650"/>
    <n v="0.15"/>
    <n v="4972.5"/>
    <n v="3420"/>
    <n v="1552.5"/>
  </r>
  <r>
    <s v="ORD-00638"/>
    <s v="2025-09-20"/>
    <s v="Customer 046"/>
    <x v="2"/>
    <s v="Skipping Rope"/>
    <s v="West"/>
    <s v="Pune"/>
    <s v="Rahul Verma"/>
    <n v="10"/>
    <n v="350"/>
    <n v="0"/>
    <n v="3500"/>
    <n v="1700"/>
    <n v="1800"/>
  </r>
  <r>
    <s v="ORD-00839"/>
    <s v="2025-09-20"/>
    <s v="Customer 185"/>
    <x v="3"/>
    <s v="Desk Organizer"/>
    <s v="West"/>
    <s v="Nashik"/>
    <s v="Priya Patil"/>
    <n v="2"/>
    <n v="450"/>
    <n v="0.1"/>
    <n v="810"/>
    <n v="500"/>
    <n v="310"/>
  </r>
  <r>
    <s v="ORD-00035"/>
    <s v="2025-09-22"/>
    <s v="Customer 158"/>
    <x v="3"/>
    <s v="Desk Organizer"/>
    <s v="West"/>
    <s v="Ahmedabad"/>
    <s v="Neha Kulkarni"/>
    <n v="1"/>
    <n v="450"/>
    <n v="0.05"/>
    <n v="427.5"/>
    <n v="250"/>
    <n v="177.5"/>
  </r>
  <r>
    <s v="ORD-00186"/>
    <s v="2025-09-22"/>
    <s v="Customer 120"/>
    <x v="0"/>
    <s v="Bluetooth Speaker"/>
    <s v="North"/>
    <s v="Delhi"/>
    <s v="Rahul Verma"/>
    <n v="10"/>
    <n v="2200"/>
    <n v="0.05"/>
    <n v="20900"/>
    <n v="14000"/>
    <n v="6900"/>
  </r>
  <r>
    <s v="ORD-00319"/>
    <s v="2025-09-22"/>
    <s v="Customer 112"/>
    <x v="0"/>
    <s v="Keyboard"/>
    <s v="West"/>
    <s v="Pune"/>
    <s v="Amit Sharma"/>
    <n v="5"/>
    <n v="1200"/>
    <n v="0"/>
    <n v="6000"/>
    <n v="3600"/>
    <n v="2400"/>
  </r>
  <r>
    <s v="ORD-00388"/>
    <s v="2025-09-22"/>
    <s v="Customer 093"/>
    <x v="3"/>
    <s v="Desk Organizer"/>
    <s v="South"/>
    <s v="Bengaluru"/>
    <s v="Neha Kulkarni"/>
    <n v="7"/>
    <n v="450"/>
    <n v="0"/>
    <n v="3150"/>
    <n v="1750"/>
    <n v="1400"/>
  </r>
  <r>
    <s v="ORD-00082"/>
    <s v="2025-09-23"/>
    <s v="Customer 053"/>
    <x v="0"/>
    <s v="Bluetooth Speaker"/>
    <s v="West"/>
    <s v="Mumbai"/>
    <s v="Vikas Singh"/>
    <n v="5"/>
    <n v="2200"/>
    <n v="0.15"/>
    <n v="9350"/>
    <n v="7000"/>
    <n v="2350"/>
  </r>
  <r>
    <s v="ORD-00983"/>
    <s v="2025-09-23"/>
    <s v="Customer 046"/>
    <x v="1"/>
    <s v="Coffee Mug"/>
    <s v="South"/>
    <s v="Hyderabad"/>
    <s v="Neha Kulkarni"/>
    <n v="1"/>
    <n v="350"/>
    <n v="0"/>
    <n v="350"/>
    <n v="180"/>
    <n v="170"/>
  </r>
  <r>
    <s v="ORD-00099"/>
    <s v="2025-09-25"/>
    <s v="Customer 145"/>
    <x v="1"/>
    <s v="Water Bottle"/>
    <s v="South"/>
    <s v="Hyderabad"/>
    <s v="Vikas Singh"/>
    <n v="10"/>
    <n v="550"/>
    <n v="0.05"/>
    <n v="5225"/>
    <n v="3000"/>
    <n v="2225"/>
  </r>
  <r>
    <s v="ORD-00128"/>
    <s v="2025-09-25"/>
    <s v="Customer 090"/>
    <x v="2"/>
    <s v="Gym Gloves"/>
    <s v="North"/>
    <s v="Delhi"/>
    <s v="Rahul Verma"/>
    <n v="3"/>
    <n v="500"/>
    <n v="0"/>
    <n v="1500"/>
    <n v="840"/>
    <n v="660"/>
  </r>
  <r>
    <s v="ORD-00205"/>
    <s v="2025-09-25"/>
    <s v="Customer 045"/>
    <x v="0"/>
    <s v="USB-C Hub"/>
    <s v="North"/>
    <s v="Jaipur"/>
    <s v="Rahul Verma"/>
    <n v="7"/>
    <n v="1800"/>
    <n v="0.05"/>
    <n v="11970"/>
    <n v="7700"/>
    <n v="4270"/>
  </r>
  <r>
    <s v="ORD-00264"/>
    <s v="2025-09-25"/>
    <s v="Customer 141"/>
    <x v="1"/>
    <s v="Kitchen Scale"/>
    <s v="East"/>
    <s v="Patna"/>
    <s v="Vikas Singh"/>
    <n v="3"/>
    <n v="950"/>
    <n v="0"/>
    <n v="2850"/>
    <n v="1680"/>
    <n v="1170"/>
  </r>
  <r>
    <s v="ORD-00476"/>
    <s v="2025-09-25"/>
    <s v="Customer 028"/>
    <x v="1"/>
    <s v="Kitchen Scale"/>
    <s v="South"/>
    <s v="Kochi"/>
    <s v="Amit Sharma"/>
    <n v="6"/>
    <n v="950"/>
    <n v="0.05"/>
    <n v="5415"/>
    <n v="3360"/>
    <n v="2055"/>
  </r>
  <r>
    <s v="ORD-00158"/>
    <s v="2025-09-26"/>
    <s v="Customer 047"/>
    <x v="2"/>
    <s v="Dumbbell Set"/>
    <s v="South"/>
    <s v="Chennai"/>
    <s v="Priya Patil"/>
    <n v="10"/>
    <n v="2200"/>
    <n v="0"/>
    <n v="22000"/>
    <n v="14500"/>
    <n v="7500"/>
  </r>
  <r>
    <s v="ORD-00225"/>
    <s v="2025-09-26"/>
    <s v="Customer 136"/>
    <x v="2"/>
    <s v="Resistance Bands"/>
    <s v="South"/>
    <s v="Hyderabad"/>
    <s v="Amit Sharma"/>
    <n v="2"/>
    <n v="650"/>
    <n v="0"/>
    <n v="1300"/>
    <n v="700"/>
    <n v="600"/>
  </r>
  <r>
    <s v="ORD-00323"/>
    <s v="2025-09-26"/>
    <s v="Customer 113"/>
    <x v="0"/>
    <s v="USB-C Hub"/>
    <s v="West"/>
    <s v="Mumbai"/>
    <s v="Priya Patil"/>
    <n v="8"/>
    <n v="1800"/>
    <n v="0.15"/>
    <n v="12240"/>
    <n v="8800"/>
    <n v="3440"/>
  </r>
  <r>
    <s v="ORD-00643"/>
    <s v="2025-09-26"/>
    <s v="Customer 151"/>
    <x v="0"/>
    <s v="Bluetooth Speaker"/>
    <s v="East"/>
    <s v="Bhubaneswar"/>
    <s v="Rahul Verma"/>
    <n v="10"/>
    <n v="2200"/>
    <n v="0"/>
    <n v="22000"/>
    <n v="14000"/>
    <n v="8000"/>
  </r>
  <r>
    <s v="ORD-00900"/>
    <s v="2025-09-26"/>
    <s v="Customer 167"/>
    <x v="3"/>
    <s v="Stapler"/>
    <s v="North"/>
    <s v="Jaipur"/>
    <s v="Sneha Joshi"/>
    <n v="6"/>
    <n v="280"/>
    <n v="0.05"/>
    <n v="1596"/>
    <n v="900"/>
    <n v="696"/>
  </r>
  <r>
    <s v="ORD-00915"/>
    <s v="2025-09-26"/>
    <s v="Customer 198"/>
    <x v="3"/>
    <s v="File Folder"/>
    <s v="North"/>
    <s v="Delhi"/>
    <s v="Amit Sharma"/>
    <n v="2"/>
    <n v="150"/>
    <n v="0.1"/>
    <n v="270"/>
    <n v="150"/>
    <n v="120"/>
  </r>
  <r>
    <s v="ORD-00237"/>
    <s v="2025-09-27"/>
    <s v="Customer 157"/>
    <x v="0"/>
    <s v="Power Bank"/>
    <s v="East"/>
    <s v="Ranchi"/>
    <s v="Sneha Joshi"/>
    <n v="5"/>
    <n v="1500"/>
    <n v="0"/>
    <n v="7500"/>
    <n v="4500"/>
    <n v="3000"/>
  </r>
  <r>
    <s v="ORD-00396"/>
    <s v="2025-09-27"/>
    <s v="Customer 118"/>
    <x v="2"/>
    <s v="Skipping Rope"/>
    <s v="East"/>
    <s v="Patna"/>
    <s v="Vikas Singh"/>
    <n v="8"/>
    <n v="350"/>
    <n v="0"/>
    <n v="2800"/>
    <n v="1360"/>
    <n v="1440"/>
  </r>
  <r>
    <s v="ORD-00013"/>
    <s v="2025-09-28"/>
    <s v="Customer 135"/>
    <x v="1"/>
    <s v="Lunch Box"/>
    <s v="West"/>
    <s v="Pune"/>
    <s v="Amit Sharma"/>
    <n v="7"/>
    <n v="700"/>
    <n v="0.05"/>
    <n v="4655"/>
    <n v="2800"/>
    <n v="1855"/>
  </r>
  <r>
    <s v="ORD-00096"/>
    <s v="2025-09-28"/>
    <s v="Customer 078"/>
    <x v="1"/>
    <s v="Storage Container"/>
    <s v="South"/>
    <s v="Chennai"/>
    <s v="Priya Patil"/>
    <n v="8"/>
    <n v="600"/>
    <n v="0.05"/>
    <n v="4560"/>
    <n v="2640"/>
    <n v="1920"/>
  </r>
  <r>
    <s v="ORD-00650"/>
    <s v="2025-09-28"/>
    <s v="Customer 111"/>
    <x v="3"/>
    <s v="File Folder"/>
    <s v="North"/>
    <s v="Delhi"/>
    <s v="Amit Sharma"/>
    <n v="7"/>
    <n v="150"/>
    <n v="0.1"/>
    <n v="945"/>
    <n v="525"/>
    <n v="420"/>
  </r>
  <r>
    <s v="ORD-00687"/>
    <s v="2025-09-28"/>
    <s v="Customer 169"/>
    <x v="3"/>
    <s v="File Folder"/>
    <s v="West"/>
    <s v="Pune"/>
    <s v="Priya Patil"/>
    <n v="5"/>
    <n v="150"/>
    <n v="0"/>
    <n v="750"/>
    <n v="375"/>
    <n v="375"/>
  </r>
  <r>
    <s v="ORD-00871"/>
    <s v="2025-09-28"/>
    <s v="Customer 077"/>
    <x v="2"/>
    <s v="Dumbbell Set"/>
    <s v="East"/>
    <s v="Bhubaneswar"/>
    <s v="Amit Sharma"/>
    <n v="5"/>
    <n v="2200"/>
    <n v="0.1"/>
    <n v="9900"/>
    <n v="7250"/>
    <n v="2650"/>
  </r>
  <r>
    <s v="ORD-00067"/>
    <s v="2025-09-29"/>
    <s v="Customer 165"/>
    <x v="1"/>
    <s v="Coffee Mug"/>
    <s v="West"/>
    <s v="Pune"/>
    <s v="Neha Kulkarni"/>
    <n v="10"/>
    <n v="350"/>
    <n v="0"/>
    <n v="3500"/>
    <n v="1800"/>
    <n v="1700"/>
  </r>
  <r>
    <s v="ORD-00906"/>
    <s v="2025-09-29"/>
    <s v="Customer 163"/>
    <x v="0"/>
    <s v="USB-C Hub"/>
    <s v="North"/>
    <s v="Chandigarh"/>
    <s v="Neha Kulkarni"/>
    <n v="7"/>
    <n v="1800"/>
    <n v="0.1"/>
    <n v="11340"/>
    <n v="7700"/>
    <n v="3640"/>
  </r>
  <r>
    <s v="ORD-00908"/>
    <s v="2025-09-29"/>
    <s v="Customer 195"/>
    <x v="3"/>
    <s v="Ball Pen Pack"/>
    <s v="North"/>
    <s v="Lucknow"/>
    <s v="Priya Patil"/>
    <n v="3"/>
    <n v="120"/>
    <n v="0"/>
    <n v="360"/>
    <n v="165"/>
    <n v="195"/>
  </r>
  <r>
    <s v="ORD-00450"/>
    <s v="2025-09-30"/>
    <s v="Customer 190"/>
    <x v="1"/>
    <s v="Water Bottle"/>
    <s v="West"/>
    <s v="Mumbai"/>
    <s v="Vikas Singh"/>
    <n v="7"/>
    <n v="550"/>
    <n v="0.05"/>
    <n v="3657.5"/>
    <n v="2100"/>
    <n v="1557.5"/>
  </r>
  <r>
    <s v="ORD-00507"/>
    <s v="2025-09-30"/>
    <s v="Customer 057"/>
    <x v="2"/>
    <s v="Yoga Mat"/>
    <s v="West"/>
    <s v="Nashik"/>
    <s v="Priya Patil"/>
    <n v="3"/>
    <n v="900"/>
    <n v="0"/>
    <n v="2700"/>
    <n v="1560"/>
    <n v="1140"/>
  </r>
  <r>
    <s v="ORD-00779"/>
    <s v="2025-09-30"/>
    <s v="Customer 172"/>
    <x v="2"/>
    <s v="Gym Gloves"/>
    <s v="North"/>
    <s v="Jaipur"/>
    <s v="Vikas Singh"/>
    <n v="8"/>
    <n v="500"/>
    <n v="0.05"/>
    <n v="3800"/>
    <n v="2240"/>
    <n v="1560"/>
  </r>
  <r>
    <s v="ORD-00892"/>
    <s v="2025-09-30"/>
    <s v="Customer 008"/>
    <x v="0"/>
    <s v="Bluetooth Speaker"/>
    <s v="North"/>
    <s v="Delhi"/>
    <s v="Priya Patil"/>
    <n v="2"/>
    <n v="2200"/>
    <n v="0"/>
    <n v="4400"/>
    <n v="2800"/>
    <n v="1600"/>
  </r>
  <r>
    <s v="ORD-00181"/>
    <s v="2025-10-01"/>
    <s v="Customer 023"/>
    <x v="1"/>
    <s v="Kitchen Scale"/>
    <s v="South"/>
    <s v="Bengaluru"/>
    <s v="Priya Patil"/>
    <n v="10"/>
    <n v="950"/>
    <n v="0.05"/>
    <n v="9025"/>
    <n v="5600"/>
    <n v="3425"/>
  </r>
  <r>
    <s v="ORD-00321"/>
    <s v="2025-10-02"/>
    <s v="Customer 135"/>
    <x v="2"/>
    <s v="Resistance Bands"/>
    <s v="South"/>
    <s v="Kochi"/>
    <s v="Vikas Singh"/>
    <n v="3"/>
    <n v="650"/>
    <n v="0.1"/>
    <n v="1755"/>
    <n v="1050"/>
    <n v="705"/>
  </r>
  <r>
    <s v="ORD-00458"/>
    <s v="2025-10-02"/>
    <s v="Customer 096"/>
    <x v="2"/>
    <s v="Yoga Mat"/>
    <s v="West"/>
    <s v="Nashik"/>
    <s v="Sneha Joshi"/>
    <n v="10"/>
    <n v="900"/>
    <n v="0"/>
    <n v="9000"/>
    <n v="5200"/>
    <n v="3800"/>
  </r>
  <r>
    <s v="ORD-00661"/>
    <s v="2025-10-03"/>
    <s v="Customer 012"/>
    <x v="3"/>
    <s v="Ball Pen Pack"/>
    <s v="South"/>
    <s v="Hyderabad"/>
    <s v="Neha Kulkarni"/>
    <n v="5"/>
    <n v="120"/>
    <n v="0"/>
    <n v="600"/>
    <n v="275"/>
    <n v="325"/>
  </r>
  <r>
    <s v="ORD-00089"/>
    <s v="2025-10-04"/>
    <s v="Customer 006"/>
    <x v="3"/>
    <s v="Notebook"/>
    <s v="North"/>
    <s v="Delhi"/>
    <s v="Vikas Singh"/>
    <n v="4"/>
    <n v="180"/>
    <n v="0.05"/>
    <n v="684"/>
    <n v="360"/>
    <n v="324"/>
  </r>
  <r>
    <s v="ORD-00651"/>
    <s v="2025-10-05"/>
    <s v="Customer 030"/>
    <x v="3"/>
    <s v="Stapler"/>
    <s v="South"/>
    <s v="Bengaluru"/>
    <s v="Sneha Joshi"/>
    <n v="4"/>
    <n v="280"/>
    <n v="0"/>
    <n v="1120"/>
    <n v="600"/>
    <n v="520"/>
  </r>
  <r>
    <s v="ORD-00678"/>
    <s v="2025-10-05"/>
    <s v="Customer 053"/>
    <x v="0"/>
    <s v="Keyboard"/>
    <s v="South"/>
    <s v="Bengaluru"/>
    <s v="Priya Patil"/>
    <n v="7"/>
    <n v="1200"/>
    <n v="0.1"/>
    <n v="7560"/>
    <n v="5040"/>
    <n v="2520"/>
  </r>
  <r>
    <s v="ORD-00702"/>
    <s v="2025-10-05"/>
    <s v="Customer 183"/>
    <x v="0"/>
    <s v="Wireless Mouse"/>
    <s v="East"/>
    <s v="Patna"/>
    <s v="Neha Kulkarni"/>
    <n v="9"/>
    <n v="650"/>
    <n v="0"/>
    <n v="5850"/>
    <n v="3420"/>
    <n v="2430"/>
  </r>
  <r>
    <s v="ORD-00766"/>
    <s v="2025-10-05"/>
    <s v="Customer 119"/>
    <x v="1"/>
    <s v="Water Bottle"/>
    <s v="South"/>
    <s v="Hyderabad"/>
    <s v="Neha Kulkarni"/>
    <n v="8"/>
    <n v="550"/>
    <n v="0.1"/>
    <n v="3960"/>
    <n v="2400"/>
    <n v="1560"/>
  </r>
  <r>
    <s v="ORD-00867"/>
    <s v="2025-10-05"/>
    <s v="Customer 024"/>
    <x v="1"/>
    <s v="Storage Container"/>
    <s v="West"/>
    <s v="Pune"/>
    <s v="Sneha Joshi"/>
    <n v="1"/>
    <n v="600"/>
    <n v="0"/>
    <n v="600"/>
    <n v="330"/>
    <n v="270"/>
  </r>
  <r>
    <s v="ORD-00140"/>
    <s v="2025-10-06"/>
    <s v="Customer 029"/>
    <x v="0"/>
    <s v="Wireless Mouse"/>
    <s v="South"/>
    <s v="Bengaluru"/>
    <s v="Sneha Joshi"/>
    <n v="3"/>
    <n v="650"/>
    <n v="0"/>
    <n v="1950"/>
    <n v="1140"/>
    <n v="810"/>
  </r>
  <r>
    <s v="ORD-00310"/>
    <s v="2025-10-06"/>
    <s v="Customer 158"/>
    <x v="0"/>
    <s v="Bluetooth Speaker"/>
    <s v="East"/>
    <s v="Kolkata"/>
    <s v="Sneha Joshi"/>
    <n v="4"/>
    <n v="2200"/>
    <n v="0.05"/>
    <n v="8360"/>
    <n v="5600"/>
    <n v="2760"/>
  </r>
  <r>
    <s v="ORD-00493"/>
    <s v="2025-10-06"/>
    <s v="Customer 110"/>
    <x v="2"/>
    <s v="Yoga Mat"/>
    <s v="West"/>
    <s v="Nashik"/>
    <s v="Priya Patil"/>
    <n v="7"/>
    <n v="900"/>
    <n v="0.15"/>
    <n v="5355"/>
    <n v="3640"/>
    <n v="1715"/>
  </r>
  <r>
    <s v="ORD-00817"/>
    <s v="2025-10-06"/>
    <s v="Customer 168"/>
    <x v="0"/>
    <s v="Keyboard"/>
    <s v="West"/>
    <s v="Pune"/>
    <s v="Vikas Singh"/>
    <n v="7"/>
    <n v="1200"/>
    <n v="0.05"/>
    <n v="7980"/>
    <n v="5040"/>
    <n v="2940"/>
  </r>
  <r>
    <s v="ORD-00391"/>
    <s v="2025-10-07"/>
    <s v="Customer 141"/>
    <x v="0"/>
    <s v="USB-C Hub"/>
    <s v="West"/>
    <s v="Ahmedabad"/>
    <s v="Vikas Singh"/>
    <n v="9"/>
    <n v="1800"/>
    <n v="0.05"/>
    <n v="15390"/>
    <n v="9900"/>
    <n v="5490"/>
  </r>
  <r>
    <s v="ORD-00340"/>
    <s v="2025-10-08"/>
    <s v="Customer 142"/>
    <x v="1"/>
    <s v="Lunch Box"/>
    <s v="South"/>
    <s v="Chennai"/>
    <s v="Sneha Joshi"/>
    <n v="2"/>
    <n v="700"/>
    <n v="0"/>
    <n v="1400"/>
    <n v="800"/>
    <n v="600"/>
  </r>
  <r>
    <s v="ORD-00116"/>
    <s v="2025-10-09"/>
    <s v="Customer 179"/>
    <x v="3"/>
    <s v="Ball Pen Pack"/>
    <s v="North"/>
    <s v="Delhi"/>
    <s v="Neha Kulkarni"/>
    <n v="8"/>
    <n v="120"/>
    <n v="0"/>
    <n v="960"/>
    <n v="440"/>
    <n v="520"/>
  </r>
  <r>
    <s v="ORD-00162"/>
    <s v="2025-10-09"/>
    <s v="Customer 015"/>
    <x v="2"/>
    <s v="Skipping Rope"/>
    <s v="East"/>
    <s v="Bhubaneswar"/>
    <s v="Amit Sharma"/>
    <n v="7"/>
    <n v="350"/>
    <n v="0"/>
    <n v="2450"/>
    <n v="1190"/>
    <n v="1260"/>
  </r>
  <r>
    <s v="ORD-00658"/>
    <s v="2025-10-09"/>
    <s v="Customer 132"/>
    <x v="3"/>
    <s v="File Folder"/>
    <s v="West"/>
    <s v="Mumbai"/>
    <s v="Neha Kulkarni"/>
    <n v="7"/>
    <n v="150"/>
    <n v="0.1"/>
    <n v="945"/>
    <n v="525"/>
    <n v="420"/>
  </r>
  <r>
    <s v="ORD-00775"/>
    <s v="2025-10-09"/>
    <s v="Customer 033"/>
    <x v="0"/>
    <s v="Power Bank"/>
    <s v="East"/>
    <s v="Bhubaneswar"/>
    <s v="Rahul Verma"/>
    <n v="5"/>
    <n v="1500"/>
    <n v="0"/>
    <n v="7500"/>
    <n v="4500"/>
    <n v="3000"/>
  </r>
  <r>
    <s v="ORD-00443"/>
    <s v="2025-10-10"/>
    <s v="Customer 133"/>
    <x v="2"/>
    <s v="Gym Gloves"/>
    <s v="East"/>
    <s v="Patna"/>
    <s v="Vikas Singh"/>
    <n v="7"/>
    <n v="500"/>
    <n v="0.1"/>
    <n v="3150"/>
    <n v="1960"/>
    <n v="1190"/>
  </r>
  <r>
    <s v="ORD-00408"/>
    <s v="2025-10-11"/>
    <s v="Customer 099"/>
    <x v="0"/>
    <s v="Power Bank"/>
    <s v="North"/>
    <s v="Chandigarh"/>
    <s v="Priya Patil"/>
    <n v="7"/>
    <n v="1500"/>
    <n v="0.05"/>
    <n v="9975"/>
    <n v="6300"/>
    <n v="3675"/>
  </r>
  <r>
    <s v="ORD-00472"/>
    <s v="2025-10-11"/>
    <s v="Customer 182"/>
    <x v="0"/>
    <s v="USB-C Hub"/>
    <s v="West"/>
    <s v="Nashik"/>
    <s v="Sneha Joshi"/>
    <n v="6"/>
    <n v="1800"/>
    <n v="0"/>
    <n v="10800"/>
    <n v="6600"/>
    <n v="4200"/>
  </r>
  <r>
    <s v="ORD-00862"/>
    <s v="2025-10-12"/>
    <s v="Customer 135"/>
    <x v="0"/>
    <s v="USB-C Hub"/>
    <s v="West"/>
    <s v="Nashik"/>
    <s v="Priya Patil"/>
    <n v="8"/>
    <n v="1800"/>
    <n v="0.05"/>
    <n v="13680"/>
    <n v="8800"/>
    <n v="4880"/>
  </r>
  <r>
    <s v="ORD-00480"/>
    <s v="2025-10-13"/>
    <s v="Customer 121"/>
    <x v="3"/>
    <s v="Desk Organizer"/>
    <s v="North"/>
    <s v="Lucknow"/>
    <s v="Amit Sharma"/>
    <n v="8"/>
    <n v="450"/>
    <n v="0"/>
    <n v="3600"/>
    <n v="2000"/>
    <n v="1600"/>
  </r>
  <r>
    <s v="ORD-00634"/>
    <s v="2025-10-14"/>
    <s v="Customer 098"/>
    <x v="1"/>
    <s v="Kitchen Scale"/>
    <s v="South"/>
    <s v="Hyderabad"/>
    <s v="Vikas Singh"/>
    <n v="1"/>
    <n v="950"/>
    <n v="0.1"/>
    <n v="855"/>
    <n v="560"/>
    <n v="295"/>
  </r>
  <r>
    <s v="ORD-00984"/>
    <s v="2025-10-14"/>
    <s v="Customer 128"/>
    <x v="1"/>
    <s v="Lunch Box"/>
    <s v="South"/>
    <s v="Hyderabad"/>
    <s v="Sneha Joshi"/>
    <n v="4"/>
    <n v="700"/>
    <n v="0"/>
    <n v="2800"/>
    <n v="1600"/>
    <n v="1200"/>
  </r>
  <r>
    <s v="ORD-00420"/>
    <s v="2025-10-15"/>
    <s v="Customer 059"/>
    <x v="0"/>
    <s v="USB-C Hub"/>
    <s v="East"/>
    <s v="Kolkata"/>
    <s v="Sneha Joshi"/>
    <n v="7"/>
    <n v="1800"/>
    <n v="0.1"/>
    <n v="11340"/>
    <n v="7700"/>
    <n v="3640"/>
  </r>
  <r>
    <s v="ORD-00509"/>
    <s v="2025-10-15"/>
    <s v="Customer 079"/>
    <x v="2"/>
    <s v="Dumbbell Set"/>
    <s v="West"/>
    <s v="Mumbai"/>
    <s v="Sneha Joshi"/>
    <n v="2"/>
    <n v="2200"/>
    <n v="0"/>
    <n v="4400"/>
    <n v="2900"/>
    <n v="1500"/>
  </r>
  <r>
    <s v="ORD-00692"/>
    <s v="2025-10-15"/>
    <s v="Customer 134"/>
    <x v="0"/>
    <s v="Bluetooth Speaker"/>
    <s v="East"/>
    <s v="Patna"/>
    <s v="Vikas Singh"/>
    <n v="2"/>
    <n v="2200"/>
    <n v="0"/>
    <n v="4400"/>
    <n v="2800"/>
    <n v="1600"/>
  </r>
  <r>
    <s v="ORD-00884"/>
    <s v="2025-10-15"/>
    <s v="Customer 137"/>
    <x v="2"/>
    <s v="Dumbbell Set"/>
    <s v="North"/>
    <s v="Chandigarh"/>
    <s v="Priya Patil"/>
    <n v="5"/>
    <n v="2200"/>
    <n v="0"/>
    <n v="11000"/>
    <n v="7250"/>
    <n v="3750"/>
  </r>
  <r>
    <s v="ORD-00985"/>
    <s v="2025-10-15"/>
    <s v="Customer 108"/>
    <x v="2"/>
    <s v="Skipping Rope"/>
    <s v="North"/>
    <s v="Lucknow"/>
    <s v="Rahul Verma"/>
    <n v="4"/>
    <n v="350"/>
    <n v="0.05"/>
    <n v="1330"/>
    <n v="680"/>
    <n v="650"/>
  </r>
  <r>
    <s v="ORD-00194"/>
    <s v="2025-10-16"/>
    <s v="Customer 015"/>
    <x v="2"/>
    <s v="Dumbbell Set"/>
    <s v="South"/>
    <s v="Chennai"/>
    <s v="Amit Sharma"/>
    <n v="5"/>
    <n v="2200"/>
    <n v="0.1"/>
    <n v="9900"/>
    <n v="7250"/>
    <n v="2650"/>
  </r>
  <r>
    <s v="ORD-00094"/>
    <s v="2025-10-17"/>
    <s v="Customer 121"/>
    <x v="0"/>
    <s v="Keyboard"/>
    <s v="West"/>
    <s v="Nashik"/>
    <s v="Neha Kulkarni"/>
    <n v="9"/>
    <n v="1200"/>
    <n v="0"/>
    <n v="10800"/>
    <n v="6480"/>
    <n v="4320"/>
  </r>
  <r>
    <s v="ORD-00120"/>
    <s v="2025-10-17"/>
    <s v="Customer 068"/>
    <x v="3"/>
    <s v="File Folder"/>
    <s v="East"/>
    <s v="Patna"/>
    <s v="Sneha Joshi"/>
    <n v="8"/>
    <n v="150"/>
    <n v="0"/>
    <n v="1200"/>
    <n v="600"/>
    <n v="600"/>
  </r>
  <r>
    <s v="ORD-00451"/>
    <s v="2025-10-17"/>
    <s v="Customer 118"/>
    <x v="1"/>
    <s v="Lunch Box"/>
    <s v="South"/>
    <s v="Hyderabad"/>
    <s v="Sneha Joshi"/>
    <n v="9"/>
    <n v="700"/>
    <n v="0"/>
    <n v="6300"/>
    <n v="3600"/>
    <n v="2700"/>
  </r>
  <r>
    <s v="ORD-00751"/>
    <s v="2025-10-17"/>
    <s v="Customer 107"/>
    <x v="3"/>
    <s v="Notebook"/>
    <s v="North"/>
    <s v="Delhi"/>
    <s v="Sneha Joshi"/>
    <n v="4"/>
    <n v="180"/>
    <n v="0.15"/>
    <n v="612"/>
    <n v="360"/>
    <n v="252"/>
  </r>
  <r>
    <s v="ORD-00846"/>
    <s v="2025-10-17"/>
    <s v="Customer 053"/>
    <x v="0"/>
    <s v="Keyboard"/>
    <s v="West"/>
    <s v="Nashik"/>
    <s v="Rahul Verma"/>
    <n v="10"/>
    <n v="1200"/>
    <n v="0"/>
    <n v="12000"/>
    <n v="7200"/>
    <n v="4800"/>
  </r>
  <r>
    <s v="ORD-00855"/>
    <s v="2025-10-17"/>
    <s v="Customer 095"/>
    <x v="0"/>
    <s v="USB-C Hub"/>
    <s v="East"/>
    <s v="Kolkata"/>
    <s v="Vikas Singh"/>
    <n v="5"/>
    <n v="1800"/>
    <n v="0"/>
    <n v="9000"/>
    <n v="5500"/>
    <n v="3500"/>
  </r>
  <r>
    <s v="ORD-00552"/>
    <s v="2025-10-18"/>
    <s v="Customer 018"/>
    <x v="3"/>
    <s v="File Folder"/>
    <s v="North"/>
    <s v="Lucknow"/>
    <s v="Sneha Joshi"/>
    <n v="7"/>
    <n v="150"/>
    <n v="0"/>
    <n v="1050"/>
    <n v="525"/>
    <n v="525"/>
  </r>
  <r>
    <s v="ORD-00916"/>
    <s v="2025-10-18"/>
    <s v="Customer 153"/>
    <x v="0"/>
    <s v="Wireless Mouse"/>
    <s v="West"/>
    <s v="Nashik"/>
    <s v="Amit Sharma"/>
    <n v="5"/>
    <n v="650"/>
    <n v="0.1"/>
    <n v="2925"/>
    <n v="1900"/>
    <n v="1025"/>
  </r>
  <r>
    <s v="ORD-00037"/>
    <s v="2025-10-19"/>
    <s v="Customer 017"/>
    <x v="0"/>
    <s v="Power Bank"/>
    <s v="East"/>
    <s v="Patna"/>
    <s v="Sneha Joshi"/>
    <n v="4"/>
    <n v="1500"/>
    <n v="0"/>
    <n v="6000"/>
    <n v="3600"/>
    <n v="2400"/>
  </r>
  <r>
    <s v="ORD-00457"/>
    <s v="2025-10-19"/>
    <s v="Customer 076"/>
    <x v="0"/>
    <s v="Bluetooth Speaker"/>
    <s v="East"/>
    <s v="Kolkata"/>
    <s v="Vikas Singh"/>
    <n v="3"/>
    <n v="2200"/>
    <n v="0"/>
    <n v="6600"/>
    <n v="4200"/>
    <n v="2400"/>
  </r>
  <r>
    <s v="ORD-00546"/>
    <s v="2025-10-19"/>
    <s v="Customer 164"/>
    <x v="1"/>
    <s v="Kitchen Scale"/>
    <s v="North"/>
    <s v="Chandigarh"/>
    <s v="Vikas Singh"/>
    <n v="10"/>
    <n v="950"/>
    <n v="0"/>
    <n v="9500"/>
    <n v="5600"/>
    <n v="3900"/>
  </r>
  <r>
    <s v="ORD-00798"/>
    <s v="2025-10-19"/>
    <s v="Customer 190"/>
    <x v="0"/>
    <s v="USB-C Hub"/>
    <s v="North"/>
    <s v="Jaipur"/>
    <s v="Neha Kulkarni"/>
    <n v="6"/>
    <n v="1800"/>
    <n v="0"/>
    <n v="10800"/>
    <n v="6600"/>
    <n v="4200"/>
  </r>
  <r>
    <s v="ORD-00876"/>
    <s v="2025-10-19"/>
    <s v="Customer 101"/>
    <x v="3"/>
    <s v="File Folder"/>
    <s v="South"/>
    <s v="Chennai"/>
    <s v="Priya Patil"/>
    <n v="9"/>
    <n v="150"/>
    <n v="0"/>
    <n v="1350"/>
    <n v="675"/>
    <n v="675"/>
  </r>
  <r>
    <s v="ORD-00713"/>
    <s v="2025-10-20"/>
    <s v="Customer 036"/>
    <x v="3"/>
    <s v="Ball Pen Pack"/>
    <s v="South"/>
    <s v="Chennai"/>
    <s v="Rahul Verma"/>
    <n v="6"/>
    <n v="120"/>
    <n v="0"/>
    <n v="720"/>
    <n v="330"/>
    <n v="390"/>
  </r>
  <r>
    <s v="ORD-00083"/>
    <s v="2025-10-21"/>
    <s v="Customer 173"/>
    <x v="1"/>
    <s v="Lunch Box"/>
    <s v="West"/>
    <s v="Mumbai"/>
    <s v="Vikas Singh"/>
    <n v="9"/>
    <n v="700"/>
    <n v="0"/>
    <n v="6300"/>
    <n v="3600"/>
    <n v="2700"/>
  </r>
  <r>
    <s v="ORD-00774"/>
    <s v="2025-10-21"/>
    <s v="Customer 038"/>
    <x v="3"/>
    <s v="Ball Pen Pack"/>
    <s v="South"/>
    <s v="Hyderabad"/>
    <s v="Rahul Verma"/>
    <n v="10"/>
    <n v="120"/>
    <n v="0"/>
    <n v="1200"/>
    <n v="550"/>
    <n v="650"/>
  </r>
  <r>
    <s v="ORD-00851"/>
    <s v="2025-10-21"/>
    <s v="Customer 130"/>
    <x v="2"/>
    <s v="Yoga Mat"/>
    <s v="South"/>
    <s v="Hyderabad"/>
    <s v="Priya Patil"/>
    <n v="4"/>
    <n v="900"/>
    <n v="0"/>
    <n v="3600"/>
    <n v="2080"/>
    <n v="1520"/>
  </r>
  <r>
    <s v="ORD-00169"/>
    <s v="2025-10-22"/>
    <s v="Customer 004"/>
    <x v="0"/>
    <s v="USB-C Hub"/>
    <s v="North"/>
    <s v="Delhi"/>
    <s v="Rahul Verma"/>
    <n v="2"/>
    <n v="1800"/>
    <n v="0"/>
    <n v="3600"/>
    <n v="2200"/>
    <n v="1400"/>
  </r>
  <r>
    <s v="ORD-00425"/>
    <s v="2025-10-22"/>
    <s v="Customer 102"/>
    <x v="3"/>
    <s v="File Folder"/>
    <s v="South"/>
    <s v="Chennai"/>
    <s v="Neha Kulkarni"/>
    <n v="1"/>
    <n v="150"/>
    <n v="0"/>
    <n v="150"/>
    <n v="75"/>
    <n v="75"/>
  </r>
  <r>
    <s v="ORD-00974"/>
    <s v="2025-10-22"/>
    <s v="Customer 091"/>
    <x v="2"/>
    <s v="Gym Gloves"/>
    <s v="South"/>
    <s v="Hyderabad"/>
    <s v="Amit Sharma"/>
    <n v="6"/>
    <n v="500"/>
    <n v="0"/>
    <n v="3000"/>
    <n v="1680"/>
    <n v="1320"/>
  </r>
  <r>
    <s v="ORD-00064"/>
    <s v="2025-10-23"/>
    <s v="Customer 151"/>
    <x v="1"/>
    <s v="Kitchen Scale"/>
    <s v="West"/>
    <s v="Nashik"/>
    <s v="Amit Sharma"/>
    <n v="9"/>
    <n v="950"/>
    <n v="0.05"/>
    <n v="8122.5"/>
    <n v="5040"/>
    <n v="3082.5"/>
  </r>
  <r>
    <s v="ORD-00397"/>
    <s v="2025-10-23"/>
    <s v="Customer 019"/>
    <x v="1"/>
    <s v="Water Bottle"/>
    <s v="West"/>
    <s v="Mumbai"/>
    <s v="Amit Sharma"/>
    <n v="5"/>
    <n v="550"/>
    <n v="0"/>
    <n v="2750"/>
    <n v="1500"/>
    <n v="1250"/>
  </r>
  <r>
    <s v="ORD-00413"/>
    <s v="2025-10-23"/>
    <s v="Customer 044"/>
    <x v="0"/>
    <s v="Power Bank"/>
    <s v="West"/>
    <s v="Mumbai"/>
    <s v="Vikas Singh"/>
    <n v="6"/>
    <n v="1500"/>
    <n v="0.1"/>
    <n v="8100"/>
    <n v="5400"/>
    <n v="2700"/>
  </r>
  <r>
    <s v="ORD-00398"/>
    <s v="2025-10-24"/>
    <s v="Customer 052"/>
    <x v="1"/>
    <s v="Water Bottle"/>
    <s v="South"/>
    <s v="Chennai"/>
    <s v="Sneha Joshi"/>
    <n v="10"/>
    <n v="550"/>
    <n v="0.05"/>
    <n v="5225"/>
    <n v="3000"/>
    <n v="2225"/>
  </r>
  <r>
    <s v="ORD-00889"/>
    <s v="2025-10-25"/>
    <s v="Customer 067"/>
    <x v="3"/>
    <s v="Ball Pen Pack"/>
    <s v="West"/>
    <s v="Pune"/>
    <s v="Vikas Singh"/>
    <n v="7"/>
    <n v="120"/>
    <n v="0"/>
    <n v="840"/>
    <n v="385"/>
    <n v="455"/>
  </r>
  <r>
    <s v="ORD-00966"/>
    <s v="2025-10-26"/>
    <s v="Customer 118"/>
    <x v="3"/>
    <s v="Stapler"/>
    <s v="North"/>
    <s v="Jaipur"/>
    <s v="Sneha Joshi"/>
    <n v="7"/>
    <n v="280"/>
    <n v="0"/>
    <n v="1960"/>
    <n v="1050"/>
    <n v="910"/>
  </r>
  <r>
    <s v="ORD-00070"/>
    <s v="2025-10-28"/>
    <s v="Customer 148"/>
    <x v="0"/>
    <s v="USB-C Hub"/>
    <s v="West"/>
    <s v="Mumbai"/>
    <s v="Sneha Joshi"/>
    <n v="2"/>
    <n v="1800"/>
    <n v="0.05"/>
    <n v="3420"/>
    <n v="2200"/>
    <n v="1220"/>
  </r>
  <r>
    <s v="ORD-00589"/>
    <s v="2025-10-28"/>
    <s v="Customer 049"/>
    <x v="3"/>
    <s v="Stapler"/>
    <s v="East"/>
    <s v="Patna"/>
    <s v="Amit Sharma"/>
    <n v="6"/>
    <n v="280"/>
    <n v="0.05"/>
    <n v="1596"/>
    <n v="900"/>
    <n v="696"/>
  </r>
  <r>
    <s v="ORD-00952"/>
    <s v="2025-10-28"/>
    <s v="Customer 009"/>
    <x v="3"/>
    <s v="Stapler"/>
    <s v="South"/>
    <s v="Hyderabad"/>
    <s v="Rahul Verma"/>
    <n v="2"/>
    <n v="280"/>
    <n v="0.05"/>
    <n v="532"/>
    <n v="300"/>
    <n v="232"/>
  </r>
  <r>
    <s v="ORD-00452"/>
    <s v="2025-10-29"/>
    <s v="Customer 031"/>
    <x v="2"/>
    <s v="Gym Gloves"/>
    <s v="North"/>
    <s v="Delhi"/>
    <s v="Priya Patil"/>
    <n v="8"/>
    <n v="500"/>
    <n v="0.05"/>
    <n v="3800"/>
    <n v="2240"/>
    <n v="1560"/>
  </r>
  <r>
    <s v="ORD-00045"/>
    <s v="2025-10-30"/>
    <s v="Customer 108"/>
    <x v="0"/>
    <s v="USB-C Hub"/>
    <s v="East"/>
    <s v="Kolkata"/>
    <s v="Vikas Singh"/>
    <n v="1"/>
    <n v="1800"/>
    <n v="0.1"/>
    <n v="1620"/>
    <n v="1100"/>
    <n v="520"/>
  </r>
  <r>
    <s v="ORD-00243"/>
    <s v="2025-10-30"/>
    <s v="Customer 167"/>
    <x v="0"/>
    <s v="Power Bank"/>
    <s v="East"/>
    <s v="Bhubaneswar"/>
    <s v="Priya Patil"/>
    <n v="8"/>
    <n v="1500"/>
    <n v="0.1"/>
    <n v="10800"/>
    <n v="7200"/>
    <n v="3600"/>
  </r>
  <r>
    <s v="ORD-00172"/>
    <s v="2025-10-31"/>
    <s v="Customer 123"/>
    <x v="2"/>
    <s v="Yoga Mat"/>
    <s v="West"/>
    <s v="Nashik"/>
    <s v="Priya Patil"/>
    <n v="4"/>
    <n v="900"/>
    <n v="0.15"/>
    <n v="3060"/>
    <n v="2080"/>
    <n v="980"/>
  </r>
  <r>
    <s v="ORD-00427"/>
    <s v="2025-10-31"/>
    <s v="Customer 122"/>
    <x v="0"/>
    <s v="Wireless Mouse"/>
    <s v="North"/>
    <s v="Jaipur"/>
    <s v="Vikas Singh"/>
    <n v="2"/>
    <n v="650"/>
    <n v="0"/>
    <n v="1300"/>
    <n v="760"/>
    <n v="540"/>
  </r>
  <r>
    <s v="ORD-00492"/>
    <s v="2025-10-31"/>
    <s v="Customer 063"/>
    <x v="2"/>
    <s v="Skipping Rope"/>
    <s v="East"/>
    <s v="Bhubaneswar"/>
    <s v="Priya Patil"/>
    <n v="7"/>
    <n v="350"/>
    <n v="0"/>
    <n v="2450"/>
    <n v="1190"/>
    <n v="1260"/>
  </r>
  <r>
    <s v="ORD-00995"/>
    <s v="2025-10-31"/>
    <s v="Customer 026"/>
    <x v="1"/>
    <s v="Kitchen Scale"/>
    <s v="West"/>
    <s v="Pune"/>
    <s v="Amit Sharma"/>
    <n v="9"/>
    <n v="950"/>
    <n v="0.1"/>
    <n v="7695"/>
    <n v="5040"/>
    <n v="2655"/>
  </r>
  <r>
    <s v="ORD-00018"/>
    <s v="2025-11-01"/>
    <s v="Customer 185"/>
    <x v="0"/>
    <s v="USB-C Hub"/>
    <s v="South"/>
    <s v="Hyderabad"/>
    <s v="Vikas Singh"/>
    <n v="2"/>
    <n v="1800"/>
    <n v="0.05"/>
    <n v="3420"/>
    <n v="2200"/>
    <n v="1220"/>
  </r>
  <r>
    <s v="ORD-00808"/>
    <s v="2025-11-01"/>
    <s v="Customer 052"/>
    <x v="1"/>
    <s v="Water Bottle"/>
    <s v="West"/>
    <s v="Mumbai"/>
    <s v="Vikas Singh"/>
    <n v="5"/>
    <n v="550"/>
    <n v="0"/>
    <n v="2750"/>
    <n v="1500"/>
    <n v="1250"/>
  </r>
  <r>
    <s v="ORD-00227"/>
    <s v="2025-11-02"/>
    <s v="Customer 073"/>
    <x v="1"/>
    <s v="Water Bottle"/>
    <s v="North"/>
    <s v="Jaipur"/>
    <s v="Amit Sharma"/>
    <n v="2"/>
    <n v="550"/>
    <n v="0.15"/>
    <n v="935"/>
    <n v="600"/>
    <n v="335"/>
  </r>
  <r>
    <s v="ORD-00522"/>
    <s v="2025-11-02"/>
    <s v="Customer 022"/>
    <x v="1"/>
    <s v="Storage Container"/>
    <s v="West"/>
    <s v="Ahmedabad"/>
    <s v="Neha Kulkarni"/>
    <n v="8"/>
    <n v="600"/>
    <n v="0"/>
    <n v="4800"/>
    <n v="2640"/>
    <n v="2160"/>
  </r>
  <r>
    <s v="ORD-00591"/>
    <s v="2025-11-02"/>
    <s v="Customer 163"/>
    <x v="1"/>
    <s v="Kitchen Scale"/>
    <s v="South"/>
    <s v="Kochi"/>
    <s v="Amit Sharma"/>
    <n v="7"/>
    <n v="950"/>
    <n v="0.05"/>
    <n v="6317.5"/>
    <n v="3920"/>
    <n v="2397.5"/>
  </r>
  <r>
    <s v="ORD-00609"/>
    <s v="2025-11-02"/>
    <s v="Customer 124"/>
    <x v="3"/>
    <s v="Desk Organizer"/>
    <s v="South"/>
    <s v="Chennai"/>
    <s v="Sneha Joshi"/>
    <n v="8"/>
    <n v="450"/>
    <n v="0.1"/>
    <n v="3240"/>
    <n v="2000"/>
    <n v="1240"/>
  </r>
  <r>
    <s v="ORD-00710"/>
    <s v="2025-11-02"/>
    <s v="Customer 165"/>
    <x v="0"/>
    <s v="USB-C Hub"/>
    <s v="South"/>
    <s v="Hyderabad"/>
    <s v="Amit Sharma"/>
    <n v="5"/>
    <n v="1800"/>
    <n v="0.05"/>
    <n v="8550"/>
    <n v="5500"/>
    <n v="3050"/>
  </r>
  <r>
    <s v="ORD-00795"/>
    <s v="2025-11-02"/>
    <s v="Customer 121"/>
    <x v="0"/>
    <s v="Power Bank"/>
    <s v="South"/>
    <s v="Bengaluru"/>
    <s v="Priya Patil"/>
    <n v="5"/>
    <n v="1500"/>
    <n v="0"/>
    <n v="7500"/>
    <n v="4500"/>
    <n v="3000"/>
  </r>
  <r>
    <s v="ORD-00196"/>
    <s v="2025-11-03"/>
    <s v="Customer 072"/>
    <x v="0"/>
    <s v="Power Bank"/>
    <s v="West"/>
    <s v="Pune"/>
    <s v="Vikas Singh"/>
    <n v="8"/>
    <n v="1500"/>
    <n v="0"/>
    <n v="12000"/>
    <n v="7200"/>
    <n v="4800"/>
  </r>
  <r>
    <s v="ORD-00372"/>
    <s v="2025-11-03"/>
    <s v="Customer 069"/>
    <x v="1"/>
    <s v="Lunch Box"/>
    <s v="South"/>
    <s v="Chennai"/>
    <s v="Priya Patil"/>
    <n v="1"/>
    <n v="700"/>
    <n v="0"/>
    <n v="700"/>
    <n v="400"/>
    <n v="300"/>
  </r>
  <r>
    <s v="ORD-00534"/>
    <s v="2025-11-03"/>
    <s v="Customer 071"/>
    <x v="1"/>
    <s v="Water Bottle"/>
    <s v="North"/>
    <s v="Jaipur"/>
    <s v="Sneha Joshi"/>
    <n v="6"/>
    <n v="550"/>
    <n v="0"/>
    <n v="3300"/>
    <n v="1800"/>
    <n v="1500"/>
  </r>
  <r>
    <s v="ORD-00683"/>
    <s v="2025-11-03"/>
    <s v="Customer 087"/>
    <x v="2"/>
    <s v="Yoga Mat"/>
    <s v="West"/>
    <s v="Mumbai"/>
    <s v="Rahul Verma"/>
    <n v="6"/>
    <n v="900"/>
    <n v="0"/>
    <n v="5400"/>
    <n v="3120"/>
    <n v="2280"/>
  </r>
  <r>
    <s v="ORD-00848"/>
    <s v="2025-11-03"/>
    <s v="Customer 029"/>
    <x v="2"/>
    <s v="Resistance Bands"/>
    <s v="South"/>
    <s v="Chennai"/>
    <s v="Sneha Joshi"/>
    <n v="4"/>
    <n v="650"/>
    <n v="0.05"/>
    <n v="2470"/>
    <n v="1400"/>
    <n v="1070"/>
  </r>
  <r>
    <s v="ORD-00887"/>
    <s v="2025-11-03"/>
    <s v="Customer 031"/>
    <x v="2"/>
    <s v="Yoga Mat"/>
    <s v="North"/>
    <s v="Delhi"/>
    <s v="Sneha Joshi"/>
    <n v="6"/>
    <n v="900"/>
    <n v="0"/>
    <n v="5400"/>
    <n v="3120"/>
    <n v="2280"/>
  </r>
  <r>
    <s v="ORD-00166"/>
    <s v="2025-11-04"/>
    <s v="Customer 177"/>
    <x v="2"/>
    <s v="Resistance Bands"/>
    <s v="North"/>
    <s v="Delhi"/>
    <s v="Rahul Verma"/>
    <n v="7"/>
    <n v="650"/>
    <n v="0.05"/>
    <n v="4322.5"/>
    <n v="2450"/>
    <n v="1872.5"/>
  </r>
  <r>
    <s v="ORD-00734"/>
    <s v="2025-11-04"/>
    <s v="Customer 100"/>
    <x v="0"/>
    <s v="USB-C Hub"/>
    <s v="West"/>
    <s v="Pune"/>
    <s v="Priya Patil"/>
    <n v="8"/>
    <n v="1800"/>
    <n v="0"/>
    <n v="14400"/>
    <n v="8800"/>
    <n v="5600"/>
  </r>
  <r>
    <s v="ORD-00787"/>
    <s v="2025-11-04"/>
    <s v="Customer 132"/>
    <x v="3"/>
    <s v="File Folder"/>
    <s v="East"/>
    <s v="Patna"/>
    <s v="Rahul Verma"/>
    <n v="4"/>
    <n v="150"/>
    <n v="0.1"/>
    <n v="540"/>
    <n v="300"/>
    <n v="240"/>
  </r>
  <r>
    <s v="ORD-00829"/>
    <s v="2025-11-06"/>
    <s v="Customer 076"/>
    <x v="3"/>
    <s v="Desk Organizer"/>
    <s v="South"/>
    <s v="Hyderabad"/>
    <s v="Vikas Singh"/>
    <n v="6"/>
    <n v="450"/>
    <n v="0.15"/>
    <n v="2295"/>
    <n v="1500"/>
    <n v="795"/>
  </r>
  <r>
    <s v="ORD-00529"/>
    <s v="2025-11-07"/>
    <s v="Customer 061"/>
    <x v="2"/>
    <s v="Gym Gloves"/>
    <s v="West"/>
    <s v="Mumbai"/>
    <s v="Vikas Singh"/>
    <n v="10"/>
    <n v="500"/>
    <n v="0"/>
    <n v="5000"/>
    <n v="2800"/>
    <n v="2200"/>
  </r>
  <r>
    <s v="ORD-00758"/>
    <s v="2025-11-07"/>
    <s v="Customer 154"/>
    <x v="0"/>
    <s v="Wireless Mouse"/>
    <s v="North"/>
    <s v="Delhi"/>
    <s v="Rahul Verma"/>
    <n v="4"/>
    <n v="650"/>
    <n v="0"/>
    <n v="2600"/>
    <n v="1520"/>
    <n v="1080"/>
  </r>
  <r>
    <s v="ORD-00244"/>
    <s v="2025-11-08"/>
    <s v="Customer 175"/>
    <x v="2"/>
    <s v="Skipping Rope"/>
    <s v="East"/>
    <s v="Bhubaneswar"/>
    <s v="Amit Sharma"/>
    <n v="1"/>
    <n v="350"/>
    <n v="0"/>
    <n v="350"/>
    <n v="170"/>
    <n v="180"/>
  </r>
  <r>
    <s v="ORD-00491"/>
    <s v="2025-11-08"/>
    <s v="Customer 129"/>
    <x v="1"/>
    <s v="Lunch Box"/>
    <s v="West"/>
    <s v="Nashik"/>
    <s v="Sneha Joshi"/>
    <n v="4"/>
    <n v="700"/>
    <n v="0"/>
    <n v="2800"/>
    <n v="1600"/>
    <n v="1200"/>
  </r>
  <r>
    <s v="ORD-00695"/>
    <s v="2025-11-08"/>
    <s v="Customer 005"/>
    <x v="3"/>
    <s v="Ball Pen Pack"/>
    <s v="East"/>
    <s v="Kolkata"/>
    <s v="Sneha Joshi"/>
    <n v="3"/>
    <n v="120"/>
    <n v="0.05"/>
    <n v="342"/>
    <n v="165"/>
    <n v="177"/>
  </r>
  <r>
    <s v="ORD-00764"/>
    <s v="2025-11-08"/>
    <s v="Customer 011"/>
    <x v="3"/>
    <s v="Desk Organizer"/>
    <s v="West"/>
    <s v="Nashik"/>
    <s v="Rahul Verma"/>
    <n v="5"/>
    <n v="450"/>
    <n v="0.1"/>
    <n v="2025"/>
    <n v="1250"/>
    <n v="775"/>
  </r>
  <r>
    <s v="ORD-00940"/>
    <s v="2025-11-08"/>
    <s v="Customer 004"/>
    <x v="1"/>
    <s v="Kitchen Scale"/>
    <s v="East"/>
    <s v="Ranchi"/>
    <s v="Sneha Joshi"/>
    <n v="2"/>
    <n v="950"/>
    <n v="0.05"/>
    <n v="1805"/>
    <n v="1120"/>
    <n v="685"/>
  </r>
  <r>
    <s v="ORD-00579"/>
    <s v="2025-11-09"/>
    <s v="Customer 113"/>
    <x v="1"/>
    <s v="Water Bottle"/>
    <s v="West"/>
    <s v="Ahmedabad"/>
    <s v="Rahul Verma"/>
    <n v="9"/>
    <n v="550"/>
    <n v="0"/>
    <n v="4950"/>
    <n v="2700"/>
    <n v="2250"/>
  </r>
  <r>
    <s v="ORD-00660"/>
    <s v="2025-11-09"/>
    <s v="Customer 044"/>
    <x v="0"/>
    <s v="Keyboard"/>
    <s v="North"/>
    <s v="Lucknow"/>
    <s v="Neha Kulkarni"/>
    <n v="10"/>
    <n v="1200"/>
    <n v="0"/>
    <n v="12000"/>
    <n v="7200"/>
    <n v="4800"/>
  </r>
  <r>
    <s v="ORD-00723"/>
    <s v="2025-11-09"/>
    <s v="Customer 062"/>
    <x v="1"/>
    <s v="Storage Container"/>
    <s v="North"/>
    <s v="Delhi"/>
    <s v="Priya Patil"/>
    <n v="7"/>
    <n v="600"/>
    <n v="0"/>
    <n v="4200"/>
    <n v="2310"/>
    <n v="1890"/>
  </r>
  <r>
    <s v="ORD-00299"/>
    <s v="2025-11-10"/>
    <s v="Customer 004"/>
    <x v="1"/>
    <s v="Storage Container"/>
    <s v="East"/>
    <s v="Kolkata"/>
    <s v="Vikas Singh"/>
    <n v="4"/>
    <n v="600"/>
    <n v="0"/>
    <n v="2400"/>
    <n v="1320"/>
    <n v="1080"/>
  </r>
  <r>
    <s v="ORD-00763"/>
    <s v="2025-11-10"/>
    <s v="Customer 048"/>
    <x v="3"/>
    <s v="Desk Organizer"/>
    <s v="North"/>
    <s v="Jaipur"/>
    <s v="Rahul Verma"/>
    <n v="5"/>
    <n v="450"/>
    <n v="0"/>
    <n v="2250"/>
    <n v="1250"/>
    <n v="1000"/>
  </r>
  <r>
    <s v="ORD-00084"/>
    <s v="2025-11-11"/>
    <s v="Customer 039"/>
    <x v="0"/>
    <s v="Wireless Mouse"/>
    <s v="West"/>
    <s v="Ahmedabad"/>
    <s v="Priya Patil"/>
    <n v="2"/>
    <n v="650"/>
    <n v="0"/>
    <n v="1300"/>
    <n v="760"/>
    <n v="540"/>
  </r>
  <r>
    <s v="ORD-00242"/>
    <s v="2025-11-11"/>
    <s v="Customer 152"/>
    <x v="0"/>
    <s v="Keyboard"/>
    <s v="East"/>
    <s v="Bhubaneswar"/>
    <s v="Amit Sharma"/>
    <n v="9"/>
    <n v="1200"/>
    <n v="0.1"/>
    <n v="9720"/>
    <n v="6480"/>
    <n v="3240"/>
  </r>
  <r>
    <s v="ORD-00326"/>
    <s v="2025-11-11"/>
    <s v="Customer 055"/>
    <x v="0"/>
    <s v="Bluetooth Speaker"/>
    <s v="East"/>
    <s v="Kolkata"/>
    <s v="Amit Sharma"/>
    <n v="4"/>
    <n v="2200"/>
    <n v="0"/>
    <n v="8800"/>
    <n v="5600"/>
    <n v="3200"/>
  </r>
  <r>
    <s v="ORD-00393"/>
    <s v="2025-11-11"/>
    <s v="Customer 003"/>
    <x v="1"/>
    <s v="Storage Container"/>
    <s v="North"/>
    <s v="Lucknow"/>
    <s v="Neha Kulkarni"/>
    <n v="6"/>
    <n v="600"/>
    <n v="0"/>
    <n v="3600"/>
    <n v="1980"/>
    <n v="1620"/>
  </r>
  <r>
    <s v="ORD-00899"/>
    <s v="2025-11-11"/>
    <s v="Customer 074"/>
    <x v="2"/>
    <s v="Resistance Bands"/>
    <s v="North"/>
    <s v="Jaipur"/>
    <s v="Amit Sharma"/>
    <n v="8"/>
    <n v="650"/>
    <n v="0.05"/>
    <n v="4940"/>
    <n v="2800"/>
    <n v="2140"/>
  </r>
  <r>
    <s v="ORD-00153"/>
    <s v="2025-11-12"/>
    <s v="Customer 040"/>
    <x v="2"/>
    <s v="Skipping Rope"/>
    <s v="North"/>
    <s v="Delhi"/>
    <s v="Amit Sharma"/>
    <n v="10"/>
    <n v="350"/>
    <n v="0.05"/>
    <n v="3325"/>
    <n v="1700"/>
    <n v="1625"/>
  </r>
  <r>
    <s v="ORD-00202"/>
    <s v="2025-11-12"/>
    <s v="Customer 103"/>
    <x v="0"/>
    <s v="USB-C Hub"/>
    <s v="West"/>
    <s v="Nashik"/>
    <s v="Amit Sharma"/>
    <n v="6"/>
    <n v="1800"/>
    <n v="0.05"/>
    <n v="10260"/>
    <n v="6600"/>
    <n v="3660"/>
  </r>
  <r>
    <s v="ORD-00861"/>
    <s v="2025-11-12"/>
    <s v="Customer 091"/>
    <x v="2"/>
    <s v="Dumbbell Set"/>
    <s v="East"/>
    <s v="Bhubaneswar"/>
    <s v="Vikas Singh"/>
    <n v="5"/>
    <n v="2200"/>
    <n v="0"/>
    <n v="11000"/>
    <n v="7250"/>
    <n v="3750"/>
  </r>
  <r>
    <s v="ORD-00977"/>
    <s v="2025-11-12"/>
    <s v="Customer 167"/>
    <x v="0"/>
    <s v="Bluetooth Speaker"/>
    <s v="North"/>
    <s v="Lucknow"/>
    <s v="Priya Patil"/>
    <n v="7"/>
    <n v="2200"/>
    <n v="0"/>
    <n v="15400"/>
    <n v="9800"/>
    <n v="5600"/>
  </r>
  <r>
    <s v="ORD-00184"/>
    <s v="2025-11-13"/>
    <s v="Customer 063"/>
    <x v="0"/>
    <s v="Power Bank"/>
    <s v="South"/>
    <s v="Kochi"/>
    <s v="Sneha Joshi"/>
    <n v="6"/>
    <n v="1500"/>
    <n v="0"/>
    <n v="9000"/>
    <n v="5400"/>
    <n v="3600"/>
  </r>
  <r>
    <s v="ORD-00434"/>
    <s v="2025-11-13"/>
    <s v="Customer 036"/>
    <x v="0"/>
    <s v="Keyboard"/>
    <s v="North"/>
    <s v="Delhi"/>
    <s v="Vikas Singh"/>
    <n v="6"/>
    <n v="1200"/>
    <n v="0.05"/>
    <n v="6840"/>
    <n v="4320"/>
    <n v="2520"/>
  </r>
  <r>
    <s v="ORD-00471"/>
    <s v="2025-11-13"/>
    <s v="Customer 166"/>
    <x v="1"/>
    <s v="Coffee Mug"/>
    <s v="West"/>
    <s v="Nashik"/>
    <s v="Neha Kulkarni"/>
    <n v="2"/>
    <n v="350"/>
    <n v="0"/>
    <n v="700"/>
    <n v="360"/>
    <n v="340"/>
  </r>
  <r>
    <s v="ORD-00145"/>
    <s v="2025-11-14"/>
    <s v="Customer 070"/>
    <x v="3"/>
    <s v="Ball Pen Pack"/>
    <s v="North"/>
    <s v="Delhi"/>
    <s v="Priya Patil"/>
    <n v="2"/>
    <n v="120"/>
    <n v="0"/>
    <n v="240"/>
    <n v="110"/>
    <n v="130"/>
  </r>
  <r>
    <s v="ORD-00189"/>
    <s v="2025-11-14"/>
    <s v="Customer 116"/>
    <x v="3"/>
    <s v="Stapler"/>
    <s v="West"/>
    <s v="Nashik"/>
    <s v="Priya Patil"/>
    <n v="7"/>
    <n v="280"/>
    <n v="0.1"/>
    <n v="1764"/>
    <n v="1050"/>
    <n v="714"/>
  </r>
  <r>
    <s v="ORD-00688"/>
    <s v="2025-11-14"/>
    <s v="Customer 142"/>
    <x v="0"/>
    <s v="Keyboard"/>
    <s v="West"/>
    <s v="Pune"/>
    <s v="Priya Patil"/>
    <n v="9"/>
    <n v="1200"/>
    <n v="0"/>
    <n v="10800"/>
    <n v="6480"/>
    <n v="4320"/>
  </r>
  <r>
    <s v="ORD-00869"/>
    <s v="2025-11-14"/>
    <s v="Customer 103"/>
    <x v="1"/>
    <s v="Lunch Box"/>
    <s v="East"/>
    <s v="Patna"/>
    <s v="Amit Sharma"/>
    <n v="5"/>
    <n v="700"/>
    <n v="0"/>
    <n v="3500"/>
    <n v="2000"/>
    <n v="1500"/>
  </r>
  <r>
    <s v="ORD-00198"/>
    <s v="2025-11-15"/>
    <s v="Customer 121"/>
    <x v="1"/>
    <s v="Lunch Box"/>
    <s v="North"/>
    <s v="Lucknow"/>
    <s v="Neha Kulkarni"/>
    <n v="8"/>
    <n v="700"/>
    <n v="0"/>
    <n v="5600"/>
    <n v="3200"/>
    <n v="2400"/>
  </r>
  <r>
    <s v="ORD-00911"/>
    <s v="2025-11-15"/>
    <s v="Customer 194"/>
    <x v="0"/>
    <s v="Wireless Mouse"/>
    <s v="South"/>
    <s v="Chennai"/>
    <s v="Neha Kulkarni"/>
    <n v="8"/>
    <n v="650"/>
    <n v="0"/>
    <n v="5200"/>
    <n v="3040"/>
    <n v="2160"/>
  </r>
  <r>
    <s v="ORD-00238"/>
    <s v="2025-11-16"/>
    <s v="Customer 132"/>
    <x v="3"/>
    <s v="Ball Pen Pack"/>
    <s v="East"/>
    <s v="Bhubaneswar"/>
    <s v="Priya Patil"/>
    <n v="2"/>
    <n v="120"/>
    <n v="0"/>
    <n v="240"/>
    <n v="110"/>
    <n v="130"/>
  </r>
  <r>
    <s v="ORD-00553"/>
    <s v="2025-11-16"/>
    <s v="Customer 188"/>
    <x v="3"/>
    <s v="Stapler"/>
    <s v="West"/>
    <s v="Mumbai"/>
    <s v="Priya Patil"/>
    <n v="1"/>
    <n v="280"/>
    <n v="0"/>
    <n v="280"/>
    <n v="150"/>
    <n v="130"/>
  </r>
  <r>
    <s v="ORD-00834"/>
    <s v="2025-11-16"/>
    <s v="Customer 180"/>
    <x v="1"/>
    <s v="Water Bottle"/>
    <s v="South"/>
    <s v="Bengaluru"/>
    <s v="Priya Patil"/>
    <n v="9"/>
    <n v="550"/>
    <n v="0.15"/>
    <n v="4207.5"/>
    <n v="2700"/>
    <n v="1507.5"/>
  </r>
  <r>
    <s v="ORD-00828"/>
    <s v="2025-11-17"/>
    <s v="Customer 070"/>
    <x v="0"/>
    <s v="Power Bank"/>
    <s v="North"/>
    <s v="Lucknow"/>
    <s v="Priya Patil"/>
    <n v="2"/>
    <n v="1500"/>
    <n v="0.1"/>
    <n v="2700"/>
    <n v="1800"/>
    <n v="900"/>
  </r>
  <r>
    <s v="ORD-00278"/>
    <s v="2025-11-18"/>
    <s v="Customer 145"/>
    <x v="2"/>
    <s v="Resistance Bands"/>
    <s v="East"/>
    <s v="Patna"/>
    <s v="Sneha Joshi"/>
    <n v="6"/>
    <n v="650"/>
    <n v="0.05"/>
    <n v="3705"/>
    <n v="2100"/>
    <n v="1605"/>
  </r>
  <r>
    <s v="ORD-00401"/>
    <s v="2025-11-18"/>
    <s v="Customer 185"/>
    <x v="2"/>
    <s v="Resistance Bands"/>
    <s v="South"/>
    <s v="Chennai"/>
    <s v="Amit Sharma"/>
    <n v="9"/>
    <n v="650"/>
    <n v="0.05"/>
    <n v="5557.5"/>
    <n v="3150"/>
    <n v="2407.5"/>
  </r>
  <r>
    <s v="ORD-00467"/>
    <s v="2025-11-18"/>
    <s v="Customer 014"/>
    <x v="0"/>
    <s v="Bluetooth Speaker"/>
    <s v="West"/>
    <s v="Mumbai"/>
    <s v="Rahul Verma"/>
    <n v="4"/>
    <n v="2200"/>
    <n v="0.05"/>
    <n v="8360"/>
    <n v="5600"/>
    <n v="2760"/>
  </r>
  <r>
    <s v="ORD-00800"/>
    <s v="2025-11-19"/>
    <s v="Customer 185"/>
    <x v="1"/>
    <s v="Lunch Box"/>
    <s v="South"/>
    <s v="Hyderabad"/>
    <s v="Vikas Singh"/>
    <n v="7"/>
    <n v="700"/>
    <n v="0.1"/>
    <n v="4410"/>
    <n v="2800"/>
    <n v="1610"/>
  </r>
  <r>
    <s v="ORD-00012"/>
    <s v="2025-11-20"/>
    <s v="Customer 136"/>
    <x v="2"/>
    <s v="Yoga Mat"/>
    <s v="East"/>
    <s v="Ranchi"/>
    <s v="Rahul Verma"/>
    <n v="8"/>
    <n v="900"/>
    <n v="0"/>
    <n v="7200"/>
    <n v="4160"/>
    <n v="3040"/>
  </r>
  <r>
    <s v="ORD-00317"/>
    <s v="2025-11-20"/>
    <s v="Customer 152"/>
    <x v="0"/>
    <s v="Keyboard"/>
    <s v="West"/>
    <s v="Nashik"/>
    <s v="Vikas Singh"/>
    <n v="6"/>
    <n v="1200"/>
    <n v="0.05"/>
    <n v="6840"/>
    <n v="4320"/>
    <n v="2520"/>
  </r>
  <r>
    <s v="ORD-00994"/>
    <s v="2025-11-20"/>
    <s v="Customer 149"/>
    <x v="0"/>
    <s v="USB-C Hub"/>
    <s v="West"/>
    <s v="Pune"/>
    <s v="Sneha Joshi"/>
    <n v="7"/>
    <n v="1800"/>
    <n v="0"/>
    <n v="12600"/>
    <n v="7700"/>
    <n v="4900"/>
  </r>
  <r>
    <s v="ORD-00078"/>
    <s v="2025-11-21"/>
    <s v="Customer 115"/>
    <x v="2"/>
    <s v="Dumbbell Set"/>
    <s v="East"/>
    <s v="Kolkata"/>
    <s v="Vikas Singh"/>
    <n v="3"/>
    <n v="2200"/>
    <n v="0.1"/>
    <n v="5940"/>
    <n v="4350"/>
    <n v="1590"/>
  </r>
  <r>
    <s v="ORD-00160"/>
    <s v="2025-11-21"/>
    <s v="Customer 116"/>
    <x v="1"/>
    <s v="Lunch Box"/>
    <s v="East"/>
    <s v="Ranchi"/>
    <s v="Rahul Verma"/>
    <n v="2"/>
    <n v="700"/>
    <n v="0"/>
    <n v="1400"/>
    <n v="800"/>
    <n v="600"/>
  </r>
  <r>
    <s v="ORD-00260"/>
    <s v="2025-11-21"/>
    <s v="Customer 173"/>
    <x v="2"/>
    <s v="Resistance Bands"/>
    <s v="East"/>
    <s v="Patna"/>
    <s v="Rahul Verma"/>
    <n v="1"/>
    <n v="650"/>
    <n v="0"/>
    <n v="650"/>
    <n v="350"/>
    <n v="300"/>
  </r>
  <r>
    <s v="ORD-00551"/>
    <s v="2025-11-21"/>
    <s v="Customer 077"/>
    <x v="2"/>
    <s v="Yoga Mat"/>
    <s v="East"/>
    <s v="Ranchi"/>
    <s v="Amit Sharma"/>
    <n v="10"/>
    <n v="900"/>
    <n v="0"/>
    <n v="9000"/>
    <n v="5200"/>
    <n v="3800"/>
  </r>
  <r>
    <s v="ORD-00715"/>
    <s v="2025-11-21"/>
    <s v="Customer 199"/>
    <x v="2"/>
    <s v="Gym Gloves"/>
    <s v="West"/>
    <s v="Pune"/>
    <s v="Vikas Singh"/>
    <n v="9"/>
    <n v="500"/>
    <n v="0"/>
    <n v="4500"/>
    <n v="2520"/>
    <n v="1980"/>
  </r>
  <r>
    <s v="ORD-00822"/>
    <s v="2025-11-21"/>
    <s v="Customer 172"/>
    <x v="0"/>
    <s v="Bluetooth Speaker"/>
    <s v="North"/>
    <s v="Jaipur"/>
    <s v="Neha Kulkarni"/>
    <n v="2"/>
    <n v="2200"/>
    <n v="0.05"/>
    <n v="4180"/>
    <n v="2800"/>
    <n v="1380"/>
  </r>
  <r>
    <s v="ORD-00268"/>
    <s v="2025-11-22"/>
    <s v="Customer 137"/>
    <x v="0"/>
    <s v="USB-C Hub"/>
    <s v="North"/>
    <s v="Delhi"/>
    <s v="Rahul Verma"/>
    <n v="8"/>
    <n v="1800"/>
    <n v="0"/>
    <n v="14400"/>
    <n v="8800"/>
    <n v="5600"/>
  </r>
  <r>
    <s v="ORD-00729"/>
    <s v="2025-11-22"/>
    <s v="Customer 063"/>
    <x v="2"/>
    <s v="Yoga Mat"/>
    <s v="North"/>
    <s v="Delhi"/>
    <s v="Amit Sharma"/>
    <n v="1"/>
    <n v="900"/>
    <n v="0"/>
    <n v="900"/>
    <n v="520"/>
    <n v="380"/>
  </r>
  <r>
    <s v="ORD-00951"/>
    <s v="2025-11-22"/>
    <s v="Customer 124"/>
    <x v="1"/>
    <s v="Storage Container"/>
    <s v="West"/>
    <s v="Nashik"/>
    <s v="Rahul Verma"/>
    <n v="10"/>
    <n v="600"/>
    <n v="0.15"/>
    <n v="5100"/>
    <n v="3300"/>
    <n v="1800"/>
  </r>
  <r>
    <s v="ORD-00131"/>
    <s v="2025-11-23"/>
    <s v="Customer 105"/>
    <x v="1"/>
    <s v="Storage Container"/>
    <s v="North"/>
    <s v="Delhi"/>
    <s v="Amit Sharma"/>
    <n v="1"/>
    <n v="600"/>
    <n v="0"/>
    <n v="600"/>
    <n v="330"/>
    <n v="270"/>
  </r>
  <r>
    <s v="ORD-00214"/>
    <s v="2025-11-23"/>
    <s v="Customer 130"/>
    <x v="3"/>
    <s v="File Folder"/>
    <s v="West"/>
    <s v="Nashik"/>
    <s v="Neha Kulkarni"/>
    <n v="8"/>
    <n v="150"/>
    <n v="0.05"/>
    <n v="1140"/>
    <n v="600"/>
    <n v="540"/>
  </r>
  <r>
    <s v="ORD-00295"/>
    <s v="2025-11-25"/>
    <s v="Customer 090"/>
    <x v="1"/>
    <s v="Lunch Box"/>
    <s v="North"/>
    <s v="Delhi"/>
    <s v="Priya Patil"/>
    <n v="9"/>
    <n v="700"/>
    <n v="0.05"/>
    <n v="5985"/>
    <n v="3600"/>
    <n v="2385"/>
  </r>
  <r>
    <s v="ORD-00320"/>
    <s v="2025-11-25"/>
    <s v="Customer 076"/>
    <x v="1"/>
    <s v="Coffee Mug"/>
    <s v="East"/>
    <s v="Ranchi"/>
    <s v="Neha Kulkarni"/>
    <n v="3"/>
    <n v="350"/>
    <n v="0.05"/>
    <n v="997.5"/>
    <n v="540"/>
    <n v="457.5"/>
  </r>
  <r>
    <s v="ORD-00346"/>
    <s v="2025-11-25"/>
    <s v="Customer 169"/>
    <x v="0"/>
    <s v="Bluetooth Speaker"/>
    <s v="East"/>
    <s v="Bhubaneswar"/>
    <s v="Vikas Singh"/>
    <n v="9"/>
    <n v="2200"/>
    <n v="0"/>
    <n v="19800"/>
    <n v="12600"/>
    <n v="7200"/>
  </r>
  <r>
    <s v="ORD-00495"/>
    <s v="2025-11-26"/>
    <s v="Customer 076"/>
    <x v="1"/>
    <s v="Lunch Box"/>
    <s v="South"/>
    <s v="Hyderabad"/>
    <s v="Rahul Verma"/>
    <n v="9"/>
    <n v="700"/>
    <n v="0.1"/>
    <n v="5670"/>
    <n v="3600"/>
    <n v="2070"/>
  </r>
  <r>
    <s v="ORD-00740"/>
    <s v="2025-11-26"/>
    <s v="Customer 038"/>
    <x v="2"/>
    <s v="Gym Gloves"/>
    <s v="North"/>
    <s v="Lucknow"/>
    <s v="Neha Kulkarni"/>
    <n v="10"/>
    <n v="500"/>
    <n v="0"/>
    <n v="5000"/>
    <n v="2800"/>
    <n v="2200"/>
  </r>
  <r>
    <s v="ORD-00825"/>
    <s v="2025-11-27"/>
    <s v="Customer 001"/>
    <x v="0"/>
    <s v="Bluetooth Speaker"/>
    <s v="West"/>
    <s v="Pune"/>
    <s v="Amit Sharma"/>
    <n v="7"/>
    <n v="2200"/>
    <n v="0"/>
    <n v="15400"/>
    <n v="9800"/>
    <n v="5600"/>
  </r>
  <r>
    <s v="ORD-00830"/>
    <s v="2025-11-27"/>
    <s v="Customer 017"/>
    <x v="3"/>
    <s v="Stapler"/>
    <s v="East"/>
    <s v="Bhubaneswar"/>
    <s v="Sneha Joshi"/>
    <n v="4"/>
    <n v="280"/>
    <n v="0"/>
    <n v="1120"/>
    <n v="600"/>
    <n v="520"/>
  </r>
  <r>
    <s v="ORD-00626"/>
    <s v="2025-11-28"/>
    <s v="Customer 066"/>
    <x v="2"/>
    <s v="Skipping Rope"/>
    <s v="South"/>
    <s v="Bengaluru"/>
    <s v="Sneha Joshi"/>
    <n v="2"/>
    <n v="350"/>
    <n v="0"/>
    <n v="700"/>
    <n v="340"/>
    <n v="360"/>
  </r>
  <r>
    <s v="ORD-00901"/>
    <s v="2025-11-28"/>
    <s v="Customer 141"/>
    <x v="1"/>
    <s v="Lunch Box"/>
    <s v="South"/>
    <s v="Kochi"/>
    <s v="Vikas Singh"/>
    <n v="7"/>
    <n v="700"/>
    <n v="0"/>
    <n v="4900"/>
    <n v="2800"/>
    <n v="2100"/>
  </r>
  <r>
    <s v="ORD-00076"/>
    <s v="2025-11-29"/>
    <s v="Customer 136"/>
    <x v="3"/>
    <s v="File Folder"/>
    <s v="West"/>
    <s v="Ahmedabad"/>
    <s v="Priya Patil"/>
    <n v="10"/>
    <n v="150"/>
    <n v="0"/>
    <n v="1500"/>
    <n v="750"/>
    <n v="750"/>
  </r>
  <r>
    <s v="ORD-00308"/>
    <s v="2025-11-29"/>
    <s v="Customer 004"/>
    <x v="3"/>
    <s v="Stapler"/>
    <s v="North"/>
    <s v="Chandigarh"/>
    <s v="Neha Kulkarni"/>
    <n v="5"/>
    <n v="280"/>
    <n v="0.05"/>
    <n v="1330"/>
    <n v="750"/>
    <n v="580"/>
  </r>
  <r>
    <s v="ORD-00430"/>
    <s v="2025-11-29"/>
    <s v="Customer 190"/>
    <x v="0"/>
    <s v="USB-C Hub"/>
    <s v="East"/>
    <s v="Ranchi"/>
    <s v="Amit Sharma"/>
    <n v="8"/>
    <n v="1800"/>
    <n v="0.05"/>
    <n v="13680"/>
    <n v="8800"/>
    <n v="4880"/>
  </r>
  <r>
    <s v="ORD-00686"/>
    <s v="2025-11-29"/>
    <s v="Customer 040"/>
    <x v="1"/>
    <s v="Lunch Box"/>
    <s v="West"/>
    <s v="Mumbai"/>
    <s v="Vikas Singh"/>
    <n v="9"/>
    <n v="700"/>
    <n v="0.1"/>
    <n v="5670"/>
    <n v="3600"/>
    <n v="2070"/>
  </r>
  <r>
    <s v="ORD-00856"/>
    <s v="2025-11-29"/>
    <s v="Customer 186"/>
    <x v="3"/>
    <s v="Desk Organizer"/>
    <s v="West"/>
    <s v="Pune"/>
    <s v="Neha Kulkarni"/>
    <n v="6"/>
    <n v="450"/>
    <n v="0.05"/>
    <n v="2565"/>
    <n v="1500"/>
    <n v="1065"/>
  </r>
  <r>
    <s v="ORD-00969"/>
    <s v="2025-11-29"/>
    <s v="Customer 098"/>
    <x v="0"/>
    <s v="USB-C Hub"/>
    <s v="South"/>
    <s v="Chennai"/>
    <s v="Vikas Singh"/>
    <n v="10"/>
    <n v="1800"/>
    <n v="0"/>
    <n v="18000"/>
    <n v="11000"/>
    <n v="7000"/>
  </r>
  <r>
    <s v="ORD-00382"/>
    <s v="2025-11-30"/>
    <s v="Customer 117"/>
    <x v="2"/>
    <s v="Gym Gloves"/>
    <s v="East"/>
    <s v="Bhubaneswar"/>
    <s v="Priya Patil"/>
    <n v="3"/>
    <n v="500"/>
    <n v="0"/>
    <n v="1500"/>
    <n v="840"/>
    <n v="660"/>
  </r>
  <r>
    <s v="ORD-00179"/>
    <s v="2025-12-01"/>
    <s v="Customer 097"/>
    <x v="2"/>
    <s v="Yoga Mat"/>
    <s v="North"/>
    <s v="Chandigarh"/>
    <s v="Rahul Verma"/>
    <n v="3"/>
    <n v="900"/>
    <n v="0.1"/>
    <n v="2430"/>
    <n v="1560"/>
    <n v="870"/>
  </r>
  <r>
    <s v="ORD-00271"/>
    <s v="2025-12-01"/>
    <s v="Customer 014"/>
    <x v="0"/>
    <s v="Bluetooth Speaker"/>
    <s v="South"/>
    <s v="Hyderabad"/>
    <s v="Vikas Singh"/>
    <n v="3"/>
    <n v="2200"/>
    <n v="0"/>
    <n v="6600"/>
    <n v="4200"/>
    <n v="2400"/>
  </r>
  <r>
    <s v="ORD-00949"/>
    <s v="2025-12-01"/>
    <s v="Customer 167"/>
    <x v="3"/>
    <s v="Ball Pen Pack"/>
    <s v="West"/>
    <s v="Mumbai"/>
    <s v="Neha Kulkarni"/>
    <n v="2"/>
    <n v="120"/>
    <n v="0"/>
    <n v="240"/>
    <n v="110"/>
    <n v="130"/>
  </r>
  <r>
    <s v="ORD-00980"/>
    <s v="2025-12-01"/>
    <s v="Customer 070"/>
    <x v="1"/>
    <s v="Lunch Box"/>
    <s v="North"/>
    <s v="Chandigarh"/>
    <s v="Rahul Verma"/>
    <n v="9"/>
    <n v="700"/>
    <n v="0.05"/>
    <n v="5985"/>
    <n v="3600"/>
    <n v="2385"/>
  </r>
  <r>
    <s v="ORD-00428"/>
    <s v="2025-12-02"/>
    <s v="Customer 008"/>
    <x v="2"/>
    <s v="Resistance Bands"/>
    <s v="North"/>
    <s v="Jaipur"/>
    <s v="Sneha Joshi"/>
    <n v="3"/>
    <n v="650"/>
    <n v="0"/>
    <n v="1950"/>
    <n v="1050"/>
    <n v="900"/>
  </r>
  <r>
    <s v="ORD-00535"/>
    <s v="2025-12-02"/>
    <s v="Customer 174"/>
    <x v="3"/>
    <s v="File Folder"/>
    <s v="North"/>
    <s v="Jaipur"/>
    <s v="Neha Kulkarni"/>
    <n v="2"/>
    <n v="150"/>
    <n v="0.05"/>
    <n v="285"/>
    <n v="150"/>
    <n v="135"/>
  </r>
  <r>
    <s v="ORD-00970"/>
    <s v="2025-12-02"/>
    <s v="Customer 114"/>
    <x v="3"/>
    <s v="File Folder"/>
    <s v="West"/>
    <s v="Ahmedabad"/>
    <s v="Sneha Joshi"/>
    <n v="1"/>
    <n v="150"/>
    <n v="0.05"/>
    <n v="142.5"/>
    <n v="75"/>
    <n v="67.5"/>
  </r>
  <r>
    <s v="ORD-00999"/>
    <s v="2025-12-02"/>
    <s v="Customer 164"/>
    <x v="0"/>
    <s v="Keyboard"/>
    <s v="West"/>
    <s v="Pune"/>
    <s v="Vikas Singh"/>
    <n v="1"/>
    <n v="1200"/>
    <n v="0"/>
    <n v="1200"/>
    <n v="720"/>
    <n v="480"/>
  </r>
  <r>
    <s v="ORD-00051"/>
    <s v="2025-12-03"/>
    <s v="Customer 190"/>
    <x v="1"/>
    <s v="Water Bottle"/>
    <s v="West"/>
    <s v="Pune"/>
    <s v="Sneha Joshi"/>
    <n v="5"/>
    <n v="550"/>
    <n v="0"/>
    <n v="2750"/>
    <n v="1500"/>
    <n v="1250"/>
  </r>
  <r>
    <s v="ORD-00110"/>
    <s v="2025-12-03"/>
    <s v="Customer 095"/>
    <x v="0"/>
    <s v="Wireless Mouse"/>
    <s v="South"/>
    <s v="Chennai"/>
    <s v="Amit Sharma"/>
    <n v="8"/>
    <n v="650"/>
    <n v="0.05"/>
    <n v="4940"/>
    <n v="3040"/>
    <n v="1900"/>
  </r>
  <r>
    <s v="ORD-00561"/>
    <s v="2025-12-03"/>
    <s v="Customer 082"/>
    <x v="1"/>
    <s v="Water Bottle"/>
    <s v="North"/>
    <s v="Lucknow"/>
    <s v="Vikas Singh"/>
    <n v="2"/>
    <n v="550"/>
    <n v="0"/>
    <n v="1100"/>
    <n v="600"/>
    <n v="500"/>
  </r>
  <r>
    <s v="ORD-00676"/>
    <s v="2025-12-03"/>
    <s v="Customer 173"/>
    <x v="2"/>
    <s v="Skipping Rope"/>
    <s v="North"/>
    <s v="Chandigarh"/>
    <s v="Vikas Singh"/>
    <n v="6"/>
    <n v="350"/>
    <n v="0.05"/>
    <n v="1995"/>
    <n v="1020"/>
    <n v="975"/>
  </r>
  <r>
    <s v="ORD-00263"/>
    <s v="2025-12-04"/>
    <s v="Customer 014"/>
    <x v="1"/>
    <s v="Water Bottle"/>
    <s v="North"/>
    <s v="Delhi"/>
    <s v="Amit Sharma"/>
    <n v="6"/>
    <n v="550"/>
    <n v="0"/>
    <n v="3300"/>
    <n v="1800"/>
    <n v="1500"/>
  </r>
  <r>
    <s v="ORD-00810"/>
    <s v="2025-12-04"/>
    <s v="Customer 006"/>
    <x v="1"/>
    <s v="Lunch Box"/>
    <s v="West"/>
    <s v="Ahmedabad"/>
    <s v="Amit Sharma"/>
    <n v="10"/>
    <n v="700"/>
    <n v="0"/>
    <n v="7000"/>
    <n v="4000"/>
    <n v="3000"/>
  </r>
  <r>
    <s v="ORD-00060"/>
    <s v="2025-12-05"/>
    <s v="Customer 152"/>
    <x v="3"/>
    <s v="Desk Organizer"/>
    <s v="West"/>
    <s v="Nashik"/>
    <s v="Neha Kulkarni"/>
    <n v="4"/>
    <n v="450"/>
    <n v="0"/>
    <n v="1800"/>
    <n v="1000"/>
    <n v="800"/>
  </r>
  <r>
    <s v="ORD-00631"/>
    <s v="2025-12-05"/>
    <s v="Customer 161"/>
    <x v="1"/>
    <s v="Storage Container"/>
    <s v="North"/>
    <s v="Jaipur"/>
    <s v="Vikas Singh"/>
    <n v="4"/>
    <n v="600"/>
    <n v="0.05"/>
    <n v="2280"/>
    <n v="1320"/>
    <n v="960"/>
  </r>
  <r>
    <s v="ORD-00036"/>
    <s v="2025-12-06"/>
    <s v="Customer 028"/>
    <x v="2"/>
    <s v="Skipping Rope"/>
    <s v="North"/>
    <s v="Chandigarh"/>
    <s v="Amit Sharma"/>
    <n v="2"/>
    <n v="350"/>
    <n v="0"/>
    <n v="700"/>
    <n v="340"/>
    <n v="360"/>
  </r>
  <r>
    <s v="ORD-00721"/>
    <s v="2025-12-06"/>
    <s v="Customer 018"/>
    <x v="2"/>
    <s v="Resistance Bands"/>
    <s v="South"/>
    <s v="Bengaluru"/>
    <s v="Amit Sharma"/>
    <n v="6"/>
    <n v="650"/>
    <n v="0.05"/>
    <n v="3705"/>
    <n v="2100"/>
    <n v="1605"/>
  </r>
  <r>
    <s v="ORD-00738"/>
    <s v="2025-12-06"/>
    <s v="Customer 023"/>
    <x v="0"/>
    <s v="Keyboard"/>
    <s v="North"/>
    <s v="Lucknow"/>
    <s v="Priya Patil"/>
    <n v="2"/>
    <n v="1200"/>
    <n v="0"/>
    <n v="2400"/>
    <n v="1440"/>
    <n v="960"/>
  </r>
  <r>
    <s v="ORD-00741"/>
    <s v="2025-12-06"/>
    <s v="Customer 169"/>
    <x v="3"/>
    <s v="Desk Organizer"/>
    <s v="South"/>
    <s v="Chennai"/>
    <s v="Amit Sharma"/>
    <n v="7"/>
    <n v="450"/>
    <n v="0.05"/>
    <n v="2992.5"/>
    <n v="1750"/>
    <n v="1242.5"/>
  </r>
  <r>
    <s v="ORD-00026"/>
    <s v="2025-12-07"/>
    <s v="Customer 198"/>
    <x v="3"/>
    <s v="Notebook"/>
    <s v="South"/>
    <s v="Hyderabad"/>
    <s v="Neha Kulkarni"/>
    <n v="8"/>
    <n v="180"/>
    <n v="0.05"/>
    <n v="1368"/>
    <n v="720"/>
    <n v="648"/>
  </r>
  <r>
    <s v="ORD-00228"/>
    <s v="2025-12-07"/>
    <s v="Customer 125"/>
    <x v="3"/>
    <s v="Stapler"/>
    <s v="West"/>
    <s v="Mumbai"/>
    <s v="Neha Kulkarni"/>
    <n v="9"/>
    <n v="280"/>
    <n v="0"/>
    <n v="2520"/>
    <n v="1350"/>
    <n v="1170"/>
  </r>
  <r>
    <s v="ORD-00031"/>
    <s v="2025-12-08"/>
    <s v="Customer 147"/>
    <x v="2"/>
    <s v="Gym Gloves"/>
    <s v="East"/>
    <s v="Patna"/>
    <s v="Rahul Verma"/>
    <n v="7"/>
    <n v="500"/>
    <n v="0"/>
    <n v="3500"/>
    <n v="1960"/>
    <n v="1540"/>
  </r>
  <r>
    <s v="ORD-00081"/>
    <s v="2025-12-08"/>
    <s v="Customer 129"/>
    <x v="2"/>
    <s v="Skipping Rope"/>
    <s v="West"/>
    <s v="Mumbai"/>
    <s v="Vikas Singh"/>
    <n v="1"/>
    <n v="350"/>
    <n v="0.05"/>
    <n v="332.5"/>
    <n v="170"/>
    <n v="162.5"/>
  </r>
  <r>
    <s v="ORD-00442"/>
    <s v="2025-12-08"/>
    <s v="Customer 076"/>
    <x v="0"/>
    <s v="Bluetooth Speaker"/>
    <s v="West"/>
    <s v="Ahmedabad"/>
    <s v="Priya Patil"/>
    <n v="8"/>
    <n v="2200"/>
    <n v="0.05"/>
    <n v="16720"/>
    <n v="11200"/>
    <n v="5520"/>
  </r>
  <r>
    <s v="ORD-00850"/>
    <s v="2025-12-08"/>
    <s v="Customer 035"/>
    <x v="0"/>
    <s v="Bluetooth Speaker"/>
    <s v="South"/>
    <s v="Chennai"/>
    <s v="Sneha Joshi"/>
    <n v="2"/>
    <n v="2200"/>
    <n v="0.1"/>
    <n v="3960"/>
    <n v="2800"/>
    <n v="1160"/>
  </r>
  <r>
    <s v="ORD-00410"/>
    <s v="2025-12-09"/>
    <s v="Customer 109"/>
    <x v="2"/>
    <s v="Yoga Mat"/>
    <s v="West"/>
    <s v="Pune"/>
    <s v="Vikas Singh"/>
    <n v="6"/>
    <n v="900"/>
    <n v="0.1"/>
    <n v="4860"/>
    <n v="3120"/>
    <n v="1740"/>
  </r>
  <r>
    <s v="ORD-00816"/>
    <s v="2025-12-09"/>
    <s v="Customer 019"/>
    <x v="2"/>
    <s v="Dumbbell Set"/>
    <s v="West"/>
    <s v="Mumbai"/>
    <s v="Amit Sharma"/>
    <n v="2"/>
    <n v="2200"/>
    <n v="0"/>
    <n v="4400"/>
    <n v="2900"/>
    <n v="1500"/>
  </r>
  <r>
    <s v="ORD-00935"/>
    <s v="2025-12-10"/>
    <s v="Customer 165"/>
    <x v="1"/>
    <s v="Storage Container"/>
    <s v="North"/>
    <s v="Lucknow"/>
    <s v="Vikas Singh"/>
    <n v="3"/>
    <n v="600"/>
    <n v="0"/>
    <n v="1800"/>
    <n v="990"/>
    <n v="810"/>
  </r>
  <r>
    <s v="ORD-00001"/>
    <s v="2025-12-12"/>
    <s v="Customer 122"/>
    <x v="3"/>
    <s v="Stapler"/>
    <s v="South"/>
    <s v="Chennai"/>
    <s v="Rahul Verma"/>
    <n v="8"/>
    <n v="280"/>
    <n v="0.05"/>
    <n v="2128"/>
    <n v="1200"/>
    <n v="928"/>
  </r>
  <r>
    <s v="ORD-00086"/>
    <s v="2025-12-12"/>
    <s v="Customer 166"/>
    <x v="0"/>
    <s v="Power Bank"/>
    <s v="West"/>
    <s v="Pune"/>
    <s v="Sneha Joshi"/>
    <n v="2"/>
    <n v="1500"/>
    <n v="0.1"/>
    <n v="2700"/>
    <n v="1800"/>
    <n v="900"/>
  </r>
  <r>
    <s v="ORD-00584"/>
    <s v="2025-12-12"/>
    <s v="Customer 186"/>
    <x v="1"/>
    <s v="Kitchen Scale"/>
    <s v="West"/>
    <s v="Pune"/>
    <s v="Vikas Singh"/>
    <n v="10"/>
    <n v="950"/>
    <n v="0.1"/>
    <n v="8550"/>
    <n v="5600"/>
    <n v="2950"/>
  </r>
  <r>
    <s v="ORD-00596"/>
    <s v="2025-12-12"/>
    <s v="Customer 125"/>
    <x v="0"/>
    <s v="Power Bank"/>
    <s v="North"/>
    <s v="Chandigarh"/>
    <s v="Amit Sharma"/>
    <n v="7"/>
    <n v="1500"/>
    <n v="0.1"/>
    <n v="9450"/>
    <n v="6300"/>
    <n v="3150"/>
  </r>
  <r>
    <s v="ORD-00032"/>
    <s v="2025-12-13"/>
    <s v="Customer 084"/>
    <x v="2"/>
    <s v="Yoga Mat"/>
    <s v="East"/>
    <s v="Ranchi"/>
    <s v="Neha Kulkarni"/>
    <n v="1"/>
    <n v="900"/>
    <n v="0"/>
    <n v="900"/>
    <n v="520"/>
    <n v="380"/>
  </r>
  <r>
    <s v="ORD-00174"/>
    <s v="2025-12-14"/>
    <s v="Customer 184"/>
    <x v="3"/>
    <s v="Notebook"/>
    <s v="East"/>
    <s v="Bhubaneswar"/>
    <s v="Rahul Verma"/>
    <n v="5"/>
    <n v="180"/>
    <n v="0"/>
    <n v="900"/>
    <n v="450"/>
    <n v="450"/>
  </r>
  <r>
    <s v="ORD-00742"/>
    <s v="2025-12-14"/>
    <s v="Customer 001"/>
    <x v="2"/>
    <s v="Skipping Rope"/>
    <s v="North"/>
    <s v="Chandigarh"/>
    <s v="Vikas Singh"/>
    <n v="2"/>
    <n v="350"/>
    <n v="0.1"/>
    <n v="630"/>
    <n v="340"/>
    <n v="290"/>
  </r>
  <r>
    <s v="ORD-00866"/>
    <s v="2025-12-14"/>
    <s v="Customer 003"/>
    <x v="1"/>
    <s v="Water Bottle"/>
    <s v="South"/>
    <s v="Bengaluru"/>
    <s v="Neha Kulkarni"/>
    <n v="5"/>
    <n v="550"/>
    <n v="0"/>
    <n v="2750"/>
    <n v="1500"/>
    <n v="1250"/>
  </r>
  <r>
    <s v="ORD-00913"/>
    <s v="2025-12-14"/>
    <s v="Customer 027"/>
    <x v="0"/>
    <s v="Power Bank"/>
    <s v="South"/>
    <s v="Kochi"/>
    <s v="Rahul Verma"/>
    <n v="7"/>
    <n v="1500"/>
    <n v="0"/>
    <n v="10500"/>
    <n v="6300"/>
    <n v="4200"/>
  </r>
  <r>
    <s v="ORD-00201"/>
    <s v="2025-12-15"/>
    <s v="Customer 119"/>
    <x v="2"/>
    <s v="Resistance Bands"/>
    <s v="North"/>
    <s v="Jaipur"/>
    <s v="Sneha Joshi"/>
    <n v="2"/>
    <n v="650"/>
    <n v="0.1"/>
    <n v="1170"/>
    <n v="700"/>
    <n v="470"/>
  </r>
  <r>
    <s v="ORD-00253"/>
    <s v="2025-12-15"/>
    <s v="Customer 190"/>
    <x v="2"/>
    <s v="Gym Gloves"/>
    <s v="South"/>
    <s v="Chennai"/>
    <s v="Neha Kulkarni"/>
    <n v="9"/>
    <n v="500"/>
    <n v="0"/>
    <n v="4500"/>
    <n v="2520"/>
    <n v="1980"/>
  </r>
  <r>
    <s v="ORD-00550"/>
    <s v="2025-12-15"/>
    <s v="Customer 015"/>
    <x v="0"/>
    <s v="Keyboard"/>
    <s v="West"/>
    <s v="Pune"/>
    <s v="Vikas Singh"/>
    <n v="9"/>
    <n v="1200"/>
    <n v="0.05"/>
    <n v="10260"/>
    <n v="6480"/>
    <n v="3780"/>
  </r>
  <r>
    <s v="ORD-00485"/>
    <s v="2025-12-16"/>
    <s v="Customer 089"/>
    <x v="3"/>
    <s v="Desk Organizer"/>
    <s v="North"/>
    <s v="Jaipur"/>
    <s v="Amit Sharma"/>
    <n v="1"/>
    <n v="450"/>
    <n v="0.1"/>
    <n v="405"/>
    <n v="250"/>
    <n v="155"/>
  </r>
  <r>
    <s v="ORD-00511"/>
    <s v="2025-12-16"/>
    <s v="Customer 096"/>
    <x v="1"/>
    <s v="Storage Container"/>
    <s v="South"/>
    <s v="Kochi"/>
    <s v="Rahul Verma"/>
    <n v="4"/>
    <n v="600"/>
    <n v="0"/>
    <n v="2400"/>
    <n v="1320"/>
    <n v="1080"/>
  </r>
  <r>
    <s v="ORD-00163"/>
    <s v="2025-12-17"/>
    <s v="Customer 126"/>
    <x v="3"/>
    <s v="Notebook"/>
    <s v="West"/>
    <s v="Pune"/>
    <s v="Priya Patil"/>
    <n v="1"/>
    <n v="180"/>
    <n v="0.1"/>
    <n v="162"/>
    <n v="90"/>
    <n v="72"/>
  </r>
  <r>
    <s v="ORD-00583"/>
    <s v="2025-12-17"/>
    <s v="Customer 076"/>
    <x v="0"/>
    <s v="Keyboard"/>
    <s v="West"/>
    <s v="Ahmedabad"/>
    <s v="Priya Patil"/>
    <n v="3"/>
    <n v="1200"/>
    <n v="0.05"/>
    <n v="3420"/>
    <n v="2160"/>
    <n v="1260"/>
  </r>
  <r>
    <s v="ORD-00598"/>
    <s v="2025-12-17"/>
    <s v="Customer 004"/>
    <x v="3"/>
    <s v="Stapler"/>
    <s v="South"/>
    <s v="Bengaluru"/>
    <s v="Vikas Singh"/>
    <n v="6"/>
    <n v="280"/>
    <n v="0.1"/>
    <n v="1512"/>
    <n v="900"/>
    <n v="612"/>
  </r>
  <r>
    <s v="ORD-00248"/>
    <s v="2025-12-18"/>
    <s v="Customer 036"/>
    <x v="2"/>
    <s v="Dumbbell Set"/>
    <s v="North"/>
    <s v="Jaipur"/>
    <s v="Vikas Singh"/>
    <n v="10"/>
    <n v="2200"/>
    <n v="0.1"/>
    <n v="19800"/>
    <n v="14500"/>
    <n v="5300"/>
  </r>
  <r>
    <s v="ORD-00359"/>
    <s v="2025-12-18"/>
    <s v="Customer 012"/>
    <x v="3"/>
    <s v="File Folder"/>
    <s v="South"/>
    <s v="Kochi"/>
    <s v="Vikas Singh"/>
    <n v="8"/>
    <n v="150"/>
    <n v="0.1"/>
    <n v="1080"/>
    <n v="600"/>
    <n v="480"/>
  </r>
  <r>
    <s v="ORD-00739"/>
    <s v="2025-12-18"/>
    <s v="Customer 055"/>
    <x v="0"/>
    <s v="Bluetooth Speaker"/>
    <s v="South"/>
    <s v="Hyderabad"/>
    <s v="Rahul Verma"/>
    <n v="1"/>
    <n v="2200"/>
    <n v="0"/>
    <n v="2200"/>
    <n v="1400"/>
    <n v="800"/>
  </r>
  <r>
    <s v="ORD-00873"/>
    <s v="2025-12-18"/>
    <s v="Customer 116"/>
    <x v="3"/>
    <s v="Stapler"/>
    <s v="East"/>
    <s v="Patna"/>
    <s v="Vikas Singh"/>
    <n v="6"/>
    <n v="280"/>
    <n v="0.05"/>
    <n v="1596"/>
    <n v="900"/>
    <n v="696"/>
  </r>
  <r>
    <s v="ORD-00776"/>
    <s v="2025-12-19"/>
    <s v="Customer 180"/>
    <x v="1"/>
    <s v="Storage Container"/>
    <s v="West"/>
    <s v="Ahmedabad"/>
    <s v="Priya Patil"/>
    <n v="10"/>
    <n v="600"/>
    <n v="0"/>
    <n v="6000"/>
    <n v="3300"/>
    <n v="2700"/>
  </r>
  <r>
    <s v="ORD-00100"/>
    <s v="2025-12-20"/>
    <s v="Customer 111"/>
    <x v="1"/>
    <s v="Storage Container"/>
    <s v="North"/>
    <s v="Lucknow"/>
    <s v="Neha Kulkarni"/>
    <n v="9"/>
    <n v="600"/>
    <n v="0.05"/>
    <n v="5130"/>
    <n v="2970"/>
    <n v="2160"/>
  </r>
  <r>
    <s v="ORD-00123"/>
    <s v="2025-12-20"/>
    <s v="Customer 104"/>
    <x v="2"/>
    <s v="Dumbbell Set"/>
    <s v="North"/>
    <s v="Delhi"/>
    <s v="Sneha Joshi"/>
    <n v="8"/>
    <n v="2200"/>
    <n v="0.05"/>
    <n v="16720"/>
    <n v="11600"/>
    <n v="5120"/>
  </r>
  <r>
    <s v="ORD-00275"/>
    <s v="2025-12-21"/>
    <s v="Customer 082"/>
    <x v="0"/>
    <s v="Power Bank"/>
    <s v="North"/>
    <s v="Jaipur"/>
    <s v="Rahul Verma"/>
    <n v="4"/>
    <n v="1500"/>
    <n v="0.1"/>
    <n v="5400"/>
    <n v="3600"/>
    <n v="1800"/>
  </r>
  <r>
    <s v="ORD-00023"/>
    <s v="2025-12-22"/>
    <s v="Customer 101"/>
    <x v="0"/>
    <s v="Keyboard"/>
    <s v="East"/>
    <s v="Ranchi"/>
    <s v="Amit Sharma"/>
    <n v="7"/>
    <n v="1200"/>
    <n v="0.05"/>
    <n v="7980"/>
    <n v="5040"/>
    <n v="2940"/>
  </r>
  <r>
    <s v="ORD-00134"/>
    <s v="2025-12-22"/>
    <s v="Customer 114"/>
    <x v="0"/>
    <s v="USB-C Hub"/>
    <s v="South"/>
    <s v="Hyderabad"/>
    <s v="Neha Kulkarni"/>
    <n v="2"/>
    <n v="1800"/>
    <n v="0.05"/>
    <n v="3420"/>
    <n v="2200"/>
    <n v="1220"/>
  </r>
  <r>
    <s v="ORD-00276"/>
    <s v="2025-12-22"/>
    <s v="Customer 105"/>
    <x v="3"/>
    <s v="File Folder"/>
    <s v="West"/>
    <s v="Pune"/>
    <s v="Amit Sharma"/>
    <n v="10"/>
    <n v="150"/>
    <n v="0.1"/>
    <n v="1350"/>
    <n v="750"/>
    <n v="600"/>
  </r>
  <r>
    <s v="ORD-00177"/>
    <s v="2025-12-23"/>
    <s v="Customer 040"/>
    <x v="0"/>
    <s v="Bluetooth Speaker"/>
    <s v="East"/>
    <s v="Kolkata"/>
    <s v="Vikas Singh"/>
    <n v="5"/>
    <n v="2200"/>
    <n v="0.15"/>
    <n v="9350"/>
    <n v="7000"/>
    <n v="2350"/>
  </r>
  <r>
    <s v="ORD-00463"/>
    <s v="2025-12-23"/>
    <s v="Customer 016"/>
    <x v="1"/>
    <s v="Kitchen Scale"/>
    <s v="East"/>
    <s v="Patna"/>
    <s v="Rahul Verma"/>
    <n v="8"/>
    <n v="950"/>
    <n v="0.1"/>
    <n v="6840"/>
    <n v="4480"/>
    <n v="2360"/>
  </r>
  <r>
    <s v="ORD-00487"/>
    <s v="2025-12-23"/>
    <s v="Customer 107"/>
    <x v="1"/>
    <s v="Lunch Box"/>
    <s v="South"/>
    <s v="Kochi"/>
    <s v="Vikas Singh"/>
    <n v="6"/>
    <n v="700"/>
    <n v="0"/>
    <n v="4200"/>
    <n v="2400"/>
    <n v="1800"/>
  </r>
  <r>
    <s v="ORD-00880"/>
    <s v="2025-12-23"/>
    <s v="Customer 153"/>
    <x v="0"/>
    <s v="Bluetooth Speaker"/>
    <s v="North"/>
    <s v="Delhi"/>
    <s v="Neha Kulkarni"/>
    <n v="9"/>
    <n v="2200"/>
    <n v="0"/>
    <n v="19800"/>
    <n v="12600"/>
    <n v="7200"/>
  </r>
  <r>
    <s v="ORD-00440"/>
    <s v="2025-12-25"/>
    <s v="Customer 087"/>
    <x v="3"/>
    <s v="Notebook"/>
    <s v="North"/>
    <s v="Delhi"/>
    <s v="Priya Patil"/>
    <n v="10"/>
    <n v="180"/>
    <n v="0.1"/>
    <n v="1620"/>
    <n v="900"/>
    <n v="720"/>
  </r>
  <r>
    <s v="ORD-00562"/>
    <s v="2025-12-25"/>
    <s v="Customer 143"/>
    <x v="1"/>
    <s v="Kitchen Scale"/>
    <s v="East"/>
    <s v="Patna"/>
    <s v="Amit Sharma"/>
    <n v="1"/>
    <n v="950"/>
    <n v="0.05"/>
    <n v="902.5"/>
    <n v="560"/>
    <n v="342.5"/>
  </r>
  <r>
    <s v="ORD-00712"/>
    <s v="2025-12-25"/>
    <s v="Customer 151"/>
    <x v="3"/>
    <s v="Stapler"/>
    <s v="West"/>
    <s v="Nashik"/>
    <s v="Priya Patil"/>
    <n v="1"/>
    <n v="280"/>
    <n v="0"/>
    <n v="280"/>
    <n v="150"/>
    <n v="130"/>
  </r>
  <r>
    <s v="ORD-00978"/>
    <s v="2025-12-25"/>
    <s v="Customer 163"/>
    <x v="2"/>
    <s v="Yoga Mat"/>
    <s v="South"/>
    <s v="Hyderabad"/>
    <s v="Priya Patil"/>
    <n v="6"/>
    <n v="900"/>
    <n v="0.15"/>
    <n v="4590"/>
    <n v="3120"/>
    <n v="1470"/>
  </r>
  <r>
    <s v="ORD-00210"/>
    <s v="2025-12-26"/>
    <s v="Customer 098"/>
    <x v="2"/>
    <s v="Resistance Bands"/>
    <s v="West"/>
    <s v="Nashik"/>
    <s v="Sneha Joshi"/>
    <n v="9"/>
    <n v="650"/>
    <n v="0"/>
    <n v="5850"/>
    <n v="3150"/>
    <n v="2700"/>
  </r>
  <r>
    <s v="ORD-00338"/>
    <s v="2025-12-26"/>
    <s v="Customer 181"/>
    <x v="1"/>
    <s v="Water Bottle"/>
    <s v="South"/>
    <s v="Hyderabad"/>
    <s v="Neha Kulkarni"/>
    <n v="5"/>
    <n v="550"/>
    <n v="0"/>
    <n v="2750"/>
    <n v="1500"/>
    <n v="1250"/>
  </r>
  <r>
    <s v="ORD-00504"/>
    <s v="2025-12-26"/>
    <s v="Customer 160"/>
    <x v="1"/>
    <s v="Water Bottle"/>
    <s v="South"/>
    <s v="Bengaluru"/>
    <s v="Priya Patil"/>
    <n v="3"/>
    <n v="550"/>
    <n v="0.05"/>
    <n v="1567.5"/>
    <n v="900"/>
    <n v="667.5"/>
  </r>
  <r>
    <s v="ORD-00106"/>
    <s v="2025-12-27"/>
    <s v="Customer 068"/>
    <x v="1"/>
    <s v="Lunch Box"/>
    <s v="West"/>
    <s v="Ahmedabad"/>
    <s v="Rahul Verma"/>
    <n v="5"/>
    <n v="700"/>
    <n v="0"/>
    <n v="3500"/>
    <n v="2000"/>
    <n v="1500"/>
  </r>
  <r>
    <s v="ORD-00755"/>
    <s v="2025-12-27"/>
    <s v="Customer 007"/>
    <x v="3"/>
    <s v="Ball Pen Pack"/>
    <s v="South"/>
    <s v="Kochi"/>
    <s v="Neha Kulkarni"/>
    <n v="4"/>
    <n v="120"/>
    <n v="0.1"/>
    <n v="432"/>
    <n v="220"/>
    <n v="212"/>
  </r>
  <r>
    <s v="ORD-00815"/>
    <s v="2025-12-27"/>
    <s v="Customer 191"/>
    <x v="1"/>
    <s v="Water Bottle"/>
    <s v="West"/>
    <s v="Mumbai"/>
    <s v="Priya Patil"/>
    <n v="2"/>
    <n v="550"/>
    <n v="0.1"/>
    <n v="990"/>
    <n v="600"/>
    <n v="390"/>
  </r>
  <r>
    <s v="ORD-00098"/>
    <s v="2025-12-28"/>
    <s v="Customer 028"/>
    <x v="0"/>
    <s v="Keyboard"/>
    <s v="North"/>
    <s v="Lucknow"/>
    <s v="Priya Patil"/>
    <n v="3"/>
    <n v="1200"/>
    <n v="0"/>
    <n v="3600"/>
    <n v="2160"/>
    <n v="1440"/>
  </r>
  <r>
    <s v="ORD-00284"/>
    <s v="2025-12-28"/>
    <s v="Customer 190"/>
    <x v="0"/>
    <s v="Bluetooth Speaker"/>
    <s v="North"/>
    <s v="Chandigarh"/>
    <s v="Priya Patil"/>
    <n v="9"/>
    <n v="2200"/>
    <n v="0.05"/>
    <n v="18810"/>
    <n v="12600"/>
    <n v="6210"/>
  </r>
  <r>
    <s v="ORD-00400"/>
    <s v="2025-12-28"/>
    <s v="Customer 159"/>
    <x v="3"/>
    <s v="Stapler"/>
    <s v="South"/>
    <s v="Chennai"/>
    <s v="Neha Kulkarni"/>
    <n v="8"/>
    <n v="280"/>
    <n v="0"/>
    <n v="2240"/>
    <n v="1200"/>
    <n v="1040"/>
  </r>
  <r>
    <s v="ORD-00541"/>
    <s v="2025-12-28"/>
    <s v="Customer 057"/>
    <x v="2"/>
    <s v="Dumbbell Set"/>
    <s v="West"/>
    <s v="Pune"/>
    <s v="Vikas Singh"/>
    <n v="1"/>
    <n v="2200"/>
    <n v="0.05"/>
    <n v="2090"/>
    <n v="1450"/>
    <n v="640"/>
  </r>
  <r>
    <s v="ORD-00311"/>
    <s v="2025-12-29"/>
    <s v="Customer 138"/>
    <x v="0"/>
    <s v="Bluetooth Speaker"/>
    <s v="South"/>
    <s v="Chennai"/>
    <s v="Neha Kulkarni"/>
    <n v="7"/>
    <n v="2200"/>
    <n v="0.1"/>
    <n v="13860"/>
    <n v="9800"/>
    <n v="4060"/>
  </r>
  <r>
    <s v="ORD-00747"/>
    <s v="2025-12-29"/>
    <s v="Customer 097"/>
    <x v="1"/>
    <s v="Lunch Box"/>
    <s v="West"/>
    <s v="Pune"/>
    <s v="Amit Sharma"/>
    <n v="9"/>
    <n v="700"/>
    <n v="0"/>
    <n v="6300"/>
    <n v="3600"/>
    <n v="2700"/>
  </r>
  <r>
    <s v="ORD-00065"/>
    <s v="2025-12-31"/>
    <s v="Customer 133"/>
    <x v="0"/>
    <s v="Power Bank"/>
    <s v="North"/>
    <s v="Jaipur"/>
    <s v="Rahul Verma"/>
    <n v="7"/>
    <n v="1500"/>
    <n v="0.15"/>
    <n v="8925"/>
    <n v="6300"/>
    <n v="2625"/>
  </r>
  <r>
    <s v="ORD-00368"/>
    <s v="2025-12-31"/>
    <s v="Customer 030"/>
    <x v="3"/>
    <s v="Desk Organizer"/>
    <s v="West"/>
    <s v="Nashik"/>
    <s v="Sneha Joshi"/>
    <n v="9"/>
    <n v="450"/>
    <n v="0"/>
    <n v="4050"/>
    <n v="2250"/>
    <n v="1800"/>
  </r>
  <r>
    <s v="ORD-00498"/>
    <s v="2025-12-31"/>
    <s v="Customer 138"/>
    <x v="0"/>
    <s v="Wireless Mouse"/>
    <s v="North"/>
    <s v="Delhi"/>
    <s v="Sneha Joshi"/>
    <n v="10"/>
    <n v="650"/>
    <n v="0.1"/>
    <n v="5850"/>
    <n v="3800"/>
    <n v="2050"/>
  </r>
  <r>
    <s v="ORD-00669"/>
    <s v="2025-12-31"/>
    <s v="Customer 084"/>
    <x v="0"/>
    <s v="Power Bank"/>
    <s v="West"/>
    <s v="Nashik"/>
    <s v="Sneha Joshi"/>
    <n v="3"/>
    <n v="1500"/>
    <n v="0"/>
    <n v="4500"/>
    <n v="2700"/>
    <n v="1800"/>
  </r>
  <r>
    <s v="ORD-00632"/>
    <s v="2026-01-01"/>
    <s v="Customer 144"/>
    <x v="1"/>
    <s v="Coffee Mug"/>
    <s v="North"/>
    <s v="Lucknow"/>
    <s v="Rahul Verma"/>
    <n v="7"/>
    <n v="350"/>
    <n v="0"/>
    <n v="2450"/>
    <n v="1260"/>
    <n v="1190"/>
  </r>
  <r>
    <s v="ORD-00843"/>
    <s v="2026-01-01"/>
    <s v="Customer 176"/>
    <x v="0"/>
    <s v="Power Bank"/>
    <s v="North"/>
    <s v="Lucknow"/>
    <s v="Sneha Joshi"/>
    <n v="10"/>
    <n v="1500"/>
    <n v="0"/>
    <n v="15000"/>
    <n v="9000"/>
    <n v="6000"/>
  </r>
  <r>
    <s v="ORD-00270"/>
    <s v="2026-01-02"/>
    <s v="Customer 166"/>
    <x v="1"/>
    <s v="Water Bottle"/>
    <s v="West"/>
    <s v="Nashik"/>
    <s v="Priya Patil"/>
    <n v="4"/>
    <n v="550"/>
    <n v="0"/>
    <n v="2200"/>
    <n v="1200"/>
    <n v="1000"/>
  </r>
  <r>
    <s v="ORD-00337"/>
    <s v="2026-01-02"/>
    <s v="Customer 001"/>
    <x v="3"/>
    <s v="File Folder"/>
    <s v="South"/>
    <s v="Chennai"/>
    <s v="Rahul Verma"/>
    <n v="6"/>
    <n v="150"/>
    <n v="0.1"/>
    <n v="810"/>
    <n v="450"/>
    <n v="360"/>
  </r>
  <r>
    <s v="ORD-00375"/>
    <s v="2026-01-03"/>
    <s v="Customer 037"/>
    <x v="3"/>
    <s v="Stapler"/>
    <s v="South"/>
    <s v="Bengaluru"/>
    <s v="Priya Patil"/>
    <n v="10"/>
    <n v="280"/>
    <n v="0.1"/>
    <n v="2520"/>
    <n v="1500"/>
    <n v="1020"/>
  </r>
  <r>
    <s v="ORD-00464"/>
    <s v="2026-01-04"/>
    <s v="Customer 053"/>
    <x v="1"/>
    <s v="Storage Container"/>
    <s v="East"/>
    <s v="Ranchi"/>
    <s v="Rahul Verma"/>
    <n v="1"/>
    <n v="600"/>
    <n v="0.05"/>
    <n v="570"/>
    <n v="330"/>
    <n v="240"/>
  </r>
  <r>
    <s v="ORD-00690"/>
    <s v="2026-01-04"/>
    <s v="Customer 089"/>
    <x v="0"/>
    <s v="USB-C Hub"/>
    <s v="North"/>
    <s v="Delhi"/>
    <s v="Priya Patil"/>
    <n v="4"/>
    <n v="1800"/>
    <n v="0"/>
    <n v="7200"/>
    <n v="4400"/>
    <n v="2800"/>
  </r>
  <r>
    <s v="ORD-00730"/>
    <s v="2026-01-04"/>
    <s v="Customer 157"/>
    <x v="0"/>
    <s v="USB-C Hub"/>
    <s v="North"/>
    <s v="Jaipur"/>
    <s v="Rahul Verma"/>
    <n v="6"/>
    <n v="1800"/>
    <n v="0.15"/>
    <n v="9180"/>
    <n v="6600"/>
    <n v="2580"/>
  </r>
  <r>
    <s v="ORD-00743"/>
    <s v="2026-01-04"/>
    <s v="Customer 188"/>
    <x v="3"/>
    <s v="Ball Pen Pack"/>
    <s v="South"/>
    <s v="Hyderabad"/>
    <s v="Amit Sharma"/>
    <n v="2"/>
    <n v="120"/>
    <n v="0.05"/>
    <n v="228"/>
    <n v="110"/>
    <n v="118"/>
  </r>
  <r>
    <s v="ORD-00358"/>
    <s v="2026-01-05"/>
    <s v="Customer 046"/>
    <x v="3"/>
    <s v="Notebook"/>
    <s v="South"/>
    <s v="Bengaluru"/>
    <s v="Vikas Singh"/>
    <n v="3"/>
    <n v="180"/>
    <n v="0.05"/>
    <n v="513"/>
    <n v="270"/>
    <n v="243"/>
  </r>
  <r>
    <s v="ORD-00745"/>
    <s v="2026-01-05"/>
    <s v="Customer 036"/>
    <x v="3"/>
    <s v="Desk Organizer"/>
    <s v="East"/>
    <s v="Kolkata"/>
    <s v="Priya Patil"/>
    <n v="2"/>
    <n v="450"/>
    <n v="0.05"/>
    <n v="855"/>
    <n v="500"/>
    <n v="355"/>
  </r>
  <r>
    <s v="ORD-00837"/>
    <s v="2026-01-06"/>
    <s v="Customer 173"/>
    <x v="1"/>
    <s v="Coffee Mug"/>
    <s v="West"/>
    <s v="Mumbai"/>
    <s v="Rahul Verma"/>
    <n v="8"/>
    <n v="350"/>
    <n v="0"/>
    <n v="2800"/>
    <n v="1440"/>
    <n v="1360"/>
  </r>
  <r>
    <s v="ORD-00048"/>
    <s v="2026-01-07"/>
    <s v="Customer 058"/>
    <x v="0"/>
    <s v="Power Bank"/>
    <s v="North"/>
    <s v="Delhi"/>
    <s v="Priya Patil"/>
    <n v="7"/>
    <n v="1500"/>
    <n v="0"/>
    <n v="10500"/>
    <n v="6300"/>
    <n v="4200"/>
  </r>
  <r>
    <s v="ORD-00437"/>
    <s v="2026-01-07"/>
    <s v="Customer 160"/>
    <x v="0"/>
    <s v="Wireless Mouse"/>
    <s v="North"/>
    <s v="Chandigarh"/>
    <s v="Amit Sharma"/>
    <n v="7"/>
    <n v="650"/>
    <n v="0.1"/>
    <n v="4095"/>
    <n v="2660"/>
    <n v="1435"/>
  </r>
  <r>
    <s v="ORD-00637"/>
    <s v="2026-01-07"/>
    <s v="Customer 172"/>
    <x v="3"/>
    <s v="Ball Pen Pack"/>
    <s v="West"/>
    <s v="Mumbai"/>
    <s v="Rahul Verma"/>
    <n v="9"/>
    <n v="120"/>
    <n v="0"/>
    <n v="1080"/>
    <n v="495"/>
    <n v="585"/>
  </r>
  <r>
    <s v="ORD-00691"/>
    <s v="2026-01-07"/>
    <s v="Customer 042"/>
    <x v="1"/>
    <s v="Lunch Box"/>
    <s v="West"/>
    <s v="Ahmedabad"/>
    <s v="Rahul Verma"/>
    <n v="6"/>
    <n v="700"/>
    <n v="0.1"/>
    <n v="3780"/>
    <n v="2400"/>
    <n v="1380"/>
  </r>
  <r>
    <s v="ORD-00863"/>
    <s v="2026-01-07"/>
    <s v="Customer 087"/>
    <x v="3"/>
    <s v="Desk Organizer"/>
    <s v="North"/>
    <s v="Jaipur"/>
    <s v="Priya Patil"/>
    <n v="2"/>
    <n v="450"/>
    <n v="0.05"/>
    <n v="855"/>
    <n v="500"/>
    <n v="355"/>
  </r>
  <r>
    <s v="ORD-00002"/>
    <s v="2026-01-09"/>
    <s v="Customer 150"/>
    <x v="0"/>
    <s v="USB-C Hub"/>
    <s v="East"/>
    <s v="Kolkata"/>
    <s v="Vikas Singh"/>
    <n v="4"/>
    <n v="1800"/>
    <n v="0"/>
    <n v="7200"/>
    <n v="4400"/>
    <n v="2800"/>
  </r>
  <r>
    <s v="ORD-00005"/>
    <s v="2026-01-09"/>
    <s v="Customer 051"/>
    <x v="0"/>
    <s v="USB-C Hub"/>
    <s v="East"/>
    <s v="Patna"/>
    <s v="Vikas Singh"/>
    <n v="4"/>
    <n v="1800"/>
    <n v="0.05"/>
    <n v="6840"/>
    <n v="4400"/>
    <n v="2440"/>
  </r>
  <r>
    <s v="ORD-00015"/>
    <s v="2026-01-09"/>
    <s v="Customer 001"/>
    <x v="1"/>
    <s v="Lunch Box"/>
    <s v="South"/>
    <s v="Bengaluru"/>
    <s v="Vikas Singh"/>
    <n v="3"/>
    <n v="700"/>
    <n v="0"/>
    <n v="2100"/>
    <n v="1200"/>
    <n v="900"/>
  </r>
  <r>
    <s v="ORD-00297"/>
    <s v="2026-01-10"/>
    <s v="Customer 020"/>
    <x v="2"/>
    <s v="Skipping Rope"/>
    <s v="West"/>
    <s v="Pune"/>
    <s v="Priya Patil"/>
    <n v="4"/>
    <n v="350"/>
    <n v="0"/>
    <n v="1400"/>
    <n v="680"/>
    <n v="720"/>
  </r>
  <r>
    <s v="ORD-00718"/>
    <s v="2026-01-10"/>
    <s v="Customer 085"/>
    <x v="1"/>
    <s v="Lunch Box"/>
    <s v="West"/>
    <s v="Ahmedabad"/>
    <s v="Priya Patil"/>
    <n v="10"/>
    <n v="700"/>
    <n v="0"/>
    <n v="7000"/>
    <n v="4000"/>
    <n v="3000"/>
  </r>
  <r>
    <s v="ORD-00088"/>
    <s v="2026-01-11"/>
    <s v="Customer 029"/>
    <x v="1"/>
    <s v="Storage Container"/>
    <s v="North"/>
    <s v="Lucknow"/>
    <s v="Sneha Joshi"/>
    <n v="10"/>
    <n v="600"/>
    <n v="0.1"/>
    <n v="5400"/>
    <n v="3300"/>
    <n v="2100"/>
  </r>
  <r>
    <s v="ORD-00332"/>
    <s v="2026-01-11"/>
    <s v="Customer 189"/>
    <x v="3"/>
    <s v="Notebook"/>
    <s v="East"/>
    <s v="Bhubaneswar"/>
    <s v="Sneha Joshi"/>
    <n v="10"/>
    <n v="180"/>
    <n v="0"/>
    <n v="1800"/>
    <n v="900"/>
    <n v="900"/>
  </r>
  <r>
    <s v="ORD-00422"/>
    <s v="2026-01-11"/>
    <s v="Customer 056"/>
    <x v="3"/>
    <s v="Ball Pen Pack"/>
    <s v="East"/>
    <s v="Bhubaneswar"/>
    <s v="Sneha Joshi"/>
    <n v="8"/>
    <n v="120"/>
    <n v="0.1"/>
    <n v="864"/>
    <n v="440"/>
    <n v="424"/>
  </r>
  <r>
    <s v="ORD-00490"/>
    <s v="2026-01-11"/>
    <s v="Customer 092"/>
    <x v="3"/>
    <s v="Ball Pen Pack"/>
    <s v="West"/>
    <s v="Mumbai"/>
    <s v="Vikas Singh"/>
    <n v="6"/>
    <n v="120"/>
    <n v="0"/>
    <n v="720"/>
    <n v="330"/>
    <n v="390"/>
  </r>
  <r>
    <s v="ORD-00842"/>
    <s v="2026-01-11"/>
    <s v="Customer 018"/>
    <x v="3"/>
    <s v="Notebook"/>
    <s v="East"/>
    <s v="Kolkata"/>
    <s v="Neha Kulkarni"/>
    <n v="6"/>
    <n v="180"/>
    <n v="0.1"/>
    <n v="972"/>
    <n v="540"/>
    <n v="432"/>
  </r>
  <r>
    <s v="ORD-00497"/>
    <s v="2026-01-12"/>
    <s v="Customer 108"/>
    <x v="0"/>
    <s v="Power Bank"/>
    <s v="West"/>
    <s v="Nashik"/>
    <s v="Priya Patil"/>
    <n v="8"/>
    <n v="1500"/>
    <n v="0.1"/>
    <n v="10800"/>
    <n v="7200"/>
    <n v="3600"/>
  </r>
  <r>
    <s v="ORD-00419"/>
    <s v="2026-01-13"/>
    <s v="Customer 111"/>
    <x v="1"/>
    <s v="Storage Container"/>
    <s v="West"/>
    <s v="Pune"/>
    <s v="Rahul Verma"/>
    <n v="5"/>
    <n v="600"/>
    <n v="0.05"/>
    <n v="2850"/>
    <n v="1650"/>
    <n v="1200"/>
  </r>
  <r>
    <s v="ORD-00663"/>
    <s v="2026-01-13"/>
    <s v="Customer 171"/>
    <x v="3"/>
    <s v="File Folder"/>
    <s v="South"/>
    <s v="Bengaluru"/>
    <s v="Priya Patil"/>
    <n v="6"/>
    <n v="150"/>
    <n v="0"/>
    <n v="900"/>
    <n v="450"/>
    <n v="450"/>
  </r>
  <r>
    <s v="ORD-00685"/>
    <s v="2026-01-13"/>
    <s v="Customer 050"/>
    <x v="1"/>
    <s v="Coffee Mug"/>
    <s v="East"/>
    <s v="Patna"/>
    <s v="Sneha Joshi"/>
    <n v="8"/>
    <n v="350"/>
    <n v="0"/>
    <n v="2800"/>
    <n v="1440"/>
    <n v="1360"/>
  </r>
  <r>
    <s v="ORD-00943"/>
    <s v="2026-01-13"/>
    <s v="Customer 156"/>
    <x v="0"/>
    <s v="Power Bank"/>
    <s v="North"/>
    <s v="Jaipur"/>
    <s v="Neha Kulkarni"/>
    <n v="7"/>
    <n v="1500"/>
    <n v="0.05"/>
    <n v="9975"/>
    <n v="6300"/>
    <n v="3675"/>
  </r>
  <r>
    <s v="ORD-00353"/>
    <s v="2026-01-14"/>
    <s v="Customer 124"/>
    <x v="3"/>
    <s v="Notebook"/>
    <s v="North"/>
    <s v="Delhi"/>
    <s v="Priya Patil"/>
    <n v="6"/>
    <n v="180"/>
    <n v="0"/>
    <n v="1080"/>
    <n v="540"/>
    <n v="540"/>
  </r>
  <r>
    <s v="ORD-00937"/>
    <s v="2026-01-14"/>
    <s v="Customer 157"/>
    <x v="1"/>
    <s v="Coffee Mug"/>
    <s v="South"/>
    <s v="Chennai"/>
    <s v="Rahul Verma"/>
    <n v="8"/>
    <n v="350"/>
    <n v="0.15"/>
    <n v="2380"/>
    <n v="1440"/>
    <n v="940"/>
  </r>
  <r>
    <s v="ORD-00021"/>
    <s v="2026-01-15"/>
    <s v="Customer 062"/>
    <x v="2"/>
    <s v="Yoga Mat"/>
    <s v="South"/>
    <s v="Chennai"/>
    <s v="Vikas Singh"/>
    <n v="6"/>
    <n v="900"/>
    <n v="0.05"/>
    <n v="5130"/>
    <n v="3120"/>
    <n v="2010"/>
  </r>
  <r>
    <s v="ORD-00111"/>
    <s v="2026-01-15"/>
    <s v="Customer 162"/>
    <x v="2"/>
    <s v="Dumbbell Set"/>
    <s v="East"/>
    <s v="Bhubaneswar"/>
    <s v="Sneha Joshi"/>
    <n v="5"/>
    <n v="2200"/>
    <n v="0.05"/>
    <n v="10450"/>
    <n v="7250"/>
    <n v="3200"/>
  </r>
  <r>
    <s v="ORD-00617"/>
    <s v="2026-01-15"/>
    <s v="Customer 106"/>
    <x v="3"/>
    <s v="Ball Pen Pack"/>
    <s v="East"/>
    <s v="Kolkata"/>
    <s v="Sneha Joshi"/>
    <n v="2"/>
    <n v="120"/>
    <n v="0"/>
    <n v="240"/>
    <n v="110"/>
    <n v="130"/>
  </r>
  <r>
    <s v="ORD-00748"/>
    <s v="2026-01-15"/>
    <s v="Customer 068"/>
    <x v="0"/>
    <s v="Wireless Mouse"/>
    <s v="North"/>
    <s v="Chandigarh"/>
    <s v="Amit Sharma"/>
    <n v="9"/>
    <n v="650"/>
    <n v="0"/>
    <n v="5850"/>
    <n v="3420"/>
    <n v="2430"/>
  </r>
  <r>
    <s v="ORD-00477"/>
    <s v="2026-01-16"/>
    <s v="Customer 164"/>
    <x v="0"/>
    <s v="Bluetooth Speaker"/>
    <s v="South"/>
    <s v="Bengaluru"/>
    <s v="Amit Sharma"/>
    <n v="9"/>
    <n v="2200"/>
    <n v="0.05"/>
    <n v="18810"/>
    <n v="12600"/>
    <n v="6210"/>
  </r>
  <r>
    <s v="ORD-00501"/>
    <s v="2026-01-19"/>
    <s v="Customer 129"/>
    <x v="3"/>
    <s v="Ball Pen Pack"/>
    <s v="West"/>
    <s v="Mumbai"/>
    <s v="Priya Patil"/>
    <n v="2"/>
    <n v="120"/>
    <n v="0"/>
    <n v="240"/>
    <n v="110"/>
    <n v="130"/>
  </r>
  <r>
    <s v="ORD-00593"/>
    <s v="2026-01-19"/>
    <s v="Customer 198"/>
    <x v="3"/>
    <s v="Desk Organizer"/>
    <s v="North"/>
    <s v="Delhi"/>
    <s v="Priya Patil"/>
    <n v="3"/>
    <n v="450"/>
    <n v="0"/>
    <n v="1350"/>
    <n v="750"/>
    <n v="600"/>
  </r>
  <r>
    <s v="ORD-00809"/>
    <s v="2026-01-19"/>
    <s v="Customer 078"/>
    <x v="2"/>
    <s v="Skipping Rope"/>
    <s v="South"/>
    <s v="Chennai"/>
    <s v="Amit Sharma"/>
    <n v="4"/>
    <n v="350"/>
    <n v="0.05"/>
    <n v="1330"/>
    <n v="680"/>
    <n v="650"/>
  </r>
  <r>
    <s v="ORD-00833"/>
    <s v="2026-01-19"/>
    <s v="Customer 155"/>
    <x v="3"/>
    <s v="File Folder"/>
    <s v="West"/>
    <s v="Ahmedabad"/>
    <s v="Neha Kulkarni"/>
    <n v="4"/>
    <n v="150"/>
    <n v="0.05"/>
    <n v="570"/>
    <n v="300"/>
    <n v="270"/>
  </r>
  <r>
    <s v="ORD-00043"/>
    <s v="2026-01-20"/>
    <s v="Customer 115"/>
    <x v="0"/>
    <s v="Bluetooth Speaker"/>
    <s v="West"/>
    <s v="Ahmedabad"/>
    <s v="Sneha Joshi"/>
    <n v="1"/>
    <n v="2200"/>
    <n v="0"/>
    <n v="2200"/>
    <n v="1400"/>
    <n v="800"/>
  </r>
  <r>
    <s v="ORD-00573"/>
    <s v="2026-01-20"/>
    <s v="Customer 025"/>
    <x v="0"/>
    <s v="USB-C Hub"/>
    <s v="West"/>
    <s v="Nashik"/>
    <s v="Priya Patil"/>
    <n v="8"/>
    <n v="1800"/>
    <n v="0.05"/>
    <n v="13680"/>
    <n v="8800"/>
    <n v="4880"/>
  </r>
  <r>
    <s v="ORD-00017"/>
    <s v="2026-01-21"/>
    <s v="Customer 171"/>
    <x v="3"/>
    <s v="File Folder"/>
    <s v="North"/>
    <s v="Delhi"/>
    <s v="Vikas Singh"/>
    <n v="7"/>
    <n v="150"/>
    <n v="0.05"/>
    <n v="997.5"/>
    <n v="525"/>
    <n v="472.5"/>
  </r>
  <r>
    <s v="ORD-00074"/>
    <s v="2026-01-21"/>
    <s v="Customer 159"/>
    <x v="1"/>
    <s v="Water Bottle"/>
    <s v="North"/>
    <s v="Lucknow"/>
    <s v="Amit Sharma"/>
    <n v="9"/>
    <n v="550"/>
    <n v="0"/>
    <n v="4950"/>
    <n v="2700"/>
    <n v="2250"/>
  </r>
  <r>
    <s v="ORD-00259"/>
    <s v="2026-01-21"/>
    <s v="Customer 086"/>
    <x v="0"/>
    <s v="Keyboard"/>
    <s v="East"/>
    <s v="Bhubaneswar"/>
    <s v="Sneha Joshi"/>
    <n v="7"/>
    <n v="1200"/>
    <n v="0"/>
    <n v="8400"/>
    <n v="5040"/>
    <n v="3360"/>
  </r>
  <r>
    <s v="ORD-00254"/>
    <s v="2026-01-22"/>
    <s v="Customer 030"/>
    <x v="3"/>
    <s v="File Folder"/>
    <s v="West"/>
    <s v="Ahmedabad"/>
    <s v="Vikas Singh"/>
    <n v="8"/>
    <n v="150"/>
    <n v="0.1"/>
    <n v="1080"/>
    <n v="600"/>
    <n v="480"/>
  </r>
  <r>
    <s v="ORD-00539"/>
    <s v="2026-01-22"/>
    <s v="Customer 174"/>
    <x v="0"/>
    <s v="Keyboard"/>
    <s v="North"/>
    <s v="Delhi"/>
    <s v="Neha Kulkarni"/>
    <n v="4"/>
    <n v="1200"/>
    <n v="0.1"/>
    <n v="4320"/>
    <n v="2880"/>
    <n v="1440"/>
  </r>
  <r>
    <s v="ORD-00619"/>
    <s v="2026-01-22"/>
    <s v="Customer 016"/>
    <x v="3"/>
    <s v="Ball Pen Pack"/>
    <s v="North"/>
    <s v="Chandigarh"/>
    <s v="Neha Kulkarni"/>
    <n v="8"/>
    <n v="120"/>
    <n v="0.05"/>
    <n v="912"/>
    <n v="440"/>
    <n v="472"/>
  </r>
  <r>
    <s v="ORD-00703"/>
    <s v="2026-01-22"/>
    <s v="Customer 111"/>
    <x v="0"/>
    <s v="Bluetooth Speaker"/>
    <s v="South"/>
    <s v="Hyderabad"/>
    <s v="Neha Kulkarni"/>
    <n v="3"/>
    <n v="2200"/>
    <n v="0.1"/>
    <n v="5940"/>
    <n v="4200"/>
    <n v="1740"/>
  </r>
  <r>
    <s v="ORD-00077"/>
    <s v="2026-01-23"/>
    <s v="Customer 161"/>
    <x v="0"/>
    <s v="Bluetooth Speaker"/>
    <s v="East"/>
    <s v="Kolkata"/>
    <s v="Vikas Singh"/>
    <n v="9"/>
    <n v="2200"/>
    <n v="0"/>
    <n v="19800"/>
    <n v="12600"/>
    <n v="7200"/>
  </r>
  <r>
    <s v="ORD-00478"/>
    <s v="2026-01-23"/>
    <s v="Customer 074"/>
    <x v="2"/>
    <s v="Resistance Bands"/>
    <s v="East"/>
    <s v="Ranchi"/>
    <s v="Priya Patil"/>
    <n v="6"/>
    <n v="650"/>
    <n v="0.15"/>
    <n v="3315"/>
    <n v="2100"/>
    <n v="1215"/>
  </r>
  <r>
    <s v="ORD-00725"/>
    <s v="2026-01-24"/>
    <s v="Customer 151"/>
    <x v="1"/>
    <s v="Lunch Box"/>
    <s v="South"/>
    <s v="Bengaluru"/>
    <s v="Neha Kulkarni"/>
    <n v="10"/>
    <n v="700"/>
    <n v="0.1"/>
    <n v="6300"/>
    <n v="4000"/>
    <n v="2300"/>
  </r>
  <r>
    <s v="ORD-00891"/>
    <s v="2026-01-24"/>
    <s v="Customer 085"/>
    <x v="2"/>
    <s v="Yoga Mat"/>
    <s v="East"/>
    <s v="Bhubaneswar"/>
    <s v="Sneha Joshi"/>
    <n v="7"/>
    <n v="900"/>
    <n v="0.1"/>
    <n v="5670"/>
    <n v="3640"/>
    <n v="2030"/>
  </r>
  <r>
    <s v="ORD-00941"/>
    <s v="2026-01-24"/>
    <s v="Customer 097"/>
    <x v="3"/>
    <s v="Notebook"/>
    <s v="West"/>
    <s v="Nashik"/>
    <s v="Rahul Verma"/>
    <n v="3"/>
    <n v="180"/>
    <n v="0"/>
    <n v="540"/>
    <n v="270"/>
    <n v="270"/>
  </r>
  <r>
    <s v="ORD-00403"/>
    <s v="2026-01-25"/>
    <s v="Customer 137"/>
    <x v="3"/>
    <s v="Stapler"/>
    <s v="East"/>
    <s v="Kolkata"/>
    <s v="Rahul Verma"/>
    <n v="9"/>
    <n v="280"/>
    <n v="0"/>
    <n v="2520"/>
    <n v="1350"/>
    <n v="1170"/>
  </r>
  <r>
    <s v="ORD-00847"/>
    <s v="2026-01-25"/>
    <s v="Customer 137"/>
    <x v="3"/>
    <s v="File Folder"/>
    <s v="North"/>
    <s v="Delhi"/>
    <s v="Vikas Singh"/>
    <n v="10"/>
    <n v="150"/>
    <n v="0.05"/>
    <n v="1425"/>
    <n v="750"/>
    <n v="675"/>
  </r>
  <r>
    <s v="ORD-00845"/>
    <s v="2026-01-26"/>
    <s v="Customer 024"/>
    <x v="1"/>
    <s v="Lunch Box"/>
    <s v="West"/>
    <s v="Nashik"/>
    <s v="Vikas Singh"/>
    <n v="5"/>
    <n v="700"/>
    <n v="0"/>
    <n v="3500"/>
    <n v="2000"/>
    <n v="1500"/>
  </r>
  <r>
    <s v="ORD-00347"/>
    <s v="2026-01-27"/>
    <s v="Customer 069"/>
    <x v="2"/>
    <s v="Dumbbell Set"/>
    <s v="South"/>
    <s v="Chennai"/>
    <s v="Sneha Joshi"/>
    <n v="2"/>
    <n v="2200"/>
    <n v="0.05"/>
    <n v="4180"/>
    <n v="2900"/>
    <n v="1280"/>
  </r>
  <r>
    <s v="ORD-00029"/>
    <s v="2026-01-29"/>
    <s v="Customer 159"/>
    <x v="1"/>
    <s v="Coffee Mug"/>
    <s v="East"/>
    <s v="Kolkata"/>
    <s v="Neha Kulkarni"/>
    <n v="9"/>
    <n v="350"/>
    <n v="0"/>
    <n v="3150"/>
    <n v="1620"/>
    <n v="1530"/>
  </r>
  <r>
    <s v="ORD-00090"/>
    <s v="2026-01-29"/>
    <s v="Customer 183"/>
    <x v="3"/>
    <s v="Desk Organizer"/>
    <s v="South"/>
    <s v="Kochi"/>
    <s v="Rahul Verma"/>
    <n v="3"/>
    <n v="450"/>
    <n v="0.05"/>
    <n v="1282.5"/>
    <n v="750"/>
    <n v="532.5"/>
  </r>
  <r>
    <s v="ORD-00289"/>
    <s v="2026-01-29"/>
    <s v="Customer 086"/>
    <x v="1"/>
    <s v="Kitchen Scale"/>
    <s v="North"/>
    <s v="Chandigarh"/>
    <s v="Neha Kulkarni"/>
    <n v="8"/>
    <n v="950"/>
    <n v="0.05"/>
    <n v="7220"/>
    <n v="4480"/>
    <n v="2740"/>
  </r>
  <r>
    <s v="ORD-00462"/>
    <s v="2026-01-29"/>
    <s v="Customer 002"/>
    <x v="2"/>
    <s v="Skipping Rope"/>
    <s v="South"/>
    <s v="Hyderabad"/>
    <s v="Neha Kulkarni"/>
    <n v="9"/>
    <n v="350"/>
    <n v="0"/>
    <n v="3150"/>
    <n v="1530"/>
    <n v="1620"/>
  </r>
  <r>
    <s v="ORD-00481"/>
    <s v="2026-01-29"/>
    <s v="Customer 111"/>
    <x v="0"/>
    <s v="Bluetooth Speaker"/>
    <s v="West"/>
    <s v="Ahmedabad"/>
    <s v="Sneha Joshi"/>
    <n v="7"/>
    <n v="2200"/>
    <n v="0"/>
    <n v="15400"/>
    <n v="9800"/>
    <n v="5600"/>
  </r>
  <r>
    <s v="ORD-00924"/>
    <s v="2026-01-29"/>
    <s v="Customer 190"/>
    <x v="3"/>
    <s v="Desk Organizer"/>
    <s v="West"/>
    <s v="Nashik"/>
    <s v="Neha Kulkarni"/>
    <n v="8"/>
    <n v="450"/>
    <n v="0.05"/>
    <n v="3420"/>
    <n v="2000"/>
    <n v="1420"/>
  </r>
  <r>
    <s v="ORD-00115"/>
    <s v="2026-01-31"/>
    <s v="Customer 145"/>
    <x v="2"/>
    <s v="Gym Gloves"/>
    <s v="North"/>
    <s v="Delhi"/>
    <s v="Amit Sharma"/>
    <n v="7"/>
    <n v="500"/>
    <n v="0"/>
    <n v="3500"/>
    <n v="1960"/>
    <n v="1540"/>
  </r>
  <r>
    <s v="ORD-00233"/>
    <s v="2026-01-31"/>
    <s v="Customer 012"/>
    <x v="2"/>
    <s v="Resistance Bands"/>
    <s v="North"/>
    <s v="Chandigarh"/>
    <s v="Vikas Singh"/>
    <n v="5"/>
    <n v="650"/>
    <n v="0.1"/>
    <n v="2925"/>
    <n v="1750"/>
    <n v="1175"/>
  </r>
  <r>
    <s v="ORD-00286"/>
    <s v="2026-01-31"/>
    <s v="Customer 059"/>
    <x v="0"/>
    <s v="Keyboard"/>
    <s v="South"/>
    <s v="Bengaluru"/>
    <s v="Neha Kulkarni"/>
    <n v="8"/>
    <n v="1200"/>
    <n v="0.05"/>
    <n v="9120"/>
    <n v="5760"/>
    <n v="3360"/>
  </r>
  <r>
    <s v="ORD-00360"/>
    <s v="2026-01-31"/>
    <s v="Customer 091"/>
    <x v="3"/>
    <s v="Stapler"/>
    <s v="North"/>
    <s v="Lucknow"/>
    <s v="Neha Kulkarni"/>
    <n v="10"/>
    <n v="280"/>
    <n v="0.05"/>
    <n v="2660"/>
    <n v="1500"/>
    <n v="1160"/>
  </r>
  <r>
    <s v="ORD-00050"/>
    <s v="2026-02-01"/>
    <s v="Customer 144"/>
    <x v="2"/>
    <s v="Gym Gloves"/>
    <s v="North"/>
    <s v="Delhi"/>
    <s v="Rahul Verma"/>
    <n v="7"/>
    <n v="500"/>
    <n v="0"/>
    <n v="3500"/>
    <n v="1960"/>
    <n v="1540"/>
  </r>
  <r>
    <s v="ORD-00200"/>
    <s v="2026-02-01"/>
    <s v="Customer 150"/>
    <x v="3"/>
    <s v="Notebook"/>
    <s v="West"/>
    <s v="Pune"/>
    <s v="Priya Patil"/>
    <n v="1"/>
    <n v="180"/>
    <n v="0.1"/>
    <n v="162"/>
    <n v="90"/>
    <n v="72"/>
  </r>
  <r>
    <s v="ORD-00314"/>
    <s v="2026-02-01"/>
    <s v="Customer 120"/>
    <x v="1"/>
    <s v="Lunch Box"/>
    <s v="East"/>
    <s v="Ranchi"/>
    <s v="Neha Kulkarni"/>
    <n v="7"/>
    <n v="700"/>
    <n v="0"/>
    <n v="4900"/>
    <n v="2800"/>
    <n v="2100"/>
  </r>
  <r>
    <s v="ORD-00384"/>
    <s v="2026-02-01"/>
    <s v="Customer 048"/>
    <x v="3"/>
    <s v="Ball Pen Pack"/>
    <s v="East"/>
    <s v="Bhubaneswar"/>
    <s v="Sneha Joshi"/>
    <n v="1"/>
    <n v="120"/>
    <n v="0.1"/>
    <n v="108"/>
    <n v="55"/>
    <n v="53"/>
  </r>
  <r>
    <s v="ORD-00647"/>
    <s v="2026-02-01"/>
    <s v="Customer 102"/>
    <x v="1"/>
    <s v="Lunch Box"/>
    <s v="South"/>
    <s v="Bengaluru"/>
    <s v="Neha Kulkarni"/>
    <n v="4"/>
    <n v="700"/>
    <n v="0"/>
    <n v="2800"/>
    <n v="1600"/>
    <n v="1200"/>
  </r>
  <r>
    <s v="ORD-00859"/>
    <s v="2026-02-01"/>
    <s v="Customer 138"/>
    <x v="1"/>
    <s v="Coffee Mug"/>
    <s v="West"/>
    <s v="Mumbai"/>
    <s v="Vikas Singh"/>
    <n v="9"/>
    <n v="350"/>
    <n v="0"/>
    <n v="3150"/>
    <n v="1620"/>
    <n v="1530"/>
  </r>
  <r>
    <s v="ORD-00334"/>
    <s v="2026-02-03"/>
    <s v="Customer 190"/>
    <x v="3"/>
    <s v="Ball Pen Pack"/>
    <s v="North"/>
    <s v="Lucknow"/>
    <s v="Amit Sharma"/>
    <n v="10"/>
    <n v="120"/>
    <n v="0"/>
    <n v="1200"/>
    <n v="550"/>
    <n v="650"/>
  </r>
  <r>
    <s v="ORD-00370"/>
    <s v="2026-02-03"/>
    <s v="Customer 165"/>
    <x v="3"/>
    <s v="File Folder"/>
    <s v="East"/>
    <s v="Kolkata"/>
    <s v="Sneha Joshi"/>
    <n v="8"/>
    <n v="150"/>
    <n v="0"/>
    <n v="1200"/>
    <n v="600"/>
    <n v="600"/>
  </r>
  <r>
    <s v="ORD-00429"/>
    <s v="2026-02-03"/>
    <s v="Customer 070"/>
    <x v="2"/>
    <s v="Dumbbell Set"/>
    <s v="West"/>
    <s v="Mumbai"/>
    <s v="Amit Sharma"/>
    <n v="2"/>
    <n v="2200"/>
    <n v="0.1"/>
    <n v="3960"/>
    <n v="2900"/>
    <n v="1060"/>
  </r>
  <r>
    <s v="ORD-00560"/>
    <s v="2026-02-03"/>
    <s v="Customer 189"/>
    <x v="1"/>
    <s v="Lunch Box"/>
    <s v="North"/>
    <s v="Lucknow"/>
    <s v="Priya Patil"/>
    <n v="7"/>
    <n v="700"/>
    <n v="0"/>
    <n v="4900"/>
    <n v="2800"/>
    <n v="2100"/>
  </r>
  <r>
    <s v="ORD-00844"/>
    <s v="2026-02-03"/>
    <s v="Customer 002"/>
    <x v="1"/>
    <s v="Water Bottle"/>
    <s v="East"/>
    <s v="Bhubaneswar"/>
    <s v="Neha Kulkarni"/>
    <n v="6"/>
    <n v="550"/>
    <n v="0"/>
    <n v="3300"/>
    <n v="1800"/>
    <n v="1500"/>
  </r>
  <r>
    <s v="ORD-00117"/>
    <s v="2026-02-04"/>
    <s v="Customer 033"/>
    <x v="2"/>
    <s v="Skipping Rope"/>
    <s v="East"/>
    <s v="Bhubaneswar"/>
    <s v="Sneha Joshi"/>
    <n v="4"/>
    <n v="350"/>
    <n v="0.1"/>
    <n v="1260"/>
    <n v="680"/>
    <n v="580"/>
  </r>
  <r>
    <s v="ORD-00330"/>
    <s v="2026-02-05"/>
    <s v="Customer 013"/>
    <x v="2"/>
    <s v="Yoga Mat"/>
    <s v="South"/>
    <s v="Bengaluru"/>
    <s v="Priya Patil"/>
    <n v="7"/>
    <n v="900"/>
    <n v="0"/>
    <n v="6300"/>
    <n v="3640"/>
    <n v="2660"/>
  </r>
  <r>
    <s v="ORD-00119"/>
    <s v="2026-02-06"/>
    <s v="Customer 047"/>
    <x v="1"/>
    <s v="Kitchen Scale"/>
    <s v="South"/>
    <s v="Hyderabad"/>
    <s v="Sneha Joshi"/>
    <n v="1"/>
    <n v="950"/>
    <n v="0"/>
    <n v="950"/>
    <n v="560"/>
    <n v="390"/>
  </r>
  <r>
    <s v="ORD-00239"/>
    <s v="2026-02-06"/>
    <s v="Customer 071"/>
    <x v="0"/>
    <s v="USB-C Hub"/>
    <s v="South"/>
    <s v="Chennai"/>
    <s v="Amit Sharma"/>
    <n v="10"/>
    <n v="1800"/>
    <n v="0.1"/>
    <n v="16200"/>
    <n v="11000"/>
    <n v="5200"/>
  </r>
  <r>
    <s v="ORD-00512"/>
    <s v="2026-02-06"/>
    <s v="Customer 124"/>
    <x v="3"/>
    <s v="Ball Pen Pack"/>
    <s v="North"/>
    <s v="Chandigarh"/>
    <s v="Priya Patil"/>
    <n v="1"/>
    <n v="120"/>
    <n v="0"/>
    <n v="120"/>
    <n v="55"/>
    <n v="65"/>
  </r>
  <r>
    <s v="ORD-00628"/>
    <s v="2026-02-06"/>
    <s v="Customer 057"/>
    <x v="3"/>
    <s v="Ball Pen Pack"/>
    <s v="West"/>
    <s v="Nashik"/>
    <s v="Neha Kulkarni"/>
    <n v="4"/>
    <n v="120"/>
    <n v="0"/>
    <n v="480"/>
    <n v="220"/>
    <n v="260"/>
  </r>
  <r>
    <s v="ORD-00496"/>
    <s v="2026-02-07"/>
    <s v="Customer 046"/>
    <x v="3"/>
    <s v="Notebook"/>
    <s v="West"/>
    <s v="Nashik"/>
    <s v="Sneha Joshi"/>
    <n v="5"/>
    <n v="180"/>
    <n v="0"/>
    <n v="900"/>
    <n v="450"/>
    <n v="450"/>
  </r>
  <r>
    <s v="ORD-00554"/>
    <s v="2026-02-07"/>
    <s v="Customer 187"/>
    <x v="2"/>
    <s v="Dumbbell Set"/>
    <s v="East"/>
    <s v="Patna"/>
    <s v="Neha Kulkarni"/>
    <n v="8"/>
    <n v="2200"/>
    <n v="0"/>
    <n v="17600"/>
    <n v="11600"/>
    <n v="6000"/>
  </r>
  <r>
    <s v="ORD-00907"/>
    <s v="2026-02-07"/>
    <s v="Customer 064"/>
    <x v="0"/>
    <s v="Keyboard"/>
    <s v="West"/>
    <s v="Nashik"/>
    <s v="Rahul Verma"/>
    <n v="10"/>
    <n v="1200"/>
    <n v="0"/>
    <n v="12000"/>
    <n v="7200"/>
    <n v="4800"/>
  </r>
  <r>
    <s v="ORD-00316"/>
    <s v="2026-02-08"/>
    <s v="Customer 178"/>
    <x v="3"/>
    <s v="Notebook"/>
    <s v="West"/>
    <s v="Ahmedabad"/>
    <s v="Vikas Singh"/>
    <n v="9"/>
    <n v="180"/>
    <n v="0"/>
    <n v="1620"/>
    <n v="810"/>
    <n v="810"/>
  </r>
  <r>
    <s v="ORD-00870"/>
    <s v="2026-02-08"/>
    <s v="Customer 101"/>
    <x v="3"/>
    <s v="Desk Organizer"/>
    <s v="South"/>
    <s v="Chennai"/>
    <s v="Priya Patil"/>
    <n v="7"/>
    <n v="450"/>
    <n v="0.1"/>
    <n v="2835"/>
    <n v="1750"/>
    <n v="1085"/>
  </r>
  <r>
    <s v="ORD-00946"/>
    <s v="2026-02-09"/>
    <s v="Customer 139"/>
    <x v="0"/>
    <s v="USB-C Hub"/>
    <s v="East"/>
    <s v="Ranchi"/>
    <s v="Neha Kulkarni"/>
    <n v="7"/>
    <n v="1800"/>
    <n v="0"/>
    <n v="12600"/>
    <n v="7700"/>
    <n v="4900"/>
  </r>
  <r>
    <s v="ORD-00438"/>
    <s v="2026-02-10"/>
    <s v="Customer 099"/>
    <x v="1"/>
    <s v="Water Bottle"/>
    <s v="South"/>
    <s v="Kochi"/>
    <s v="Amit Sharma"/>
    <n v="4"/>
    <n v="550"/>
    <n v="0.1"/>
    <n v="1980"/>
    <n v="1200"/>
    <n v="780"/>
  </r>
  <r>
    <s v="ORD-00780"/>
    <s v="2026-02-11"/>
    <s v="Customer 161"/>
    <x v="0"/>
    <s v="Bluetooth Speaker"/>
    <s v="West"/>
    <s v="Nashik"/>
    <s v="Vikas Singh"/>
    <n v="2"/>
    <n v="2200"/>
    <n v="0.15"/>
    <n v="3740"/>
    <n v="2800"/>
    <n v="940"/>
  </r>
  <r>
    <s v="ORD-00146"/>
    <s v="2026-02-12"/>
    <s v="Customer 153"/>
    <x v="3"/>
    <s v="Ball Pen Pack"/>
    <s v="East"/>
    <s v="Kolkata"/>
    <s v="Neha Kulkarni"/>
    <n v="6"/>
    <n v="120"/>
    <n v="0"/>
    <n v="720"/>
    <n v="330"/>
    <n v="390"/>
  </r>
  <r>
    <s v="ORD-00377"/>
    <s v="2026-02-12"/>
    <s v="Customer 049"/>
    <x v="0"/>
    <s v="Bluetooth Speaker"/>
    <s v="West"/>
    <s v="Mumbai"/>
    <s v="Vikas Singh"/>
    <n v="6"/>
    <n v="2200"/>
    <n v="0.05"/>
    <n v="12540"/>
    <n v="8400"/>
    <n v="4140"/>
  </r>
  <r>
    <s v="ORD-00803"/>
    <s v="2026-02-12"/>
    <s v="Customer 149"/>
    <x v="0"/>
    <s v="Power Bank"/>
    <s v="East"/>
    <s v="Patna"/>
    <s v="Amit Sharma"/>
    <n v="7"/>
    <n v="1500"/>
    <n v="0.15"/>
    <n v="8925"/>
    <n v="6300"/>
    <n v="2625"/>
  </r>
  <r>
    <s v="ORD-00195"/>
    <s v="2026-02-13"/>
    <s v="Customer 176"/>
    <x v="0"/>
    <s v="Wireless Mouse"/>
    <s v="North"/>
    <s v="Chandigarh"/>
    <s v="Amit Sharma"/>
    <n v="4"/>
    <n v="650"/>
    <n v="0"/>
    <n v="2600"/>
    <n v="1520"/>
    <n v="1080"/>
  </r>
  <r>
    <s v="ORD-00587"/>
    <s v="2026-02-13"/>
    <s v="Customer 081"/>
    <x v="2"/>
    <s v="Yoga Mat"/>
    <s v="West"/>
    <s v="Pune"/>
    <s v="Neha Kulkarni"/>
    <n v="10"/>
    <n v="900"/>
    <n v="0"/>
    <n v="9000"/>
    <n v="5200"/>
    <n v="3800"/>
  </r>
  <r>
    <s v="ORD-00976"/>
    <s v="2026-02-13"/>
    <s v="Customer 038"/>
    <x v="3"/>
    <s v="Stapler"/>
    <s v="North"/>
    <s v="Chandigarh"/>
    <s v="Vikas Singh"/>
    <n v="1"/>
    <n v="280"/>
    <n v="0.05"/>
    <n v="266"/>
    <n v="150"/>
    <n v="116"/>
  </r>
  <r>
    <s v="ORD-00460"/>
    <s v="2026-02-15"/>
    <s v="Customer 083"/>
    <x v="2"/>
    <s v="Dumbbell Set"/>
    <s v="East"/>
    <s v="Patna"/>
    <s v="Vikas Singh"/>
    <n v="3"/>
    <n v="2200"/>
    <n v="0.05"/>
    <n v="6270"/>
    <n v="4350"/>
    <n v="1920"/>
  </r>
  <r>
    <s v="ORD-00832"/>
    <s v="2026-02-15"/>
    <s v="Customer 176"/>
    <x v="2"/>
    <s v="Skipping Rope"/>
    <s v="South"/>
    <s v="Chennai"/>
    <s v="Neha Kulkarni"/>
    <n v="4"/>
    <n v="350"/>
    <n v="0"/>
    <n v="1400"/>
    <n v="680"/>
    <n v="720"/>
  </r>
  <r>
    <s v="ORD-00767"/>
    <s v="2026-02-16"/>
    <s v="Customer 010"/>
    <x v="0"/>
    <s v="Keyboard"/>
    <s v="East"/>
    <s v="Bhubaneswar"/>
    <s v="Priya Patil"/>
    <n v="7"/>
    <n v="1200"/>
    <n v="0"/>
    <n v="8400"/>
    <n v="5040"/>
    <n v="3360"/>
  </r>
  <r>
    <s v="ORD-00874"/>
    <s v="2026-02-16"/>
    <s v="Customer 146"/>
    <x v="0"/>
    <s v="Bluetooth Speaker"/>
    <s v="East"/>
    <s v="Ranchi"/>
    <s v="Neha Kulkarni"/>
    <n v="4"/>
    <n v="2200"/>
    <n v="0.1"/>
    <n v="7920"/>
    <n v="5600"/>
    <n v="2320"/>
  </r>
  <r>
    <s v="ORD-00004"/>
    <s v="2026-02-17"/>
    <s v="Customer 188"/>
    <x v="1"/>
    <s v="Kitchen Scale"/>
    <s v="East"/>
    <s v="Kolkata"/>
    <s v="Neha Kulkarni"/>
    <n v="1"/>
    <n v="950"/>
    <n v="0.05"/>
    <n v="902.5"/>
    <n v="560"/>
    <n v="342.5"/>
  </r>
  <r>
    <s v="ORD-00175"/>
    <s v="2026-02-17"/>
    <s v="Customer 009"/>
    <x v="0"/>
    <s v="Power Bank"/>
    <s v="West"/>
    <s v="Nashik"/>
    <s v="Amit Sharma"/>
    <n v="9"/>
    <n v="1500"/>
    <n v="0.1"/>
    <n v="12150"/>
    <n v="8100"/>
    <n v="4050"/>
  </r>
  <r>
    <s v="ORD-00796"/>
    <s v="2026-02-17"/>
    <s v="Customer 080"/>
    <x v="1"/>
    <s v="Storage Container"/>
    <s v="West"/>
    <s v="Mumbai"/>
    <s v="Sneha Joshi"/>
    <n v="2"/>
    <n v="600"/>
    <n v="0.05"/>
    <n v="1140"/>
    <n v="660"/>
    <n v="480"/>
  </r>
  <r>
    <s v="ORD-00894"/>
    <s v="2026-02-17"/>
    <s v="Customer 157"/>
    <x v="0"/>
    <s v="Keyboard"/>
    <s v="South"/>
    <s v="Hyderabad"/>
    <s v="Sneha Joshi"/>
    <n v="3"/>
    <n v="1200"/>
    <n v="0.05"/>
    <n v="3420"/>
    <n v="2160"/>
    <n v="1260"/>
  </r>
  <r>
    <s v="ORD-00939"/>
    <s v="2026-02-18"/>
    <s v="Customer 015"/>
    <x v="0"/>
    <s v="Bluetooth Speaker"/>
    <s v="South"/>
    <s v="Chennai"/>
    <s v="Rahul Verma"/>
    <n v="9"/>
    <n v="2200"/>
    <n v="0.05"/>
    <n v="18810"/>
    <n v="12600"/>
    <n v="6210"/>
  </r>
  <r>
    <s v="ORD-00881"/>
    <s v="2026-02-19"/>
    <s v="Customer 075"/>
    <x v="1"/>
    <s v="Kitchen Scale"/>
    <s v="South"/>
    <s v="Bengaluru"/>
    <s v="Neha Kulkarni"/>
    <n v="4"/>
    <n v="950"/>
    <n v="0.05"/>
    <n v="3610"/>
    <n v="2240"/>
    <n v="1370"/>
  </r>
  <r>
    <s v="ORD-00072"/>
    <s v="2026-02-20"/>
    <s v="Customer 160"/>
    <x v="0"/>
    <s v="Wireless Mouse"/>
    <s v="North"/>
    <s v="Delhi"/>
    <s v="Vikas Singh"/>
    <n v="6"/>
    <n v="650"/>
    <n v="0.1"/>
    <n v="3510"/>
    <n v="2280"/>
    <n v="1230"/>
  </r>
  <r>
    <s v="ORD-00148"/>
    <s v="2026-02-20"/>
    <s v="Customer 145"/>
    <x v="1"/>
    <s v="Storage Container"/>
    <s v="West"/>
    <s v="Mumbai"/>
    <s v="Priya Patil"/>
    <n v="5"/>
    <n v="600"/>
    <n v="0"/>
    <n v="3000"/>
    <n v="1650"/>
    <n v="1350"/>
  </r>
  <r>
    <s v="ORD-00265"/>
    <s v="2026-02-20"/>
    <s v="Customer 188"/>
    <x v="0"/>
    <s v="Power Bank"/>
    <s v="North"/>
    <s v="Chandigarh"/>
    <s v="Sneha Joshi"/>
    <n v="9"/>
    <n v="1500"/>
    <n v="0"/>
    <n v="13500"/>
    <n v="8100"/>
    <n v="5400"/>
  </r>
  <r>
    <s v="ORD-00302"/>
    <s v="2026-02-20"/>
    <s v="Customer 094"/>
    <x v="1"/>
    <s v="Coffee Mug"/>
    <s v="North"/>
    <s v="Delhi"/>
    <s v="Amit Sharma"/>
    <n v="4"/>
    <n v="350"/>
    <n v="0.05"/>
    <n v="1330"/>
    <n v="720"/>
    <n v="610"/>
  </r>
  <r>
    <s v="ORD-00641"/>
    <s v="2026-02-20"/>
    <s v="Customer 171"/>
    <x v="1"/>
    <s v="Storage Container"/>
    <s v="South"/>
    <s v="Hyderabad"/>
    <s v="Vikas Singh"/>
    <n v="3"/>
    <n v="600"/>
    <n v="0.05"/>
    <n v="1710"/>
    <n v="990"/>
    <n v="720"/>
  </r>
  <r>
    <s v="ORD-00224"/>
    <s v="2026-02-22"/>
    <s v="Customer 034"/>
    <x v="1"/>
    <s v="Kitchen Scale"/>
    <s v="East"/>
    <s v="Bhubaneswar"/>
    <s v="Amit Sharma"/>
    <n v="5"/>
    <n v="950"/>
    <n v="0.15"/>
    <n v="4037.5"/>
    <n v="2800"/>
    <n v="1237.5"/>
  </r>
  <r>
    <s v="ORD-00386"/>
    <s v="2026-02-22"/>
    <s v="Customer 004"/>
    <x v="3"/>
    <s v="Notebook"/>
    <s v="South"/>
    <s v="Bengaluru"/>
    <s v="Vikas Singh"/>
    <n v="2"/>
    <n v="180"/>
    <n v="0"/>
    <n v="360"/>
    <n v="180"/>
    <n v="180"/>
  </r>
  <r>
    <s v="ORD-00176"/>
    <s v="2026-02-23"/>
    <s v="Customer 090"/>
    <x v="1"/>
    <s v="Lunch Box"/>
    <s v="North"/>
    <s v="Chandigarh"/>
    <s v="Priya Patil"/>
    <n v="6"/>
    <n v="700"/>
    <n v="0"/>
    <n v="4200"/>
    <n v="2400"/>
    <n v="1800"/>
  </r>
  <r>
    <s v="ORD-00523"/>
    <s v="2026-02-23"/>
    <s v="Customer 134"/>
    <x v="3"/>
    <s v="Desk Organizer"/>
    <s v="South"/>
    <s v="Bengaluru"/>
    <s v="Amit Sharma"/>
    <n v="8"/>
    <n v="450"/>
    <n v="0.1"/>
    <n v="3240"/>
    <n v="2000"/>
    <n v="1240"/>
  </r>
  <r>
    <s v="ORD-00576"/>
    <s v="2026-02-23"/>
    <s v="Customer 183"/>
    <x v="1"/>
    <s v="Coffee Mug"/>
    <s v="East"/>
    <s v="Ranchi"/>
    <s v="Amit Sharma"/>
    <n v="7"/>
    <n v="350"/>
    <n v="0"/>
    <n v="2450"/>
    <n v="1260"/>
    <n v="1190"/>
  </r>
  <r>
    <s v="ORD-00318"/>
    <s v="2026-02-24"/>
    <s v="Customer 017"/>
    <x v="0"/>
    <s v="Bluetooth Speaker"/>
    <s v="North"/>
    <s v="Lucknow"/>
    <s v="Priya Patil"/>
    <n v="9"/>
    <n v="2200"/>
    <n v="0.1"/>
    <n v="17820"/>
    <n v="12600"/>
    <n v="5220"/>
  </r>
  <r>
    <s v="ORD-00404"/>
    <s v="2026-02-24"/>
    <s v="Customer 198"/>
    <x v="2"/>
    <s v="Dumbbell Set"/>
    <s v="East"/>
    <s v="Bhubaneswar"/>
    <s v="Sneha Joshi"/>
    <n v="3"/>
    <n v="2200"/>
    <n v="0"/>
    <n v="6600"/>
    <n v="4350"/>
    <n v="2250"/>
  </r>
  <r>
    <s v="ORD-00470"/>
    <s v="2026-02-24"/>
    <s v="Customer 071"/>
    <x v="1"/>
    <s v="Coffee Mug"/>
    <s v="North"/>
    <s v="Chandigarh"/>
    <s v="Rahul Verma"/>
    <n v="9"/>
    <n v="350"/>
    <n v="0"/>
    <n v="3150"/>
    <n v="1620"/>
    <n v="1530"/>
  </r>
  <r>
    <s v="ORD-00853"/>
    <s v="2026-02-24"/>
    <s v="Customer 131"/>
    <x v="0"/>
    <s v="Bluetooth Speaker"/>
    <s v="North"/>
    <s v="Delhi"/>
    <s v="Priya Patil"/>
    <n v="1"/>
    <n v="2200"/>
    <n v="0"/>
    <n v="2200"/>
    <n v="1400"/>
    <n v="800"/>
  </r>
  <r>
    <s v="ORD-00965"/>
    <s v="2026-02-24"/>
    <s v="Customer 011"/>
    <x v="1"/>
    <s v="Water Bottle"/>
    <s v="South"/>
    <s v="Chennai"/>
    <s v="Neha Kulkarni"/>
    <n v="10"/>
    <n v="550"/>
    <n v="0"/>
    <n v="5500"/>
    <n v="3000"/>
    <n v="2500"/>
  </r>
  <r>
    <s v="ORD-00108"/>
    <s v="2026-02-25"/>
    <s v="Customer 010"/>
    <x v="3"/>
    <s v="File Folder"/>
    <s v="West"/>
    <s v="Nashik"/>
    <s v="Vikas Singh"/>
    <n v="3"/>
    <n v="150"/>
    <n v="0"/>
    <n v="450"/>
    <n v="225"/>
    <n v="225"/>
  </r>
  <r>
    <s v="ORD-00222"/>
    <s v="2026-02-25"/>
    <s v="Customer 151"/>
    <x v="2"/>
    <s v="Resistance Bands"/>
    <s v="West"/>
    <s v="Mumbai"/>
    <s v="Sneha Joshi"/>
    <n v="7"/>
    <n v="650"/>
    <n v="0.05"/>
    <n v="4322.5"/>
    <n v="2450"/>
    <n v="1872.5"/>
  </r>
  <r>
    <s v="ORD-00786"/>
    <s v="2026-02-25"/>
    <s v="Customer 143"/>
    <x v="3"/>
    <s v="Desk Organizer"/>
    <s v="North"/>
    <s v="Chandigarh"/>
    <s v="Priya Patil"/>
    <n v="9"/>
    <n v="450"/>
    <n v="0"/>
    <n v="4050"/>
    <n v="2250"/>
    <n v="1800"/>
  </r>
  <r>
    <s v="ORD-00016"/>
    <s v="2026-02-26"/>
    <s v="Customer 063"/>
    <x v="1"/>
    <s v="Lunch Box"/>
    <s v="West"/>
    <s v="Nashik"/>
    <s v="Amit Sharma"/>
    <n v="10"/>
    <n v="700"/>
    <n v="0"/>
    <n v="7000"/>
    <n v="4000"/>
    <n v="3000"/>
  </r>
  <r>
    <s v="ORD-00055"/>
    <s v="2026-02-26"/>
    <s v="Customer 171"/>
    <x v="2"/>
    <s v="Dumbbell Set"/>
    <s v="North"/>
    <s v="Lucknow"/>
    <s v="Vikas Singh"/>
    <n v="1"/>
    <n v="2200"/>
    <n v="0.05"/>
    <n v="2090"/>
    <n v="1450"/>
    <n v="640"/>
  </r>
  <r>
    <s v="ORD-00728"/>
    <s v="2026-02-26"/>
    <s v="Customer 198"/>
    <x v="3"/>
    <s v="Notebook"/>
    <s v="South"/>
    <s v="Chennai"/>
    <s v="Sneha Joshi"/>
    <n v="10"/>
    <n v="180"/>
    <n v="0"/>
    <n v="1800"/>
    <n v="900"/>
    <n v="900"/>
  </r>
  <r>
    <s v="ORD-00680"/>
    <s v="2026-02-27"/>
    <s v="Customer 126"/>
    <x v="0"/>
    <s v="Bluetooth Speaker"/>
    <s v="South"/>
    <s v="Kochi"/>
    <s v="Amit Sharma"/>
    <n v="1"/>
    <n v="2200"/>
    <n v="0.1"/>
    <n v="1980"/>
    <n v="1400"/>
    <n v="580"/>
  </r>
  <r>
    <s v="ORD-00777"/>
    <s v="2026-02-27"/>
    <s v="Customer 126"/>
    <x v="0"/>
    <s v="Keyboard"/>
    <s v="West"/>
    <s v="Nashik"/>
    <s v="Vikas Singh"/>
    <n v="7"/>
    <n v="1200"/>
    <n v="0"/>
    <n v="8400"/>
    <n v="5040"/>
    <n v="3360"/>
  </r>
  <r>
    <s v="ORD-00417"/>
    <s v="2026-02-28"/>
    <s v="Customer 170"/>
    <x v="0"/>
    <s v="Wireless Mouse"/>
    <s v="East"/>
    <s v="Ranchi"/>
    <s v="Rahul Verma"/>
    <n v="10"/>
    <n v="650"/>
    <n v="0.1"/>
    <n v="5850"/>
    <n v="3800"/>
    <n v="2050"/>
  </r>
  <r>
    <s v="ORD-00424"/>
    <s v="2026-02-28"/>
    <s v="Customer 200"/>
    <x v="1"/>
    <s v="Coffee Mug"/>
    <s v="South"/>
    <s v="Bengaluru"/>
    <s v="Sneha Joshi"/>
    <n v="3"/>
    <n v="350"/>
    <n v="0"/>
    <n v="1050"/>
    <n v="540"/>
    <n v="510"/>
  </r>
  <r>
    <s v="ORD-00540"/>
    <s v="2026-02-28"/>
    <s v="Customer 088"/>
    <x v="1"/>
    <s v="Kitchen Scale"/>
    <s v="South"/>
    <s v="Chennai"/>
    <s v="Amit Sharma"/>
    <n v="8"/>
    <n v="950"/>
    <n v="0"/>
    <n v="7600"/>
    <n v="4480"/>
    <n v="3120"/>
  </r>
  <r>
    <s v="ORD-00575"/>
    <s v="2026-02-28"/>
    <s v="Customer 044"/>
    <x v="0"/>
    <s v="USB-C Hub"/>
    <s v="East"/>
    <s v="Kolkata"/>
    <s v="Priya Patil"/>
    <n v="3"/>
    <n v="1800"/>
    <n v="0"/>
    <n v="5400"/>
    <n v="3300"/>
    <n v="2100"/>
  </r>
  <r>
    <s v="ORD-00621"/>
    <s v="2026-02-28"/>
    <s v="Customer 106"/>
    <x v="0"/>
    <s v="Wireless Mouse"/>
    <s v="West"/>
    <s v="Nashik"/>
    <s v="Priya Patil"/>
    <n v="1"/>
    <n v="650"/>
    <n v="0.05"/>
    <n v="617.5"/>
    <n v="380"/>
    <n v="237.5"/>
  </r>
  <r>
    <s v="ORD-00659"/>
    <s v="2026-02-28"/>
    <s v="Customer 199"/>
    <x v="0"/>
    <s v="USB-C Hub"/>
    <s v="North"/>
    <s v="Chandigarh"/>
    <s v="Vikas Singh"/>
    <n v="4"/>
    <n v="1800"/>
    <n v="0.1"/>
    <n v="6480"/>
    <n v="4400"/>
    <n v="2080"/>
  </r>
  <r>
    <s v="ORD-00735"/>
    <s v="2026-02-28"/>
    <s v="Customer 071"/>
    <x v="3"/>
    <s v="Notebook"/>
    <s v="West"/>
    <s v="Nashik"/>
    <s v="Sneha Joshi"/>
    <n v="7"/>
    <n v="180"/>
    <n v="0.15"/>
    <n v="1071"/>
    <n v="630"/>
    <n v="441"/>
  </r>
  <r>
    <s v="ORD-00753"/>
    <s v="2026-02-28"/>
    <s v="Customer 131"/>
    <x v="3"/>
    <s v="Ball Pen Pack"/>
    <s v="North"/>
    <s v="Chandigarh"/>
    <s v="Priya Patil"/>
    <n v="1"/>
    <n v="120"/>
    <n v="0"/>
    <n v="120"/>
    <n v="55"/>
    <n v="65"/>
  </r>
  <r>
    <s v="ORD-00792"/>
    <s v="2026-02-28"/>
    <s v="Customer 033"/>
    <x v="3"/>
    <s v="Ball Pen Pack"/>
    <s v="North"/>
    <s v="Lucknow"/>
    <s v="Amit Sharma"/>
    <n v="10"/>
    <n v="120"/>
    <n v="0"/>
    <n v="1200"/>
    <n v="550"/>
    <n v="650"/>
  </r>
  <r>
    <s v="ORD-00126"/>
    <s v="2026-03-01"/>
    <s v="Customer 057"/>
    <x v="2"/>
    <s v="Yoga Mat"/>
    <s v="North"/>
    <s v="Delhi"/>
    <s v="Amit Sharma"/>
    <n v="5"/>
    <n v="900"/>
    <n v="0"/>
    <n v="4500"/>
    <n v="2600"/>
    <n v="1900"/>
  </r>
  <r>
    <s v="ORD-00415"/>
    <s v="2026-03-01"/>
    <s v="Customer 116"/>
    <x v="3"/>
    <s v="Notebook"/>
    <s v="South"/>
    <s v="Chennai"/>
    <s v="Vikas Singh"/>
    <n v="6"/>
    <n v="180"/>
    <n v="0.05"/>
    <n v="1026"/>
    <n v="540"/>
    <n v="486"/>
  </r>
  <r>
    <s v="ORD-00510"/>
    <s v="2026-03-01"/>
    <s v="Customer 064"/>
    <x v="2"/>
    <s v="Skipping Rope"/>
    <s v="North"/>
    <s v="Delhi"/>
    <s v="Rahul Verma"/>
    <n v="3"/>
    <n v="350"/>
    <n v="0"/>
    <n v="1050"/>
    <n v="510"/>
    <n v="540"/>
  </r>
  <r>
    <s v="ORD-00811"/>
    <s v="2026-03-01"/>
    <s v="Customer 025"/>
    <x v="2"/>
    <s v="Resistance Bands"/>
    <s v="South"/>
    <s v="Bengaluru"/>
    <s v="Sneha Joshi"/>
    <n v="8"/>
    <n v="650"/>
    <n v="0.1"/>
    <n v="4680"/>
    <n v="2800"/>
    <n v="1880"/>
  </r>
  <r>
    <s v="ORD-00761"/>
    <s v="2026-03-02"/>
    <s v="Customer 012"/>
    <x v="1"/>
    <s v="Storage Container"/>
    <s v="North"/>
    <s v="Chandigarh"/>
    <s v="Priya Patil"/>
    <n v="4"/>
    <n v="600"/>
    <n v="0.05"/>
    <n v="2280"/>
    <n v="1320"/>
    <n v="960"/>
  </r>
  <r>
    <s v="ORD-00312"/>
    <s v="2026-03-03"/>
    <s v="Customer 107"/>
    <x v="3"/>
    <s v="Notebook"/>
    <s v="West"/>
    <s v="Pune"/>
    <s v="Sneha Joshi"/>
    <n v="9"/>
    <n v="180"/>
    <n v="0.05"/>
    <n v="1539"/>
    <n v="810"/>
    <n v="729"/>
  </r>
  <r>
    <s v="ORD-00754"/>
    <s v="2026-03-03"/>
    <s v="Customer 063"/>
    <x v="2"/>
    <s v="Skipping Rope"/>
    <s v="West"/>
    <s v="Ahmedabad"/>
    <s v="Rahul Verma"/>
    <n v="1"/>
    <n v="350"/>
    <n v="0"/>
    <n v="350"/>
    <n v="170"/>
    <n v="180"/>
  </r>
  <r>
    <s v="ORD-00665"/>
    <s v="2026-03-04"/>
    <s v="Customer 085"/>
    <x v="3"/>
    <s v="Ball Pen Pack"/>
    <s v="East"/>
    <s v="Patna"/>
    <s v="Rahul Verma"/>
    <n v="6"/>
    <n v="120"/>
    <n v="0.05"/>
    <n v="684"/>
    <n v="330"/>
    <n v="354"/>
  </r>
  <r>
    <s v="ORD-00211"/>
    <s v="2026-03-05"/>
    <s v="Customer 125"/>
    <x v="2"/>
    <s v="Resistance Bands"/>
    <s v="East"/>
    <s v="Bhubaneswar"/>
    <s v="Sneha Joshi"/>
    <n v="7"/>
    <n v="650"/>
    <n v="0"/>
    <n v="4550"/>
    <n v="2450"/>
    <n v="2100"/>
  </r>
  <r>
    <s v="ORD-00488"/>
    <s v="2026-03-05"/>
    <s v="Customer 185"/>
    <x v="1"/>
    <s v="Coffee Mug"/>
    <s v="North"/>
    <s v="Lucknow"/>
    <s v="Vikas Singh"/>
    <n v="6"/>
    <n v="350"/>
    <n v="0.1"/>
    <n v="1890"/>
    <n v="1080"/>
    <n v="810"/>
  </r>
  <r>
    <s v="ORD-00783"/>
    <s v="2026-03-05"/>
    <s v="Customer 076"/>
    <x v="0"/>
    <s v="Power Bank"/>
    <s v="South"/>
    <s v="Bengaluru"/>
    <s v="Priya Patil"/>
    <n v="3"/>
    <n v="1500"/>
    <n v="0.1"/>
    <n v="4050"/>
    <n v="2700"/>
    <n v="1350"/>
  </r>
  <r>
    <s v="ORD-00923"/>
    <s v="2026-03-05"/>
    <s v="Customer 142"/>
    <x v="0"/>
    <s v="Power Bank"/>
    <s v="West"/>
    <s v="Nashik"/>
    <s v="Vikas Singh"/>
    <n v="9"/>
    <n v="1500"/>
    <n v="0"/>
    <n v="13500"/>
    <n v="8100"/>
    <n v="5400"/>
  </r>
  <r>
    <s v="ORD-00486"/>
    <s v="2026-03-06"/>
    <s v="Customer 085"/>
    <x v="2"/>
    <s v="Yoga Mat"/>
    <s v="North"/>
    <s v="Delhi"/>
    <s v="Priya Patil"/>
    <n v="9"/>
    <n v="900"/>
    <n v="0"/>
    <n v="8100"/>
    <n v="4680"/>
    <n v="3420"/>
  </r>
  <r>
    <s v="ORD-00161"/>
    <s v="2026-03-07"/>
    <s v="Customer 045"/>
    <x v="3"/>
    <s v="Ball Pen Pack"/>
    <s v="South"/>
    <s v="Bengaluru"/>
    <s v="Priya Patil"/>
    <n v="8"/>
    <n v="120"/>
    <n v="0"/>
    <n v="960"/>
    <n v="440"/>
    <n v="520"/>
  </r>
  <r>
    <s v="ORD-00785"/>
    <s v="2026-03-07"/>
    <s v="Customer 073"/>
    <x v="3"/>
    <s v="Ball Pen Pack"/>
    <s v="East"/>
    <s v="Ranchi"/>
    <s v="Vikas Singh"/>
    <n v="7"/>
    <n v="120"/>
    <n v="0.05"/>
    <n v="798"/>
    <n v="385"/>
    <n v="413"/>
  </r>
  <r>
    <s v="ORD-00852"/>
    <s v="2026-03-07"/>
    <s v="Customer 189"/>
    <x v="0"/>
    <s v="Power Bank"/>
    <s v="East"/>
    <s v="Bhubaneswar"/>
    <s v="Priya Patil"/>
    <n v="5"/>
    <n v="1500"/>
    <n v="0.1"/>
    <n v="6750"/>
    <n v="4500"/>
    <n v="2250"/>
  </r>
  <r>
    <s v="ORD-00890"/>
    <s v="2026-03-07"/>
    <s v="Customer 186"/>
    <x v="0"/>
    <s v="Wireless Mouse"/>
    <s v="North"/>
    <s v="Chandigarh"/>
    <s v="Amit Sharma"/>
    <n v="5"/>
    <n v="650"/>
    <n v="0"/>
    <n v="3250"/>
    <n v="1900"/>
    <n v="1350"/>
  </r>
  <r>
    <s v="ORD-00291"/>
    <s v="2026-03-08"/>
    <s v="Customer 097"/>
    <x v="2"/>
    <s v="Skipping Rope"/>
    <s v="South"/>
    <s v="Kochi"/>
    <s v="Rahul Verma"/>
    <n v="6"/>
    <n v="350"/>
    <n v="0.05"/>
    <n v="1995"/>
    <n v="1020"/>
    <n v="975"/>
  </r>
  <r>
    <s v="ORD-00714"/>
    <s v="2026-03-08"/>
    <s v="Customer 160"/>
    <x v="1"/>
    <s v="Kitchen Scale"/>
    <s v="West"/>
    <s v="Pune"/>
    <s v="Neha Kulkarni"/>
    <n v="8"/>
    <n v="950"/>
    <n v="0.15"/>
    <n v="6460"/>
    <n v="4480"/>
    <n v="1980"/>
  </r>
  <r>
    <s v="ORD-00071"/>
    <s v="2026-03-09"/>
    <s v="Customer 191"/>
    <x v="1"/>
    <s v="Water Bottle"/>
    <s v="South"/>
    <s v="Bengaluru"/>
    <s v="Sneha Joshi"/>
    <n v="3"/>
    <n v="550"/>
    <n v="0.05"/>
    <n v="1567.5"/>
    <n v="900"/>
    <n v="667.5"/>
  </r>
  <r>
    <s v="ORD-00355"/>
    <s v="2026-03-09"/>
    <s v="Customer 136"/>
    <x v="3"/>
    <s v="Notebook"/>
    <s v="West"/>
    <s v="Mumbai"/>
    <s v="Rahul Verma"/>
    <n v="6"/>
    <n v="180"/>
    <n v="0.1"/>
    <n v="972"/>
    <n v="540"/>
    <n v="432"/>
  </r>
  <r>
    <s v="ORD-00274"/>
    <s v="2026-03-10"/>
    <s v="Customer 149"/>
    <x v="0"/>
    <s v="Bluetooth Speaker"/>
    <s v="West"/>
    <s v="Nashik"/>
    <s v="Sneha Joshi"/>
    <n v="1"/>
    <n v="2200"/>
    <n v="0.05"/>
    <n v="2090"/>
    <n v="1400"/>
    <n v="690"/>
  </r>
  <r>
    <s v="ORD-00392"/>
    <s v="2026-03-10"/>
    <s v="Customer 104"/>
    <x v="2"/>
    <s v="Yoga Mat"/>
    <s v="South"/>
    <s v="Bengaluru"/>
    <s v="Amit Sharma"/>
    <n v="4"/>
    <n v="900"/>
    <n v="0.05"/>
    <n v="3420"/>
    <n v="2080"/>
    <n v="1340"/>
  </r>
  <r>
    <s v="ORD-00938"/>
    <s v="2026-03-10"/>
    <s v="Customer 108"/>
    <x v="1"/>
    <s v="Coffee Mug"/>
    <s v="North"/>
    <s v="Jaipur"/>
    <s v="Sneha Joshi"/>
    <n v="10"/>
    <n v="350"/>
    <n v="0.05"/>
    <n v="3325"/>
    <n v="1800"/>
    <n v="1525"/>
  </r>
  <r>
    <s v="ORD-00356"/>
    <s v="2026-03-11"/>
    <s v="Customer 062"/>
    <x v="2"/>
    <s v="Yoga Mat"/>
    <s v="North"/>
    <s v="Lucknow"/>
    <s v="Priya Patil"/>
    <n v="5"/>
    <n v="900"/>
    <n v="0"/>
    <n v="4500"/>
    <n v="2600"/>
    <n v="1900"/>
  </r>
  <r>
    <s v="ORD-00514"/>
    <s v="2026-03-11"/>
    <s v="Customer 044"/>
    <x v="3"/>
    <s v="Ball Pen Pack"/>
    <s v="East"/>
    <s v="Kolkata"/>
    <s v="Vikas Singh"/>
    <n v="3"/>
    <n v="120"/>
    <n v="0.05"/>
    <n v="342"/>
    <n v="165"/>
    <n v="177"/>
  </r>
  <r>
    <s v="ORD-00968"/>
    <s v="2026-03-11"/>
    <s v="Customer 103"/>
    <x v="2"/>
    <s v="Gym Gloves"/>
    <s v="South"/>
    <s v="Kochi"/>
    <s v="Sneha Joshi"/>
    <n v="1"/>
    <n v="500"/>
    <n v="0"/>
    <n v="500"/>
    <n v="280"/>
    <n v="220"/>
  </r>
  <r>
    <s v="ORD-00981"/>
    <s v="2026-03-11"/>
    <s v="Customer 008"/>
    <x v="1"/>
    <s v="Water Bottle"/>
    <s v="North"/>
    <s v="Lucknow"/>
    <s v="Rahul Verma"/>
    <n v="6"/>
    <n v="550"/>
    <n v="0"/>
    <n v="3300"/>
    <n v="1800"/>
    <n v="1500"/>
  </r>
  <r>
    <s v="ORD-00167"/>
    <s v="2026-03-12"/>
    <s v="Customer 181"/>
    <x v="3"/>
    <s v="Ball Pen Pack"/>
    <s v="East"/>
    <s v="Bhubaneswar"/>
    <s v="Neha Kulkarni"/>
    <n v="5"/>
    <n v="120"/>
    <n v="0"/>
    <n v="600"/>
    <n v="275"/>
    <n v="325"/>
  </r>
  <r>
    <s v="ORD-00105"/>
    <s v="2026-03-13"/>
    <s v="Customer 079"/>
    <x v="0"/>
    <s v="Wireless Mouse"/>
    <s v="North"/>
    <s v="Chandigarh"/>
    <s v="Rahul Verma"/>
    <n v="6"/>
    <n v="650"/>
    <n v="0.05"/>
    <n v="3705"/>
    <n v="2280"/>
    <n v="1425"/>
  </r>
  <r>
    <s v="ORD-00389"/>
    <s v="2026-03-13"/>
    <s v="Customer 169"/>
    <x v="1"/>
    <s v="Coffee Mug"/>
    <s v="North"/>
    <s v="Chandigarh"/>
    <s v="Rahul Verma"/>
    <n v="5"/>
    <n v="350"/>
    <n v="0"/>
    <n v="1750"/>
    <n v="900"/>
    <n v="850"/>
  </r>
  <r>
    <s v="ORD-00805"/>
    <s v="2026-03-13"/>
    <s v="Customer 069"/>
    <x v="3"/>
    <s v="Notebook"/>
    <s v="East"/>
    <s v="Kolkata"/>
    <s v="Priya Patil"/>
    <n v="4"/>
    <n v="180"/>
    <n v="0"/>
    <n v="720"/>
    <n v="360"/>
    <n v="360"/>
  </r>
  <r>
    <s v="ORD-00141"/>
    <s v="2026-03-14"/>
    <s v="Customer 119"/>
    <x v="1"/>
    <s v="Water Bottle"/>
    <s v="South"/>
    <s v="Bengaluru"/>
    <s v="Sneha Joshi"/>
    <n v="4"/>
    <n v="550"/>
    <n v="0"/>
    <n v="2200"/>
    <n v="1200"/>
    <n v="1000"/>
  </r>
  <r>
    <s v="ORD-00445"/>
    <s v="2026-03-14"/>
    <s v="Customer 111"/>
    <x v="0"/>
    <s v="Bluetooth Speaker"/>
    <s v="North"/>
    <s v="Delhi"/>
    <s v="Rahul Verma"/>
    <n v="4"/>
    <n v="2200"/>
    <n v="0"/>
    <n v="8800"/>
    <n v="5600"/>
    <n v="3200"/>
  </r>
  <r>
    <s v="ORD-00519"/>
    <s v="2026-03-14"/>
    <s v="Customer 166"/>
    <x v="2"/>
    <s v="Yoga Mat"/>
    <s v="East"/>
    <s v="Bhubaneswar"/>
    <s v="Rahul Verma"/>
    <n v="6"/>
    <n v="900"/>
    <n v="0.05"/>
    <n v="5130"/>
    <n v="3120"/>
    <n v="2010"/>
  </r>
  <r>
    <s v="ORD-00670"/>
    <s v="2026-03-14"/>
    <s v="Customer 009"/>
    <x v="0"/>
    <s v="USB-C Hub"/>
    <s v="West"/>
    <s v="Ahmedabad"/>
    <s v="Sneha Joshi"/>
    <n v="7"/>
    <n v="1800"/>
    <n v="0.05"/>
    <n v="11970"/>
    <n v="7700"/>
    <n v="4270"/>
  </r>
  <r>
    <s v="ORD-00058"/>
    <s v="2026-03-15"/>
    <s v="Customer 058"/>
    <x v="2"/>
    <s v="Resistance Bands"/>
    <s v="North"/>
    <s v="Jaipur"/>
    <s v="Vikas Singh"/>
    <n v="3"/>
    <n v="650"/>
    <n v="0"/>
    <n v="1950"/>
    <n v="1050"/>
    <n v="900"/>
  </r>
  <r>
    <s v="ORD-00249"/>
    <s v="2026-03-15"/>
    <s v="Customer 013"/>
    <x v="2"/>
    <s v="Skipping Rope"/>
    <s v="West"/>
    <s v="Ahmedabad"/>
    <s v="Amit Sharma"/>
    <n v="1"/>
    <n v="350"/>
    <n v="0"/>
    <n v="350"/>
    <n v="170"/>
    <n v="180"/>
  </r>
  <r>
    <s v="ORD-00802"/>
    <s v="2026-03-15"/>
    <s v="Customer 095"/>
    <x v="2"/>
    <s v="Dumbbell Set"/>
    <s v="West"/>
    <s v="Ahmedabad"/>
    <s v="Sneha Joshi"/>
    <n v="7"/>
    <n v="2200"/>
    <n v="0"/>
    <n v="15400"/>
    <n v="10150"/>
    <n v="5250"/>
  </r>
  <r>
    <s v="ORD-00818"/>
    <s v="2026-03-15"/>
    <s v="Customer 051"/>
    <x v="0"/>
    <s v="Wireless Mouse"/>
    <s v="West"/>
    <s v="Pune"/>
    <s v="Neha Kulkarni"/>
    <n v="4"/>
    <n v="650"/>
    <n v="0.05"/>
    <n v="2470"/>
    <n v="1520"/>
    <n v="950"/>
  </r>
  <r>
    <s v="ORD-00466"/>
    <s v="2026-03-16"/>
    <s v="Customer 123"/>
    <x v="0"/>
    <s v="Wireless Mouse"/>
    <s v="North"/>
    <s v="Jaipur"/>
    <s v="Priya Patil"/>
    <n v="9"/>
    <n v="650"/>
    <n v="0.05"/>
    <n v="5557.5"/>
    <n v="3420"/>
    <n v="2137.5"/>
  </r>
  <r>
    <s v="ORD-00769"/>
    <s v="2026-03-16"/>
    <s v="Customer 019"/>
    <x v="0"/>
    <s v="Keyboard"/>
    <s v="West"/>
    <s v="Pune"/>
    <s v="Priya Patil"/>
    <n v="9"/>
    <n v="1200"/>
    <n v="0.15"/>
    <n v="9180"/>
    <n v="6480"/>
    <n v="2700"/>
  </r>
  <r>
    <s v="ORD-00963"/>
    <s v="2026-03-16"/>
    <s v="Customer 010"/>
    <x v="0"/>
    <s v="Bluetooth Speaker"/>
    <s v="West"/>
    <s v="Mumbai"/>
    <s v="Neha Kulkarni"/>
    <n v="5"/>
    <n v="2200"/>
    <n v="0"/>
    <n v="11000"/>
    <n v="7000"/>
    <n v="4000"/>
  </r>
  <r>
    <s v="ORD-00157"/>
    <s v="2026-03-17"/>
    <s v="Customer 200"/>
    <x v="2"/>
    <s v="Skipping Rope"/>
    <s v="East"/>
    <s v="Patna"/>
    <s v="Amit Sharma"/>
    <n v="5"/>
    <n v="350"/>
    <n v="0.1"/>
    <n v="1575"/>
    <n v="850"/>
    <n v="725"/>
  </r>
  <r>
    <s v="ORD-00220"/>
    <s v="2026-03-17"/>
    <s v="Customer 059"/>
    <x v="3"/>
    <s v="File Folder"/>
    <s v="North"/>
    <s v="Delhi"/>
    <s v="Vikas Singh"/>
    <n v="1"/>
    <n v="150"/>
    <n v="0"/>
    <n v="150"/>
    <n v="75"/>
    <n v="75"/>
  </r>
  <r>
    <s v="ORD-00633"/>
    <s v="2026-03-17"/>
    <s v="Customer 140"/>
    <x v="2"/>
    <s v="Gym Gloves"/>
    <s v="East"/>
    <s v="Patna"/>
    <s v="Amit Sharma"/>
    <n v="7"/>
    <n v="500"/>
    <n v="0"/>
    <n v="3500"/>
    <n v="1960"/>
    <n v="1540"/>
  </r>
  <r>
    <s v="ORD-00814"/>
    <s v="2026-03-17"/>
    <s v="Customer 115"/>
    <x v="3"/>
    <s v="File Folder"/>
    <s v="East"/>
    <s v="Ranchi"/>
    <s v="Vikas Singh"/>
    <n v="2"/>
    <n v="150"/>
    <n v="0"/>
    <n v="300"/>
    <n v="150"/>
    <n v="150"/>
  </r>
  <r>
    <s v="ORD-00910"/>
    <s v="2026-03-17"/>
    <s v="Customer 044"/>
    <x v="1"/>
    <s v="Kitchen Scale"/>
    <s v="West"/>
    <s v="Mumbai"/>
    <s v="Sneha Joshi"/>
    <n v="5"/>
    <n v="950"/>
    <n v="0.1"/>
    <n v="4275"/>
    <n v="2800"/>
    <n v="1475"/>
  </r>
  <r>
    <s v="ORD-00028"/>
    <s v="2026-03-18"/>
    <s v="Customer 052"/>
    <x v="1"/>
    <s v="Lunch Box"/>
    <s v="North"/>
    <s v="Lucknow"/>
    <s v="Amit Sharma"/>
    <n v="3"/>
    <n v="700"/>
    <n v="0"/>
    <n v="2100"/>
    <n v="1200"/>
    <n v="900"/>
  </r>
  <r>
    <s v="ORD-00230"/>
    <s v="2026-03-18"/>
    <s v="Customer 143"/>
    <x v="2"/>
    <s v="Yoga Mat"/>
    <s v="West"/>
    <s v="Nashik"/>
    <s v="Vikas Singh"/>
    <n v="1"/>
    <n v="900"/>
    <n v="0"/>
    <n v="900"/>
    <n v="520"/>
    <n v="380"/>
  </r>
  <r>
    <s v="ORD-00423"/>
    <s v="2026-03-18"/>
    <s v="Customer 106"/>
    <x v="3"/>
    <s v="File Folder"/>
    <s v="North"/>
    <s v="Delhi"/>
    <s v="Amit Sharma"/>
    <n v="1"/>
    <n v="150"/>
    <n v="0"/>
    <n v="150"/>
    <n v="75"/>
    <n v="75"/>
  </r>
  <r>
    <s v="ORD-00506"/>
    <s v="2026-03-18"/>
    <s v="Customer 157"/>
    <x v="2"/>
    <s v="Yoga Mat"/>
    <s v="South"/>
    <s v="Kochi"/>
    <s v="Rahul Verma"/>
    <n v="3"/>
    <n v="900"/>
    <n v="0"/>
    <n v="2700"/>
    <n v="1560"/>
    <n v="1140"/>
  </r>
  <r>
    <s v="ORD-00698"/>
    <s v="2026-03-18"/>
    <s v="Customer 130"/>
    <x v="3"/>
    <s v="File Folder"/>
    <s v="West"/>
    <s v="Pune"/>
    <s v="Neha Kulkarni"/>
    <n v="8"/>
    <n v="150"/>
    <n v="0"/>
    <n v="1200"/>
    <n v="600"/>
    <n v="600"/>
  </r>
  <r>
    <s v="ORD-00857"/>
    <s v="2026-03-18"/>
    <s v="Customer 064"/>
    <x v="3"/>
    <s v="Notebook"/>
    <s v="South"/>
    <s v="Kochi"/>
    <s v="Neha Kulkarni"/>
    <n v="8"/>
    <n v="180"/>
    <n v="0"/>
    <n v="1440"/>
    <n v="720"/>
    <n v="720"/>
  </r>
  <r>
    <s v="ORD-00122"/>
    <s v="2026-03-19"/>
    <s v="Customer 023"/>
    <x v="3"/>
    <s v="Desk Organizer"/>
    <s v="North"/>
    <s v="Jaipur"/>
    <s v="Priya Patil"/>
    <n v="8"/>
    <n v="450"/>
    <n v="0.05"/>
    <n v="3420"/>
    <n v="2000"/>
    <n v="1420"/>
  </r>
  <r>
    <s v="ORD-00250"/>
    <s v="2026-03-19"/>
    <s v="Customer 050"/>
    <x v="2"/>
    <s v="Dumbbell Set"/>
    <s v="West"/>
    <s v="Ahmedabad"/>
    <s v="Rahul Verma"/>
    <n v="5"/>
    <n v="2200"/>
    <n v="0"/>
    <n v="11000"/>
    <n v="7250"/>
    <n v="3750"/>
  </r>
  <r>
    <s v="ORD-00708"/>
    <s v="2026-03-19"/>
    <s v="Customer 056"/>
    <x v="2"/>
    <s v="Skipping Rope"/>
    <s v="South"/>
    <s v="Bengaluru"/>
    <s v="Neha Kulkarni"/>
    <n v="1"/>
    <n v="350"/>
    <n v="0.05"/>
    <n v="332.5"/>
    <n v="170"/>
    <n v="162.5"/>
  </r>
  <r>
    <s v="ORD-00364"/>
    <s v="2026-03-20"/>
    <s v="Customer 121"/>
    <x v="3"/>
    <s v="Desk Organizer"/>
    <s v="West"/>
    <s v="Pune"/>
    <s v="Sneha Joshi"/>
    <n v="2"/>
    <n v="450"/>
    <n v="0"/>
    <n v="900"/>
    <n v="500"/>
    <n v="400"/>
  </r>
  <r>
    <s v="ORD-00376"/>
    <s v="2026-03-20"/>
    <s v="Customer 113"/>
    <x v="3"/>
    <s v="Desk Organizer"/>
    <s v="South"/>
    <s v="Hyderabad"/>
    <s v="Vikas Singh"/>
    <n v="4"/>
    <n v="450"/>
    <n v="0.15"/>
    <n v="1530"/>
    <n v="1000"/>
    <n v="530"/>
  </r>
  <r>
    <s v="ORD-00823"/>
    <s v="2026-03-20"/>
    <s v="Customer 200"/>
    <x v="2"/>
    <s v="Resistance Bands"/>
    <s v="South"/>
    <s v="Kochi"/>
    <s v="Rahul Verma"/>
    <n v="2"/>
    <n v="650"/>
    <n v="0"/>
    <n v="1300"/>
    <n v="700"/>
    <n v="600"/>
  </r>
  <r>
    <s v="ORD-00069"/>
    <s v="2026-03-21"/>
    <s v="Customer 090"/>
    <x v="3"/>
    <s v="File Folder"/>
    <s v="South"/>
    <s v="Chennai"/>
    <s v="Rahul Verma"/>
    <n v="6"/>
    <n v="150"/>
    <n v="0.05"/>
    <n v="855"/>
    <n v="450"/>
    <n v="405"/>
  </r>
  <r>
    <s v="ORD-00371"/>
    <s v="2026-03-21"/>
    <s v="Customer 188"/>
    <x v="0"/>
    <s v="Wireless Mouse"/>
    <s v="West"/>
    <s v="Nashik"/>
    <s v="Priya Patil"/>
    <n v="4"/>
    <n v="650"/>
    <n v="0"/>
    <n v="2600"/>
    <n v="1520"/>
    <n v="1080"/>
  </r>
  <r>
    <s v="ORD-00468"/>
    <s v="2026-03-21"/>
    <s v="Customer 105"/>
    <x v="1"/>
    <s v="Kitchen Scale"/>
    <s v="East"/>
    <s v="Ranchi"/>
    <s v="Amit Sharma"/>
    <n v="8"/>
    <n v="950"/>
    <n v="0"/>
    <n v="7600"/>
    <n v="4480"/>
    <n v="3120"/>
  </r>
  <r>
    <s v="ORD-00385"/>
    <s v="2026-03-22"/>
    <s v="Customer 192"/>
    <x v="3"/>
    <s v="Ball Pen Pack"/>
    <s v="East"/>
    <s v="Bhubaneswar"/>
    <s v="Amit Sharma"/>
    <n v="1"/>
    <n v="120"/>
    <n v="0.05"/>
    <n v="114"/>
    <n v="55"/>
    <n v="59"/>
  </r>
  <r>
    <s v="ORD-00581"/>
    <s v="2026-03-22"/>
    <s v="Customer 061"/>
    <x v="3"/>
    <s v="Ball Pen Pack"/>
    <s v="West"/>
    <s v="Ahmedabad"/>
    <s v="Vikas Singh"/>
    <n v="1"/>
    <n v="120"/>
    <n v="0"/>
    <n v="120"/>
    <n v="55"/>
    <n v="65"/>
  </r>
  <r>
    <s v="ORD-00746"/>
    <s v="2026-03-22"/>
    <s v="Customer 074"/>
    <x v="2"/>
    <s v="Yoga Mat"/>
    <s v="South"/>
    <s v="Kochi"/>
    <s v="Amit Sharma"/>
    <n v="6"/>
    <n v="900"/>
    <n v="0"/>
    <n v="5400"/>
    <n v="3120"/>
    <n v="2280"/>
  </r>
  <r>
    <s v="ORD-00218"/>
    <s v="2026-03-23"/>
    <s v="Customer 165"/>
    <x v="1"/>
    <s v="Storage Container"/>
    <s v="East"/>
    <s v="Kolkata"/>
    <s v="Amit Sharma"/>
    <n v="5"/>
    <n v="600"/>
    <n v="0"/>
    <n v="3000"/>
    <n v="1650"/>
    <n v="1350"/>
  </r>
  <r>
    <s v="ORD-00517"/>
    <s v="2026-03-23"/>
    <s v="Customer 138"/>
    <x v="1"/>
    <s v="Lunch Box"/>
    <s v="West"/>
    <s v="Ahmedabad"/>
    <s v="Sneha Joshi"/>
    <n v="2"/>
    <n v="700"/>
    <n v="0"/>
    <n v="1400"/>
    <n v="800"/>
    <n v="600"/>
  </r>
  <r>
    <s v="ORD-00744"/>
    <s v="2026-03-23"/>
    <s v="Customer 056"/>
    <x v="3"/>
    <s v="Desk Organizer"/>
    <s v="South"/>
    <s v="Chennai"/>
    <s v="Amit Sharma"/>
    <n v="10"/>
    <n v="450"/>
    <n v="0.05"/>
    <n v="4275"/>
    <n v="2500"/>
    <n v="1775"/>
  </r>
  <r>
    <s v="ORD-00824"/>
    <s v="2026-03-23"/>
    <s v="Customer 194"/>
    <x v="2"/>
    <s v="Gym Gloves"/>
    <s v="North"/>
    <s v="Chandigarh"/>
    <s v="Rahul Verma"/>
    <n v="4"/>
    <n v="500"/>
    <n v="0.1"/>
    <n v="1800"/>
    <n v="1120"/>
    <n v="680"/>
  </r>
  <r>
    <s v="ORD-00987"/>
    <s v="2026-03-23"/>
    <s v="Customer 040"/>
    <x v="2"/>
    <s v="Resistance Bands"/>
    <s v="East"/>
    <s v="Kolkata"/>
    <s v="Rahul Verma"/>
    <n v="1"/>
    <n v="650"/>
    <n v="0"/>
    <n v="650"/>
    <n v="350"/>
    <n v="300"/>
  </r>
  <r>
    <s v="ORD-00421"/>
    <s v="2026-03-24"/>
    <s v="Customer 079"/>
    <x v="2"/>
    <s v="Gym Gloves"/>
    <s v="West"/>
    <s v="Mumbai"/>
    <s v="Sneha Joshi"/>
    <n v="2"/>
    <n v="500"/>
    <n v="0.05"/>
    <n v="950"/>
    <n v="560"/>
    <n v="390"/>
  </r>
  <r>
    <s v="ORD-00558"/>
    <s v="2026-03-24"/>
    <s v="Customer 081"/>
    <x v="1"/>
    <s v="Kitchen Scale"/>
    <s v="South"/>
    <s v="Hyderabad"/>
    <s v="Neha Kulkarni"/>
    <n v="2"/>
    <n v="950"/>
    <n v="0"/>
    <n v="1900"/>
    <n v="1120"/>
    <n v="780"/>
  </r>
  <r>
    <s v="ORD-00917"/>
    <s v="2026-03-24"/>
    <s v="Customer 185"/>
    <x v="2"/>
    <s v="Dumbbell Set"/>
    <s v="North"/>
    <s v="Delhi"/>
    <s v="Neha Kulkarni"/>
    <n v="2"/>
    <n v="2200"/>
    <n v="0.05"/>
    <n v="4180"/>
    <n v="2900"/>
    <n v="1280"/>
  </r>
  <r>
    <s v="ORD-00007"/>
    <s v="2026-03-25"/>
    <s v="Customer 081"/>
    <x v="1"/>
    <s v="Storage Container"/>
    <s v="South"/>
    <s v="Kochi"/>
    <s v="Sneha Joshi"/>
    <n v="8"/>
    <n v="600"/>
    <n v="0"/>
    <n v="4800"/>
    <n v="2640"/>
    <n v="2160"/>
  </r>
  <r>
    <s v="ORD-00063"/>
    <s v="2026-03-25"/>
    <s v="Customer 128"/>
    <x v="0"/>
    <s v="Wireless Mouse"/>
    <s v="South"/>
    <s v="Kochi"/>
    <s v="Sneha Joshi"/>
    <n v="9"/>
    <n v="650"/>
    <n v="0"/>
    <n v="5850"/>
    <n v="3420"/>
    <n v="2430"/>
  </r>
  <r>
    <s v="ORD-00262"/>
    <s v="2026-03-25"/>
    <s v="Customer 020"/>
    <x v="0"/>
    <s v="Power Bank"/>
    <s v="South"/>
    <s v="Hyderabad"/>
    <s v="Priya Patil"/>
    <n v="2"/>
    <n v="1500"/>
    <n v="0"/>
    <n v="3000"/>
    <n v="1800"/>
    <n v="1200"/>
  </r>
  <r>
    <s v="ORD-00942"/>
    <s v="2026-03-25"/>
    <s v="Customer 067"/>
    <x v="0"/>
    <s v="Wireless Mouse"/>
    <s v="South"/>
    <s v="Chennai"/>
    <s v="Sneha Joshi"/>
    <n v="2"/>
    <n v="650"/>
    <n v="0.1"/>
    <n v="1170"/>
    <n v="760"/>
    <n v="410"/>
  </r>
  <r>
    <s v="ORD-00954"/>
    <s v="2026-03-25"/>
    <s v="Customer 161"/>
    <x v="0"/>
    <s v="Bluetooth Speaker"/>
    <s v="South"/>
    <s v="Chennai"/>
    <s v="Priya Patil"/>
    <n v="5"/>
    <n v="2200"/>
    <n v="0.05"/>
    <n v="10450"/>
    <n v="7000"/>
    <n v="3450"/>
  </r>
  <r>
    <s v="ORD-00489"/>
    <s v="2026-03-26"/>
    <s v="Customer 129"/>
    <x v="3"/>
    <s v="Stapler"/>
    <s v="South"/>
    <s v="Hyderabad"/>
    <s v="Rahul Verma"/>
    <n v="8"/>
    <n v="280"/>
    <n v="0.1"/>
    <n v="2016"/>
    <n v="1200"/>
    <n v="816"/>
  </r>
  <r>
    <s v="ORD-00528"/>
    <s v="2026-03-26"/>
    <s v="Customer 186"/>
    <x v="0"/>
    <s v="Keyboard"/>
    <s v="West"/>
    <s v="Ahmedabad"/>
    <s v="Rahul Verma"/>
    <n v="4"/>
    <n v="1200"/>
    <n v="0"/>
    <n v="4800"/>
    <n v="2880"/>
    <n v="1920"/>
  </r>
  <r>
    <s v="ORD-00536"/>
    <s v="2026-03-26"/>
    <s v="Customer 012"/>
    <x v="0"/>
    <s v="Keyboard"/>
    <s v="East"/>
    <s v="Kolkata"/>
    <s v="Neha Kulkarni"/>
    <n v="7"/>
    <n v="1200"/>
    <n v="0"/>
    <n v="8400"/>
    <n v="5040"/>
    <n v="3360"/>
  </r>
  <r>
    <s v="ORD-00572"/>
    <s v="2026-03-27"/>
    <s v="Customer 114"/>
    <x v="2"/>
    <s v="Resistance Bands"/>
    <s v="North"/>
    <s v="Chandigarh"/>
    <s v="Sneha Joshi"/>
    <n v="8"/>
    <n v="650"/>
    <n v="0.05"/>
    <n v="4940"/>
    <n v="2800"/>
    <n v="2140"/>
  </r>
  <r>
    <s v="ORD-00594"/>
    <s v="2026-03-27"/>
    <s v="Customer 144"/>
    <x v="3"/>
    <s v="Stapler"/>
    <s v="East"/>
    <s v="Patna"/>
    <s v="Neha Kulkarni"/>
    <n v="4"/>
    <n v="280"/>
    <n v="0.05"/>
    <n v="1064"/>
    <n v="600"/>
    <n v="464"/>
  </r>
  <r>
    <s v="ORD-00143"/>
    <s v="2026-03-28"/>
    <s v="Customer 114"/>
    <x v="0"/>
    <s v="Keyboard"/>
    <s v="North"/>
    <s v="Chandigarh"/>
    <s v="Rahul Verma"/>
    <n v="7"/>
    <n v="1200"/>
    <n v="0.1"/>
    <n v="7560"/>
    <n v="5040"/>
    <n v="2520"/>
  </r>
  <r>
    <s v="ORD-00716"/>
    <s v="2026-03-28"/>
    <s v="Customer 101"/>
    <x v="0"/>
    <s v="Power Bank"/>
    <s v="West"/>
    <s v="Pune"/>
    <s v="Neha Kulkarni"/>
    <n v="8"/>
    <n v="1500"/>
    <n v="0"/>
    <n v="12000"/>
    <n v="7200"/>
    <n v="4800"/>
  </r>
  <r>
    <s v="ORD-00409"/>
    <s v="2026-03-29"/>
    <s v="Customer 141"/>
    <x v="1"/>
    <s v="Lunch Box"/>
    <s v="East"/>
    <s v="Kolkata"/>
    <s v="Sneha Joshi"/>
    <n v="7"/>
    <n v="700"/>
    <n v="0.1"/>
    <n v="4410"/>
    <n v="2800"/>
    <n v="1610"/>
  </r>
  <r>
    <s v="ORD-00664"/>
    <s v="2026-03-29"/>
    <s v="Customer 196"/>
    <x v="3"/>
    <s v="Stapler"/>
    <s v="North"/>
    <s v="Delhi"/>
    <s v="Amit Sharma"/>
    <n v="10"/>
    <n v="280"/>
    <n v="0"/>
    <n v="2800"/>
    <n v="1500"/>
    <n v="1300"/>
  </r>
  <r>
    <s v="ORD-00882"/>
    <s v="2026-03-29"/>
    <s v="Customer 186"/>
    <x v="2"/>
    <s v="Resistance Bands"/>
    <s v="North"/>
    <s v="Jaipur"/>
    <s v="Sneha Joshi"/>
    <n v="6"/>
    <n v="650"/>
    <n v="0"/>
    <n v="3900"/>
    <n v="2100"/>
    <n v="1800"/>
  </r>
  <r>
    <s v="ORD-00281"/>
    <s v="2026-03-30"/>
    <s v="Customer 135"/>
    <x v="1"/>
    <s v="Coffee Mug"/>
    <s v="South"/>
    <s v="Hyderabad"/>
    <s v="Rahul Verma"/>
    <n v="4"/>
    <n v="350"/>
    <n v="0"/>
    <n v="1400"/>
    <n v="720"/>
    <n v="680"/>
  </r>
  <r>
    <s v="ORD-00301"/>
    <s v="2026-03-30"/>
    <s v="Customer 150"/>
    <x v="1"/>
    <s v="Lunch Box"/>
    <s v="South"/>
    <s v="Kochi"/>
    <s v="Vikas Singh"/>
    <n v="3"/>
    <n v="700"/>
    <n v="0.05"/>
    <n v="1995"/>
    <n v="1200"/>
    <n v="795"/>
  </r>
  <r>
    <s v="ORD-00407"/>
    <s v="2026-03-30"/>
    <s v="Customer 140"/>
    <x v="1"/>
    <s v="Water Bottle"/>
    <s v="North"/>
    <s v="Delhi"/>
    <s v="Vikas Singh"/>
    <n v="5"/>
    <n v="550"/>
    <n v="0.05"/>
    <n v="2612.5"/>
    <n v="1500"/>
    <n v="1112.5"/>
  </r>
  <r>
    <s v="ORD-00530"/>
    <s v="2026-03-30"/>
    <s v="Customer 087"/>
    <x v="1"/>
    <s v="Lunch Box"/>
    <s v="North"/>
    <s v="Jaipur"/>
    <s v="Rahul Verma"/>
    <n v="9"/>
    <n v="700"/>
    <n v="0"/>
    <n v="6300"/>
    <n v="3600"/>
    <n v="2700"/>
  </r>
  <r>
    <s v="ORD-00831"/>
    <s v="2026-03-30"/>
    <s v="Customer 021"/>
    <x v="0"/>
    <s v="Power Bank"/>
    <s v="East"/>
    <s v="Bhubaneswar"/>
    <s v="Neha Kulkarni"/>
    <n v="9"/>
    <n v="1500"/>
    <n v="0"/>
    <n v="13500"/>
    <n v="8100"/>
    <n v="5400"/>
  </r>
  <r>
    <s v="ORD-00750"/>
    <s v="2026-03-31"/>
    <s v="Customer 101"/>
    <x v="2"/>
    <s v="Resistance Bands"/>
    <s v="West"/>
    <s v="Mumbai"/>
    <s v="Vikas Singh"/>
    <n v="2"/>
    <n v="650"/>
    <n v="0.05"/>
    <n v="1235"/>
    <n v="700"/>
    <n v="535"/>
  </r>
  <r>
    <s v="ORD-00273"/>
    <s v="2026-04-01"/>
    <s v="Customer 181"/>
    <x v="1"/>
    <s v="Coffee Mug"/>
    <s v="East"/>
    <s v="Patna"/>
    <s v="Priya Patil"/>
    <n v="5"/>
    <n v="350"/>
    <n v="0"/>
    <n v="1750"/>
    <n v="900"/>
    <n v="850"/>
  </r>
  <r>
    <s v="ORD-00287"/>
    <s v="2026-04-01"/>
    <s v="Customer 172"/>
    <x v="3"/>
    <s v="Notebook"/>
    <s v="North"/>
    <s v="Jaipur"/>
    <s v="Rahul Verma"/>
    <n v="4"/>
    <n v="180"/>
    <n v="0"/>
    <n v="720"/>
    <n v="360"/>
    <n v="360"/>
  </r>
  <r>
    <s v="ORD-00290"/>
    <s v="2026-04-01"/>
    <s v="Customer 180"/>
    <x v="2"/>
    <s v="Dumbbell Set"/>
    <s v="West"/>
    <s v="Mumbai"/>
    <s v="Rahul Verma"/>
    <n v="2"/>
    <n v="2200"/>
    <n v="0"/>
    <n v="4400"/>
    <n v="2900"/>
    <n v="1500"/>
  </r>
  <r>
    <s v="ORD-00580"/>
    <s v="2026-04-02"/>
    <s v="Customer 104"/>
    <x v="3"/>
    <s v="File Folder"/>
    <s v="South"/>
    <s v="Hyderabad"/>
    <s v="Rahul Verma"/>
    <n v="5"/>
    <n v="150"/>
    <n v="0.1"/>
    <n v="675"/>
    <n v="375"/>
    <n v="300"/>
  </r>
  <r>
    <s v="ORD-00679"/>
    <s v="2026-04-02"/>
    <s v="Customer 151"/>
    <x v="2"/>
    <s v="Gym Gloves"/>
    <s v="East"/>
    <s v="Ranchi"/>
    <s v="Neha Kulkarni"/>
    <n v="9"/>
    <n v="500"/>
    <n v="0.05"/>
    <n v="4275"/>
    <n v="2520"/>
    <n v="1755"/>
  </r>
  <r>
    <s v="ORD-00682"/>
    <s v="2026-04-02"/>
    <s v="Customer 085"/>
    <x v="3"/>
    <s v="File Folder"/>
    <s v="East"/>
    <s v="Patna"/>
    <s v="Priya Patil"/>
    <n v="8"/>
    <n v="150"/>
    <n v="0"/>
    <n v="1200"/>
    <n v="600"/>
    <n v="600"/>
  </r>
  <r>
    <s v="ORD-00820"/>
    <s v="2026-04-02"/>
    <s v="Customer 027"/>
    <x v="2"/>
    <s v="Dumbbell Set"/>
    <s v="West"/>
    <s v="Nashik"/>
    <s v="Rahul Verma"/>
    <n v="8"/>
    <n v="2200"/>
    <n v="0"/>
    <n v="17600"/>
    <n v="11600"/>
    <n v="6000"/>
  </r>
  <r>
    <s v="ORD-00936"/>
    <s v="2026-04-02"/>
    <s v="Customer 050"/>
    <x v="3"/>
    <s v="Ball Pen Pack"/>
    <s v="East"/>
    <s v="Bhubaneswar"/>
    <s v="Neha Kulkarni"/>
    <n v="4"/>
    <n v="120"/>
    <n v="0"/>
    <n v="480"/>
    <n v="220"/>
    <n v="260"/>
  </r>
  <r>
    <s v="ORD-00251"/>
    <s v="2026-04-03"/>
    <s v="Customer 172"/>
    <x v="3"/>
    <s v="Stapler"/>
    <s v="North"/>
    <s v="Lucknow"/>
    <s v="Priya Patil"/>
    <n v="6"/>
    <n v="280"/>
    <n v="0.05"/>
    <n v="1596"/>
    <n v="900"/>
    <n v="696"/>
  </r>
  <r>
    <s v="ORD-00515"/>
    <s v="2026-04-03"/>
    <s v="Customer 131"/>
    <x v="3"/>
    <s v="File Folder"/>
    <s v="West"/>
    <s v="Nashik"/>
    <s v="Vikas Singh"/>
    <n v="6"/>
    <n v="150"/>
    <n v="0.05"/>
    <n v="855"/>
    <n v="450"/>
    <n v="405"/>
  </r>
  <r>
    <s v="ORD-00705"/>
    <s v="2026-04-03"/>
    <s v="Customer 134"/>
    <x v="2"/>
    <s v="Skipping Rope"/>
    <s v="North"/>
    <s v="Jaipur"/>
    <s v="Vikas Singh"/>
    <n v="4"/>
    <n v="350"/>
    <n v="0"/>
    <n v="1400"/>
    <n v="680"/>
    <n v="720"/>
  </r>
  <r>
    <s v="ORD-00799"/>
    <s v="2026-04-03"/>
    <s v="Customer 130"/>
    <x v="1"/>
    <s v="Storage Container"/>
    <s v="West"/>
    <s v="Nashik"/>
    <s v="Amit Sharma"/>
    <n v="9"/>
    <n v="600"/>
    <n v="0.05"/>
    <n v="5130"/>
    <n v="2970"/>
    <n v="2160"/>
  </r>
  <r>
    <s v="ORD-00014"/>
    <s v="2026-04-04"/>
    <s v="Customer 037"/>
    <x v="1"/>
    <s v="Coffee Mug"/>
    <s v="West"/>
    <s v="Ahmedabad"/>
    <s v="Rahul Verma"/>
    <n v="7"/>
    <n v="350"/>
    <n v="0"/>
    <n v="2450"/>
    <n v="1260"/>
    <n v="1190"/>
  </r>
  <r>
    <s v="ORD-00912"/>
    <s v="2026-04-04"/>
    <s v="Customer 159"/>
    <x v="2"/>
    <s v="Gym Gloves"/>
    <s v="West"/>
    <s v="Mumbai"/>
    <s v="Amit Sharma"/>
    <n v="5"/>
    <n v="500"/>
    <n v="0"/>
    <n v="2500"/>
    <n v="1400"/>
    <n v="1100"/>
  </r>
  <r>
    <s v="ORD-00872"/>
    <s v="2026-04-05"/>
    <s v="Customer 080"/>
    <x v="3"/>
    <s v="Desk Organizer"/>
    <s v="East"/>
    <s v="Bhubaneswar"/>
    <s v="Priya Patil"/>
    <n v="6"/>
    <n v="450"/>
    <n v="0"/>
    <n v="2700"/>
    <n v="1500"/>
    <n v="1200"/>
  </r>
  <r>
    <s v="ORD-00315"/>
    <s v="2026-04-06"/>
    <s v="Customer 165"/>
    <x v="1"/>
    <s v="Coffee Mug"/>
    <s v="West"/>
    <s v="Pune"/>
    <s v="Amit Sharma"/>
    <n v="5"/>
    <n v="350"/>
    <n v="0.05"/>
    <n v="1662.5"/>
    <n v="900"/>
    <n v="762.5"/>
  </r>
  <r>
    <s v="ORD-00655"/>
    <s v="2026-04-06"/>
    <s v="Customer 004"/>
    <x v="0"/>
    <s v="Power Bank"/>
    <s v="East"/>
    <s v="Bhubaneswar"/>
    <s v="Amit Sharma"/>
    <n v="4"/>
    <n v="1500"/>
    <n v="0.05"/>
    <n v="5700"/>
    <n v="3600"/>
    <n v="2100"/>
  </r>
  <r>
    <s v="ORD-00733"/>
    <s v="2026-04-07"/>
    <s v="Customer 021"/>
    <x v="0"/>
    <s v="Power Bank"/>
    <s v="West"/>
    <s v="Pune"/>
    <s v="Vikas Singh"/>
    <n v="5"/>
    <n v="1500"/>
    <n v="0"/>
    <n v="7500"/>
    <n v="4500"/>
    <n v="3000"/>
  </r>
  <r>
    <s v="ORD-00925"/>
    <s v="2026-04-07"/>
    <s v="Customer 070"/>
    <x v="0"/>
    <s v="Keyboard"/>
    <s v="West"/>
    <s v="Mumbai"/>
    <s v="Rahul Verma"/>
    <n v="6"/>
    <n v="1200"/>
    <n v="0.05"/>
    <n v="6840"/>
    <n v="4320"/>
    <n v="2520"/>
  </r>
  <r>
    <s v="ORD-00961"/>
    <s v="2026-04-07"/>
    <s v="Customer 092"/>
    <x v="1"/>
    <s v="Lunch Box"/>
    <s v="South"/>
    <s v="Bengaluru"/>
    <s v="Priya Patil"/>
    <n v="6"/>
    <n v="700"/>
    <n v="0.05"/>
    <n v="3990"/>
    <n v="2400"/>
    <n v="1590"/>
  </r>
  <r>
    <s v="ORD-00104"/>
    <s v="2026-04-08"/>
    <s v="Customer 075"/>
    <x v="0"/>
    <s v="Power Bank"/>
    <s v="East"/>
    <s v="Ranchi"/>
    <s v="Sneha Joshi"/>
    <n v="6"/>
    <n v="1500"/>
    <n v="0"/>
    <n v="9000"/>
    <n v="5400"/>
    <n v="3600"/>
  </r>
  <r>
    <s v="ORD-00328"/>
    <s v="2026-04-08"/>
    <s v="Customer 129"/>
    <x v="3"/>
    <s v="Desk Organizer"/>
    <s v="North"/>
    <s v="Lucknow"/>
    <s v="Vikas Singh"/>
    <n v="8"/>
    <n v="450"/>
    <n v="0.05"/>
    <n v="3420"/>
    <n v="2000"/>
    <n v="1420"/>
  </r>
  <r>
    <s v="ORD-00675"/>
    <s v="2026-04-08"/>
    <s v="Customer 068"/>
    <x v="1"/>
    <s v="Lunch Box"/>
    <s v="East"/>
    <s v="Patna"/>
    <s v="Neha Kulkarni"/>
    <n v="9"/>
    <n v="700"/>
    <n v="0"/>
    <n v="6300"/>
    <n v="3600"/>
    <n v="2700"/>
  </r>
  <r>
    <s v="ORD-00947"/>
    <s v="2026-04-08"/>
    <s v="Customer 024"/>
    <x v="0"/>
    <s v="Bluetooth Speaker"/>
    <s v="West"/>
    <s v="Pune"/>
    <s v="Priya Patil"/>
    <n v="2"/>
    <n v="2200"/>
    <n v="0"/>
    <n v="4400"/>
    <n v="2800"/>
    <n v="1600"/>
  </r>
  <r>
    <s v="ORD-00444"/>
    <s v="2026-04-09"/>
    <s v="Customer 136"/>
    <x v="1"/>
    <s v="Coffee Mug"/>
    <s v="East"/>
    <s v="Patna"/>
    <s v="Amit Sharma"/>
    <n v="2"/>
    <n v="350"/>
    <n v="0"/>
    <n v="700"/>
    <n v="360"/>
    <n v="340"/>
  </r>
  <r>
    <s v="ORD-00566"/>
    <s v="2026-04-09"/>
    <s v="Customer 085"/>
    <x v="2"/>
    <s v="Skipping Rope"/>
    <s v="South"/>
    <s v="Chennai"/>
    <s v="Neha Kulkarni"/>
    <n v="1"/>
    <n v="350"/>
    <n v="0"/>
    <n v="350"/>
    <n v="170"/>
    <n v="180"/>
  </r>
  <r>
    <s v="ORD-00597"/>
    <s v="2026-04-09"/>
    <s v="Customer 167"/>
    <x v="0"/>
    <s v="Keyboard"/>
    <s v="North"/>
    <s v="Jaipur"/>
    <s v="Sneha Joshi"/>
    <n v="2"/>
    <n v="1200"/>
    <n v="0.05"/>
    <n v="2280"/>
    <n v="1440"/>
    <n v="840"/>
  </r>
  <r>
    <s v="ORD-00085"/>
    <s v="2026-04-10"/>
    <s v="Customer 057"/>
    <x v="3"/>
    <s v="Desk Organizer"/>
    <s v="South"/>
    <s v="Hyderabad"/>
    <s v="Amit Sharma"/>
    <n v="1"/>
    <n v="450"/>
    <n v="0.05"/>
    <n v="427.5"/>
    <n v="250"/>
    <n v="177.5"/>
  </r>
  <r>
    <s v="ORD-00139"/>
    <s v="2026-04-11"/>
    <s v="Customer 055"/>
    <x v="0"/>
    <s v="USB-C Hub"/>
    <s v="East"/>
    <s v="Ranchi"/>
    <s v="Priya Patil"/>
    <n v="4"/>
    <n v="1800"/>
    <n v="0.05"/>
    <n v="6840"/>
    <n v="4400"/>
    <n v="2440"/>
  </r>
  <r>
    <s v="ORD-00699"/>
    <s v="2026-04-11"/>
    <s v="Customer 089"/>
    <x v="3"/>
    <s v="Stapler"/>
    <s v="South"/>
    <s v="Bengaluru"/>
    <s v="Priya Patil"/>
    <n v="10"/>
    <n v="280"/>
    <n v="0.1"/>
    <n v="2520"/>
    <n v="1500"/>
    <n v="1020"/>
  </r>
  <r>
    <s v="ORD-00849"/>
    <s v="2026-04-11"/>
    <s v="Customer 102"/>
    <x v="1"/>
    <s v="Coffee Mug"/>
    <s v="South"/>
    <s v="Chennai"/>
    <s v="Neha Kulkarni"/>
    <n v="1"/>
    <n v="350"/>
    <n v="0.1"/>
    <n v="315"/>
    <n v="180"/>
    <n v="135"/>
  </r>
  <r>
    <s v="ORD-00418"/>
    <s v="2026-04-12"/>
    <s v="Customer 153"/>
    <x v="3"/>
    <s v="Notebook"/>
    <s v="North"/>
    <s v="Delhi"/>
    <s v="Amit Sharma"/>
    <n v="6"/>
    <n v="180"/>
    <n v="0"/>
    <n v="1080"/>
    <n v="540"/>
    <n v="540"/>
  </r>
  <r>
    <s v="ORD-00971"/>
    <s v="2026-04-12"/>
    <s v="Customer 112"/>
    <x v="2"/>
    <s v="Yoga Mat"/>
    <s v="East"/>
    <s v="Bhubaneswar"/>
    <s v="Neha Kulkarni"/>
    <n v="5"/>
    <n v="900"/>
    <n v="0"/>
    <n v="4500"/>
    <n v="2600"/>
    <n v="1900"/>
  </r>
  <r>
    <s v="ORD-00387"/>
    <s v="2026-04-13"/>
    <s v="Customer 096"/>
    <x v="3"/>
    <s v="Notebook"/>
    <s v="East"/>
    <s v="Ranchi"/>
    <s v="Rahul Verma"/>
    <n v="1"/>
    <n v="180"/>
    <n v="0.05"/>
    <n v="171"/>
    <n v="90"/>
    <n v="81"/>
  </r>
  <r>
    <s v="ORD-00997"/>
    <s v="2026-04-13"/>
    <s v="Customer 127"/>
    <x v="2"/>
    <s v="Gym Gloves"/>
    <s v="West"/>
    <s v="Ahmedabad"/>
    <s v="Amit Sharma"/>
    <n v="7"/>
    <n v="500"/>
    <n v="0.15"/>
    <n v="2975"/>
    <n v="1960"/>
    <n v="1015"/>
  </r>
  <r>
    <s v="ORD-00188"/>
    <s v="2026-04-14"/>
    <s v="Customer 029"/>
    <x v="2"/>
    <s v="Skipping Rope"/>
    <s v="South"/>
    <s v="Hyderabad"/>
    <s v="Sneha Joshi"/>
    <n v="7"/>
    <n v="350"/>
    <n v="0"/>
    <n v="2450"/>
    <n v="1190"/>
    <n v="1260"/>
  </r>
  <r>
    <s v="ORD-00627"/>
    <s v="2026-04-14"/>
    <s v="Customer 176"/>
    <x v="3"/>
    <s v="File Folder"/>
    <s v="North"/>
    <s v="Delhi"/>
    <s v="Sneha Joshi"/>
    <n v="10"/>
    <n v="150"/>
    <n v="0"/>
    <n v="1500"/>
    <n v="750"/>
    <n v="750"/>
  </r>
  <r>
    <s v="ORD-00791"/>
    <s v="2026-04-14"/>
    <s v="Customer 077"/>
    <x v="1"/>
    <s v="Storage Container"/>
    <s v="East"/>
    <s v="Patna"/>
    <s v="Priya Patil"/>
    <n v="5"/>
    <n v="600"/>
    <n v="0.15"/>
    <n v="2550"/>
    <n v="1650"/>
    <n v="900"/>
  </r>
  <r>
    <s v="ORD-00930"/>
    <s v="2026-04-14"/>
    <s v="Customer 175"/>
    <x v="3"/>
    <s v="Notebook"/>
    <s v="South"/>
    <s v="Bengaluru"/>
    <s v="Vikas Singh"/>
    <n v="5"/>
    <n v="180"/>
    <n v="0"/>
    <n v="900"/>
    <n v="450"/>
    <n v="450"/>
  </r>
  <r>
    <s v="ORD-00173"/>
    <s v="2026-04-15"/>
    <s v="Customer 013"/>
    <x v="3"/>
    <s v="Ball Pen Pack"/>
    <s v="North"/>
    <s v="Delhi"/>
    <s v="Vikas Singh"/>
    <n v="8"/>
    <n v="120"/>
    <n v="0.1"/>
    <n v="864"/>
    <n v="440"/>
    <n v="424"/>
  </r>
  <r>
    <s v="ORD-00324"/>
    <s v="2026-04-15"/>
    <s v="Customer 006"/>
    <x v="0"/>
    <s v="USB-C Hub"/>
    <s v="East"/>
    <s v="Ranchi"/>
    <s v="Sneha Joshi"/>
    <n v="1"/>
    <n v="1800"/>
    <n v="0"/>
    <n v="1800"/>
    <n v="1100"/>
    <n v="700"/>
  </r>
  <r>
    <s v="ORD-00933"/>
    <s v="2026-04-15"/>
    <s v="Customer 064"/>
    <x v="2"/>
    <s v="Resistance Bands"/>
    <s v="North"/>
    <s v="Jaipur"/>
    <s v="Sneha Joshi"/>
    <n v="5"/>
    <n v="650"/>
    <n v="0.05"/>
    <n v="3087.5"/>
    <n v="1750"/>
    <n v="1337.5"/>
  </r>
  <r>
    <s v="ORD-00073"/>
    <s v="2026-04-17"/>
    <s v="Customer 164"/>
    <x v="0"/>
    <s v="Power Bank"/>
    <s v="East"/>
    <s v="Bhubaneswar"/>
    <s v="Rahul Verma"/>
    <n v="5"/>
    <n v="1500"/>
    <n v="0.15"/>
    <n v="6375"/>
    <n v="4500"/>
    <n v="1875"/>
  </r>
  <r>
    <s v="ORD-00599"/>
    <s v="2026-04-17"/>
    <s v="Customer 006"/>
    <x v="2"/>
    <s v="Resistance Bands"/>
    <s v="North"/>
    <s v="Lucknow"/>
    <s v="Rahul Verma"/>
    <n v="8"/>
    <n v="650"/>
    <n v="0.05"/>
    <n v="4940"/>
    <n v="2800"/>
    <n v="2140"/>
  </r>
  <r>
    <s v="ORD-00778"/>
    <s v="2026-04-17"/>
    <s v="Customer 084"/>
    <x v="1"/>
    <s v="Water Bottle"/>
    <s v="West"/>
    <s v="Pune"/>
    <s v="Rahul Verma"/>
    <n v="2"/>
    <n v="550"/>
    <n v="0"/>
    <n v="1100"/>
    <n v="600"/>
    <n v="500"/>
  </r>
  <r>
    <s v="ORD-00524"/>
    <s v="2026-04-18"/>
    <s v="Customer 146"/>
    <x v="2"/>
    <s v="Skipping Rope"/>
    <s v="East"/>
    <s v="Ranchi"/>
    <s v="Priya Patil"/>
    <n v="7"/>
    <n v="350"/>
    <n v="0.15"/>
    <n v="2082.5"/>
    <n v="1190"/>
    <n v="892.5"/>
  </r>
  <r>
    <s v="ORD-00256"/>
    <s v="2026-04-19"/>
    <s v="Customer 032"/>
    <x v="2"/>
    <s v="Gym Gloves"/>
    <s v="East"/>
    <s v="Bhubaneswar"/>
    <s v="Amit Sharma"/>
    <n v="6"/>
    <n v="500"/>
    <n v="0"/>
    <n v="3000"/>
    <n v="1680"/>
    <n v="1320"/>
  </r>
  <r>
    <s v="ORD-00807"/>
    <s v="2026-04-19"/>
    <s v="Customer 078"/>
    <x v="2"/>
    <s v="Skipping Rope"/>
    <s v="West"/>
    <s v="Ahmedabad"/>
    <s v="Vikas Singh"/>
    <n v="1"/>
    <n v="350"/>
    <n v="0.05"/>
    <n v="332.5"/>
    <n v="170"/>
    <n v="162.5"/>
  </r>
  <r>
    <s v="ORD-00886"/>
    <s v="2026-04-19"/>
    <s v="Customer 044"/>
    <x v="3"/>
    <s v="Desk Organizer"/>
    <s v="North"/>
    <s v="Chandigarh"/>
    <s v="Rahul Verma"/>
    <n v="9"/>
    <n v="450"/>
    <n v="0.05"/>
    <n v="3847.5"/>
    <n v="2250"/>
    <n v="1597.5"/>
  </r>
  <r>
    <s v="ORD-00322"/>
    <s v="2026-04-20"/>
    <s v="Customer 079"/>
    <x v="0"/>
    <s v="Bluetooth Speaker"/>
    <s v="North"/>
    <s v="Chandigarh"/>
    <s v="Neha Kulkarni"/>
    <n v="6"/>
    <n v="2200"/>
    <n v="0"/>
    <n v="13200"/>
    <n v="8400"/>
    <n v="4800"/>
  </r>
  <r>
    <s v="ORD-00350"/>
    <s v="2026-04-20"/>
    <s v="Customer 021"/>
    <x v="3"/>
    <s v="Notebook"/>
    <s v="South"/>
    <s v="Hyderabad"/>
    <s v="Rahul Verma"/>
    <n v="4"/>
    <n v="180"/>
    <n v="0"/>
    <n v="720"/>
    <n v="360"/>
    <n v="360"/>
  </r>
  <r>
    <s v="ORD-00022"/>
    <s v="2026-04-21"/>
    <s v="Customer 180"/>
    <x v="1"/>
    <s v="Coffee Mug"/>
    <s v="East"/>
    <s v="Ranchi"/>
    <s v="Amit Sharma"/>
    <n v="6"/>
    <n v="350"/>
    <n v="0"/>
    <n v="2100"/>
    <n v="1080"/>
    <n v="1020"/>
  </r>
  <r>
    <s v="ORD-00038"/>
    <s v="2026-04-21"/>
    <s v="Customer 037"/>
    <x v="2"/>
    <s v="Gym Gloves"/>
    <s v="North"/>
    <s v="Delhi"/>
    <s v="Vikas Singh"/>
    <n v="6"/>
    <n v="500"/>
    <n v="0"/>
    <n v="3000"/>
    <n v="1680"/>
    <n v="1320"/>
  </r>
  <r>
    <s v="ORD-00567"/>
    <s v="2026-04-21"/>
    <s v="Customer 177"/>
    <x v="3"/>
    <s v="Stapler"/>
    <s v="West"/>
    <s v="Ahmedabad"/>
    <s v="Rahul Verma"/>
    <n v="3"/>
    <n v="280"/>
    <n v="0.05"/>
    <n v="798"/>
    <n v="450"/>
    <n v="348"/>
  </r>
  <r>
    <s v="ORD-00757"/>
    <s v="2026-04-21"/>
    <s v="Customer 078"/>
    <x v="1"/>
    <s v="Storage Container"/>
    <s v="North"/>
    <s v="Chandigarh"/>
    <s v="Rahul Verma"/>
    <n v="4"/>
    <n v="600"/>
    <n v="0"/>
    <n v="2400"/>
    <n v="1320"/>
    <n v="1080"/>
  </r>
  <r>
    <s v="ORD-00374"/>
    <s v="2026-04-22"/>
    <s v="Customer 051"/>
    <x v="3"/>
    <s v="Stapler"/>
    <s v="East"/>
    <s v="Bhubaneswar"/>
    <s v="Priya Patil"/>
    <n v="6"/>
    <n v="280"/>
    <n v="0.1"/>
    <n v="1512"/>
    <n v="900"/>
    <n v="612"/>
  </r>
  <r>
    <s v="ORD-00760"/>
    <s v="2026-04-22"/>
    <s v="Customer 087"/>
    <x v="3"/>
    <s v="Ball Pen Pack"/>
    <s v="West"/>
    <s v="Ahmedabad"/>
    <s v="Vikas Singh"/>
    <n v="4"/>
    <n v="120"/>
    <n v="0"/>
    <n v="480"/>
    <n v="220"/>
    <n v="260"/>
  </r>
  <r>
    <s v="ORD-00662"/>
    <s v="2026-04-23"/>
    <s v="Customer 190"/>
    <x v="1"/>
    <s v="Water Bottle"/>
    <s v="North"/>
    <s v="Delhi"/>
    <s v="Vikas Singh"/>
    <n v="7"/>
    <n v="550"/>
    <n v="0"/>
    <n v="3850"/>
    <n v="2100"/>
    <n v="1750"/>
  </r>
  <r>
    <s v="ORD-00967"/>
    <s v="2026-04-23"/>
    <s v="Customer 087"/>
    <x v="2"/>
    <s v="Dumbbell Set"/>
    <s v="East"/>
    <s v="Patna"/>
    <s v="Sneha Joshi"/>
    <n v="4"/>
    <n v="2200"/>
    <n v="0.05"/>
    <n v="8360"/>
    <n v="5800"/>
    <n v="2560"/>
  </r>
  <r>
    <s v="ORD-00190"/>
    <s v="2026-04-24"/>
    <s v="Customer 184"/>
    <x v="1"/>
    <s v="Storage Container"/>
    <s v="North"/>
    <s v="Lucknow"/>
    <s v="Sneha Joshi"/>
    <n v="3"/>
    <n v="600"/>
    <n v="0.15"/>
    <n v="1530"/>
    <n v="990"/>
    <n v="540"/>
  </r>
  <r>
    <s v="ORD-00854"/>
    <s v="2026-04-24"/>
    <s v="Customer 026"/>
    <x v="1"/>
    <s v="Coffee Mug"/>
    <s v="West"/>
    <s v="Mumbai"/>
    <s v="Vikas Singh"/>
    <n v="10"/>
    <n v="350"/>
    <n v="0.05"/>
    <n v="3325"/>
    <n v="1800"/>
    <n v="1525"/>
  </r>
  <r>
    <s v="ORD-00049"/>
    <s v="2026-04-25"/>
    <s v="Customer 117"/>
    <x v="0"/>
    <s v="Keyboard"/>
    <s v="East"/>
    <s v="Bhubaneswar"/>
    <s v="Amit Sharma"/>
    <n v="6"/>
    <n v="1200"/>
    <n v="0.05"/>
    <n v="6840"/>
    <n v="4320"/>
    <n v="2520"/>
  </r>
  <r>
    <s v="ORD-00555"/>
    <s v="2026-04-25"/>
    <s v="Customer 150"/>
    <x v="0"/>
    <s v="Bluetooth Speaker"/>
    <s v="West"/>
    <s v="Pune"/>
    <s v="Vikas Singh"/>
    <n v="3"/>
    <n v="2200"/>
    <n v="0"/>
    <n v="6600"/>
    <n v="4200"/>
    <n v="2400"/>
  </r>
  <r>
    <s v="ORD-00788"/>
    <s v="2026-04-25"/>
    <s v="Customer 168"/>
    <x v="1"/>
    <s v="Kitchen Scale"/>
    <s v="West"/>
    <s v="Nashik"/>
    <s v="Vikas Singh"/>
    <n v="5"/>
    <n v="950"/>
    <n v="0.05"/>
    <n v="4512.5"/>
    <n v="2800"/>
    <n v="1712.5"/>
  </r>
  <r>
    <s v="ORD-00989"/>
    <s v="2026-04-25"/>
    <s v="Customer 138"/>
    <x v="3"/>
    <s v="Desk Organizer"/>
    <s v="South"/>
    <s v="Kochi"/>
    <s v="Neha Kulkarni"/>
    <n v="1"/>
    <n v="450"/>
    <n v="0"/>
    <n v="450"/>
    <n v="250"/>
    <n v="200"/>
  </r>
  <r>
    <s v="ORD-00097"/>
    <s v="2026-04-26"/>
    <s v="Customer 107"/>
    <x v="1"/>
    <s v="Lunch Box"/>
    <s v="East"/>
    <s v="Patna"/>
    <s v="Sneha Joshi"/>
    <n v="7"/>
    <n v="700"/>
    <n v="0.05"/>
    <n v="4655"/>
    <n v="2800"/>
    <n v="1855"/>
  </r>
  <r>
    <s v="ORD-00571"/>
    <s v="2026-04-26"/>
    <s v="Customer 104"/>
    <x v="1"/>
    <s v="Storage Container"/>
    <s v="North"/>
    <s v="Lucknow"/>
    <s v="Rahul Verma"/>
    <n v="10"/>
    <n v="600"/>
    <n v="0"/>
    <n v="6000"/>
    <n v="3300"/>
    <n v="2700"/>
  </r>
  <r>
    <s v="ORD-00362"/>
    <s v="2026-04-27"/>
    <s v="Customer 156"/>
    <x v="1"/>
    <s v="Water Bottle"/>
    <s v="South"/>
    <s v="Kochi"/>
    <s v="Sneha Joshi"/>
    <n v="2"/>
    <n v="550"/>
    <n v="0"/>
    <n v="1100"/>
    <n v="600"/>
    <n v="500"/>
  </r>
  <r>
    <s v="ORD-00508"/>
    <s v="2026-04-27"/>
    <s v="Customer 185"/>
    <x v="2"/>
    <s v="Resistance Bands"/>
    <s v="East"/>
    <s v="Ranchi"/>
    <s v="Sneha Joshi"/>
    <n v="6"/>
    <n v="650"/>
    <n v="0.05"/>
    <n v="3705"/>
    <n v="2100"/>
    <n v="1605"/>
  </r>
  <r>
    <s v="ORD-00304"/>
    <s v="2026-04-28"/>
    <s v="Customer 047"/>
    <x v="1"/>
    <s v="Kitchen Scale"/>
    <s v="West"/>
    <s v="Mumbai"/>
    <s v="Rahul Verma"/>
    <n v="6"/>
    <n v="950"/>
    <n v="0.05"/>
    <n v="5415"/>
    <n v="3360"/>
    <n v="2055"/>
  </r>
  <r>
    <s v="ORD-00247"/>
    <s v="2026-04-29"/>
    <s v="Customer 024"/>
    <x v="1"/>
    <s v="Coffee Mug"/>
    <s v="South"/>
    <s v="Hyderabad"/>
    <s v="Sneha Joshi"/>
    <n v="6"/>
    <n v="350"/>
    <n v="0"/>
    <n v="2100"/>
    <n v="1080"/>
    <n v="1020"/>
  </r>
  <r>
    <s v="ORD-00689"/>
    <s v="2026-04-29"/>
    <s v="Customer 116"/>
    <x v="2"/>
    <s v="Gym Gloves"/>
    <s v="South"/>
    <s v="Bengaluru"/>
    <s v="Vikas Singh"/>
    <n v="8"/>
    <n v="500"/>
    <n v="0"/>
    <n v="4000"/>
    <n v="2240"/>
    <n v="1760"/>
  </r>
  <r>
    <s v="ORD-00898"/>
    <s v="2026-04-29"/>
    <s v="Customer 166"/>
    <x v="2"/>
    <s v="Gym Gloves"/>
    <s v="South"/>
    <s v="Bengaluru"/>
    <s v="Priya Patil"/>
    <n v="10"/>
    <n v="500"/>
    <n v="0"/>
    <n v="5000"/>
    <n v="2800"/>
    <n v="2200"/>
  </r>
  <r>
    <s v="ORD-00185"/>
    <s v="2026-04-30"/>
    <s v="Customer 068"/>
    <x v="1"/>
    <s v="Kitchen Scale"/>
    <s v="West"/>
    <s v="Pune"/>
    <s v="Rahul Verma"/>
    <n v="4"/>
    <n v="950"/>
    <n v="0"/>
    <n v="3800"/>
    <n v="2240"/>
    <n v="1560"/>
  </r>
  <r>
    <s v="ORD-00199"/>
    <s v="2026-04-30"/>
    <s v="Customer 097"/>
    <x v="0"/>
    <s v="Bluetooth Speaker"/>
    <s v="East"/>
    <s v="Kolkata"/>
    <s v="Priya Patil"/>
    <n v="10"/>
    <n v="2200"/>
    <n v="0.1"/>
    <n v="19800"/>
    <n v="14000"/>
    <n v="5800"/>
  </r>
  <r>
    <s v="ORD-00221"/>
    <s v="2026-04-30"/>
    <s v="Customer 043"/>
    <x v="0"/>
    <s v="USB-C Hub"/>
    <s v="North"/>
    <s v="Chandigarh"/>
    <s v="Neha Kulkarni"/>
    <n v="10"/>
    <n v="1800"/>
    <n v="0"/>
    <n v="18000"/>
    <n v="11000"/>
    <n v="7000"/>
  </r>
  <r>
    <s v="ORD-00590"/>
    <s v="2026-04-30"/>
    <s v="Customer 146"/>
    <x v="1"/>
    <s v="Kitchen Scale"/>
    <s v="North"/>
    <s v="Chandigarh"/>
    <s v="Sneha Joshi"/>
    <n v="6"/>
    <n v="950"/>
    <n v="0"/>
    <n v="5700"/>
    <n v="3360"/>
    <n v="2340"/>
  </r>
  <r>
    <s v="ORD-00959"/>
    <s v="2026-04-30"/>
    <s v="Customer 199"/>
    <x v="0"/>
    <s v="Wireless Mouse"/>
    <s v="North"/>
    <s v="Jaipur"/>
    <s v="Vikas Singh"/>
    <n v="9"/>
    <n v="650"/>
    <n v="0"/>
    <n v="5850"/>
    <n v="3420"/>
    <n v="2430"/>
  </r>
  <r>
    <s v="ORD-00152"/>
    <s v="2026-05-02"/>
    <s v="Customer 081"/>
    <x v="3"/>
    <s v="Ball Pen Pack"/>
    <s v="East"/>
    <s v="Patna"/>
    <s v="Neha Kulkarni"/>
    <n v="4"/>
    <n v="120"/>
    <n v="0"/>
    <n v="480"/>
    <n v="220"/>
    <n v="260"/>
  </r>
  <r>
    <s v="ORD-00165"/>
    <s v="2026-05-03"/>
    <s v="Customer 185"/>
    <x v="0"/>
    <s v="Bluetooth Speaker"/>
    <s v="West"/>
    <s v="Pune"/>
    <s v="Sneha Joshi"/>
    <n v="1"/>
    <n v="2200"/>
    <n v="0"/>
    <n v="2200"/>
    <n v="1400"/>
    <n v="800"/>
  </r>
  <r>
    <s v="ORD-00922"/>
    <s v="2026-05-03"/>
    <s v="Customer 014"/>
    <x v="0"/>
    <s v="USB-C Hub"/>
    <s v="East"/>
    <s v="Bhubaneswar"/>
    <s v="Amit Sharma"/>
    <n v="2"/>
    <n v="1800"/>
    <n v="0.05"/>
    <n v="3420"/>
    <n v="2200"/>
    <n v="1220"/>
  </r>
  <r>
    <s v="ORD-00144"/>
    <s v="2026-05-04"/>
    <s v="Customer 022"/>
    <x v="3"/>
    <s v="Notebook"/>
    <s v="East"/>
    <s v="Bhubaneswar"/>
    <s v="Rahul Verma"/>
    <n v="9"/>
    <n v="180"/>
    <n v="0"/>
    <n v="1620"/>
    <n v="810"/>
    <n v="810"/>
  </r>
  <r>
    <s v="ORD-00151"/>
    <s v="2026-05-04"/>
    <s v="Customer 150"/>
    <x v="1"/>
    <s v="Lunch Box"/>
    <s v="North"/>
    <s v="Jaipur"/>
    <s v="Vikas Singh"/>
    <n v="7"/>
    <n v="700"/>
    <n v="0.05"/>
    <n v="4655"/>
    <n v="2800"/>
    <n v="1855"/>
  </r>
  <r>
    <s v="ORD-00272"/>
    <s v="2026-05-04"/>
    <s v="Customer 079"/>
    <x v="3"/>
    <s v="Stapler"/>
    <s v="North"/>
    <s v="Lucknow"/>
    <s v="Vikas Singh"/>
    <n v="2"/>
    <n v="280"/>
    <n v="0"/>
    <n v="560"/>
    <n v="300"/>
    <n v="260"/>
  </r>
  <r>
    <s v="ORD-00499"/>
    <s v="2026-05-04"/>
    <s v="Customer 127"/>
    <x v="1"/>
    <s v="Coffee Mug"/>
    <s v="West"/>
    <s v="Pune"/>
    <s v="Rahul Verma"/>
    <n v="7"/>
    <n v="350"/>
    <n v="0"/>
    <n v="2450"/>
    <n v="1260"/>
    <n v="1190"/>
  </r>
  <r>
    <s v="ORD-00595"/>
    <s v="2026-05-04"/>
    <s v="Customer 136"/>
    <x v="0"/>
    <s v="Keyboard"/>
    <s v="East"/>
    <s v="Ranchi"/>
    <s v="Rahul Verma"/>
    <n v="2"/>
    <n v="1200"/>
    <n v="0.05"/>
    <n v="2280"/>
    <n v="1440"/>
    <n v="840"/>
  </r>
  <r>
    <s v="ORD-00625"/>
    <s v="2026-05-04"/>
    <s v="Customer 022"/>
    <x v="0"/>
    <s v="Power Bank"/>
    <s v="East"/>
    <s v="Kolkata"/>
    <s v="Amit Sharma"/>
    <n v="6"/>
    <n v="1500"/>
    <n v="0"/>
    <n v="9000"/>
    <n v="5400"/>
    <n v="3600"/>
  </r>
  <r>
    <s v="ORD-00918"/>
    <s v="2026-05-04"/>
    <s v="Customer 161"/>
    <x v="2"/>
    <s v="Gym Gloves"/>
    <s v="East"/>
    <s v="Patna"/>
    <s v="Priya Patil"/>
    <n v="5"/>
    <n v="500"/>
    <n v="0.05"/>
    <n v="2375"/>
    <n v="1400"/>
    <n v="975"/>
  </r>
  <r>
    <s v="ORD-00103"/>
    <s v="2026-05-05"/>
    <s v="Customer 131"/>
    <x v="0"/>
    <s v="Bluetooth Speaker"/>
    <s v="North"/>
    <s v="Lucknow"/>
    <s v="Rahul Verma"/>
    <n v="8"/>
    <n v="2200"/>
    <n v="0.1"/>
    <n v="15840"/>
    <n v="11200"/>
    <n v="4640"/>
  </r>
  <r>
    <s v="ORD-00549"/>
    <s v="2026-05-05"/>
    <s v="Customer 057"/>
    <x v="3"/>
    <s v="File Folder"/>
    <s v="East"/>
    <s v="Ranchi"/>
    <s v="Priya Patil"/>
    <n v="7"/>
    <n v="150"/>
    <n v="0"/>
    <n v="1050"/>
    <n v="525"/>
    <n v="525"/>
  </r>
  <r>
    <s v="ORD-00601"/>
    <s v="2026-05-05"/>
    <s v="Customer 011"/>
    <x v="3"/>
    <s v="Desk Organizer"/>
    <s v="North"/>
    <s v="Delhi"/>
    <s v="Vikas Singh"/>
    <n v="4"/>
    <n v="450"/>
    <n v="0"/>
    <n v="1800"/>
    <n v="1000"/>
    <n v="800"/>
  </r>
  <r>
    <s v="ORD-00903"/>
    <s v="2026-05-05"/>
    <s v="Customer 176"/>
    <x v="3"/>
    <s v="Desk Organizer"/>
    <s v="South"/>
    <s v="Hyderabad"/>
    <s v="Amit Sharma"/>
    <n v="8"/>
    <n v="450"/>
    <n v="0.1"/>
    <n v="3240"/>
    <n v="2000"/>
    <n v="1240"/>
  </r>
  <r>
    <s v="ORD-00255"/>
    <s v="2026-05-06"/>
    <s v="Customer 108"/>
    <x v="0"/>
    <s v="USB-C Hub"/>
    <s v="East"/>
    <s v="Bhubaneswar"/>
    <s v="Amit Sharma"/>
    <n v="5"/>
    <n v="1800"/>
    <n v="0.05"/>
    <n v="8550"/>
    <n v="5500"/>
    <n v="3050"/>
  </r>
  <r>
    <s v="ORD-00726"/>
    <s v="2026-05-06"/>
    <s v="Customer 146"/>
    <x v="0"/>
    <s v="Keyboard"/>
    <s v="North"/>
    <s v="Jaipur"/>
    <s v="Priya Patil"/>
    <n v="4"/>
    <n v="1200"/>
    <n v="0.15"/>
    <n v="4080"/>
    <n v="2880"/>
    <n v="1200"/>
  </r>
  <r>
    <s v="ORD-00059"/>
    <s v="2026-05-07"/>
    <s v="Customer 164"/>
    <x v="3"/>
    <s v="Desk Organizer"/>
    <s v="West"/>
    <s v="Ahmedabad"/>
    <s v="Priya Patil"/>
    <n v="4"/>
    <n v="450"/>
    <n v="0"/>
    <n v="1800"/>
    <n v="1000"/>
    <n v="800"/>
  </r>
  <r>
    <s v="ORD-00053"/>
    <s v="2026-05-08"/>
    <s v="Customer 147"/>
    <x v="1"/>
    <s v="Kitchen Scale"/>
    <s v="East"/>
    <s v="Bhubaneswar"/>
    <s v="Priya Patil"/>
    <n v="4"/>
    <n v="950"/>
    <n v="0"/>
    <n v="3800"/>
    <n v="2240"/>
    <n v="1560"/>
  </r>
  <r>
    <s v="ORD-00578"/>
    <s v="2026-05-08"/>
    <s v="Customer 110"/>
    <x v="0"/>
    <s v="Power Bank"/>
    <s v="West"/>
    <s v="Ahmedabad"/>
    <s v="Sneha Joshi"/>
    <n v="6"/>
    <n v="1500"/>
    <n v="0.05"/>
    <n v="8550"/>
    <n v="5400"/>
    <n v="3150"/>
  </r>
  <r>
    <s v="ORD-00203"/>
    <s v="2026-05-09"/>
    <s v="Customer 127"/>
    <x v="1"/>
    <s v="Coffee Mug"/>
    <s v="East"/>
    <s v="Bhubaneswar"/>
    <s v="Rahul Verma"/>
    <n v="4"/>
    <n v="350"/>
    <n v="0"/>
    <n v="1400"/>
    <n v="720"/>
    <n v="680"/>
  </r>
  <r>
    <s v="ORD-00303"/>
    <s v="2026-05-09"/>
    <s v="Customer 047"/>
    <x v="3"/>
    <s v="Ball Pen Pack"/>
    <s v="South"/>
    <s v="Kochi"/>
    <s v="Rahul Verma"/>
    <n v="1"/>
    <n v="120"/>
    <n v="0.05"/>
    <n v="114"/>
    <n v="55"/>
    <n v="59"/>
  </r>
  <r>
    <s v="ORD-00456"/>
    <s v="2026-05-09"/>
    <s v="Customer 169"/>
    <x v="2"/>
    <s v="Resistance Bands"/>
    <s v="South"/>
    <s v="Bengaluru"/>
    <s v="Vikas Singh"/>
    <n v="9"/>
    <n v="650"/>
    <n v="0"/>
    <n v="5850"/>
    <n v="3150"/>
    <n v="2700"/>
  </r>
  <r>
    <s v="ORD-00269"/>
    <s v="2026-05-10"/>
    <s v="Customer 097"/>
    <x v="0"/>
    <s v="Bluetooth Speaker"/>
    <s v="North"/>
    <s v="Jaipur"/>
    <s v="Sneha Joshi"/>
    <n v="3"/>
    <n v="2200"/>
    <n v="0"/>
    <n v="6600"/>
    <n v="4200"/>
    <n v="2400"/>
  </r>
  <r>
    <s v="ORD-00339"/>
    <s v="2026-05-10"/>
    <s v="Customer 077"/>
    <x v="1"/>
    <s v="Storage Container"/>
    <s v="East"/>
    <s v="Kolkata"/>
    <s v="Priya Patil"/>
    <n v="7"/>
    <n v="600"/>
    <n v="0.1"/>
    <n v="3780"/>
    <n v="2310"/>
    <n v="1470"/>
  </r>
  <r>
    <s v="ORD-00435"/>
    <s v="2026-05-10"/>
    <s v="Customer 104"/>
    <x v="3"/>
    <s v="File Folder"/>
    <s v="North"/>
    <s v="Lucknow"/>
    <s v="Priya Patil"/>
    <n v="5"/>
    <n v="150"/>
    <n v="0"/>
    <n v="750"/>
    <n v="375"/>
    <n v="375"/>
  </r>
  <r>
    <s v="ORD-00841"/>
    <s v="2026-05-10"/>
    <s v="Customer 113"/>
    <x v="1"/>
    <s v="Coffee Mug"/>
    <s v="East"/>
    <s v="Bhubaneswar"/>
    <s v="Vikas Singh"/>
    <n v="4"/>
    <n v="350"/>
    <n v="0"/>
    <n v="1400"/>
    <n v="720"/>
    <n v="680"/>
  </r>
  <r>
    <s v="ORD-00039"/>
    <s v="2026-05-11"/>
    <s v="Customer 160"/>
    <x v="3"/>
    <s v="Stapler"/>
    <s v="South"/>
    <s v="Chennai"/>
    <s v="Amit Sharma"/>
    <n v="1"/>
    <n v="280"/>
    <n v="0"/>
    <n v="280"/>
    <n v="150"/>
    <n v="130"/>
  </r>
  <r>
    <s v="ORD-00066"/>
    <s v="2026-05-11"/>
    <s v="Customer 007"/>
    <x v="2"/>
    <s v="Skipping Rope"/>
    <s v="South"/>
    <s v="Hyderabad"/>
    <s v="Neha Kulkarni"/>
    <n v="9"/>
    <n v="350"/>
    <n v="0.1"/>
    <n v="2835"/>
    <n v="1530"/>
    <n v="1305"/>
  </r>
  <r>
    <s v="ORD-00885"/>
    <s v="2026-05-11"/>
    <s v="Customer 030"/>
    <x v="0"/>
    <s v="USB-C Hub"/>
    <s v="North"/>
    <s v="Jaipur"/>
    <s v="Amit Sharma"/>
    <n v="3"/>
    <n v="1800"/>
    <n v="0"/>
    <n v="5400"/>
    <n v="3300"/>
    <n v="2100"/>
  </r>
  <r>
    <s v="ORD-00300"/>
    <s v="2026-05-12"/>
    <s v="Customer 024"/>
    <x v="1"/>
    <s v="Kitchen Scale"/>
    <s v="East"/>
    <s v="Bhubaneswar"/>
    <s v="Priya Patil"/>
    <n v="7"/>
    <n v="950"/>
    <n v="0.05"/>
    <n v="6317.5"/>
    <n v="3920"/>
    <n v="2397.5"/>
  </r>
  <r>
    <s v="ORD-00137"/>
    <s v="2026-05-13"/>
    <s v="Customer 072"/>
    <x v="3"/>
    <s v="Notebook"/>
    <s v="South"/>
    <s v="Chennai"/>
    <s v="Neha Kulkarni"/>
    <n v="8"/>
    <n v="180"/>
    <n v="0"/>
    <n v="1440"/>
    <n v="720"/>
    <n v="720"/>
  </r>
  <r>
    <s v="ORD-00556"/>
    <s v="2026-05-14"/>
    <s v="Customer 187"/>
    <x v="1"/>
    <s v="Water Bottle"/>
    <s v="North"/>
    <s v="Jaipur"/>
    <s v="Sneha Joshi"/>
    <n v="3"/>
    <n v="550"/>
    <n v="0.1"/>
    <n v="1485"/>
    <n v="900"/>
    <n v="585"/>
  </r>
  <r>
    <s v="ORD-00603"/>
    <s v="2026-05-14"/>
    <s v="Customer 030"/>
    <x v="2"/>
    <s v="Resistance Bands"/>
    <s v="South"/>
    <s v="Bengaluru"/>
    <s v="Amit Sharma"/>
    <n v="5"/>
    <n v="650"/>
    <n v="0"/>
    <n v="3250"/>
    <n v="1750"/>
    <n v="1500"/>
  </r>
  <r>
    <s v="ORD-00919"/>
    <s v="2026-05-14"/>
    <s v="Customer 112"/>
    <x v="1"/>
    <s v="Coffee Mug"/>
    <s v="East"/>
    <s v="Ranchi"/>
    <s v="Sneha Joshi"/>
    <n v="10"/>
    <n v="350"/>
    <n v="0.1"/>
    <n v="3150"/>
    <n v="1800"/>
    <n v="1350"/>
  </r>
  <r>
    <s v="ORD-00095"/>
    <s v="2026-05-15"/>
    <s v="Customer 008"/>
    <x v="0"/>
    <s v="USB-C Hub"/>
    <s v="South"/>
    <s v="Kochi"/>
    <s v="Amit Sharma"/>
    <n v="1"/>
    <n v="1800"/>
    <n v="0"/>
    <n v="1800"/>
    <n v="1100"/>
    <n v="700"/>
  </r>
  <r>
    <s v="ORD-00132"/>
    <s v="2026-05-15"/>
    <s v="Customer 141"/>
    <x v="1"/>
    <s v="Storage Container"/>
    <s v="South"/>
    <s v="Bengaluru"/>
    <s v="Neha Kulkarni"/>
    <n v="8"/>
    <n v="600"/>
    <n v="0.05"/>
    <n v="4560"/>
    <n v="2640"/>
    <n v="1920"/>
  </r>
  <r>
    <s v="ORD-00191"/>
    <s v="2026-05-15"/>
    <s v="Customer 058"/>
    <x v="1"/>
    <s v="Kitchen Scale"/>
    <s v="South"/>
    <s v="Kochi"/>
    <s v="Sneha Joshi"/>
    <n v="6"/>
    <n v="950"/>
    <n v="0.1"/>
    <n v="5130"/>
    <n v="3360"/>
    <n v="1770"/>
  </r>
  <r>
    <s v="ORD-00054"/>
    <s v="2026-05-16"/>
    <s v="Customer 128"/>
    <x v="3"/>
    <s v="Stapler"/>
    <s v="West"/>
    <s v="Ahmedabad"/>
    <s v="Rahul Verma"/>
    <n v="8"/>
    <n v="280"/>
    <n v="0.1"/>
    <n v="2016"/>
    <n v="1200"/>
    <n v="816"/>
  </r>
  <r>
    <s v="ORD-00246"/>
    <s v="2026-05-16"/>
    <s v="Customer 064"/>
    <x v="1"/>
    <s v="Lunch Box"/>
    <s v="North"/>
    <s v="Delhi"/>
    <s v="Rahul Verma"/>
    <n v="9"/>
    <n v="700"/>
    <n v="0.05"/>
    <n v="5985"/>
    <n v="3600"/>
    <n v="2385"/>
  </r>
  <r>
    <s v="ORD-00784"/>
    <s v="2026-05-16"/>
    <s v="Customer 127"/>
    <x v="0"/>
    <s v="Bluetooth Speaker"/>
    <s v="North"/>
    <s v="Delhi"/>
    <s v="Vikas Singh"/>
    <n v="5"/>
    <n v="2200"/>
    <n v="0.05"/>
    <n v="10450"/>
    <n v="7000"/>
    <n v="3450"/>
  </r>
  <r>
    <s v="ORD-00955"/>
    <s v="2026-05-16"/>
    <s v="Customer 054"/>
    <x v="3"/>
    <s v="Desk Organizer"/>
    <s v="West"/>
    <s v="Mumbai"/>
    <s v="Neha Kulkarni"/>
    <n v="2"/>
    <n v="450"/>
    <n v="0.1"/>
    <n v="810"/>
    <n v="500"/>
    <n v="310"/>
  </r>
  <r>
    <s v="ORD-00956"/>
    <s v="2026-05-16"/>
    <s v="Customer 093"/>
    <x v="0"/>
    <s v="Bluetooth Speaker"/>
    <s v="West"/>
    <s v="Nashik"/>
    <s v="Amit Sharma"/>
    <n v="2"/>
    <n v="2200"/>
    <n v="0.1"/>
    <n v="3960"/>
    <n v="2800"/>
    <n v="1160"/>
  </r>
  <r>
    <s v="ORD-00027"/>
    <s v="2026-05-17"/>
    <s v="Customer 148"/>
    <x v="3"/>
    <s v="Notebook"/>
    <s v="West"/>
    <s v="Ahmedabad"/>
    <s v="Sneha Joshi"/>
    <n v="6"/>
    <n v="180"/>
    <n v="0.05"/>
    <n v="1026"/>
    <n v="540"/>
    <n v="486"/>
  </r>
  <r>
    <s v="ORD-00008"/>
    <s v="2026-05-18"/>
    <s v="Customer 054"/>
    <x v="0"/>
    <s v="Bluetooth Speaker"/>
    <s v="North"/>
    <s v="Jaipur"/>
    <s v="Vikas Singh"/>
    <n v="6"/>
    <n v="2200"/>
    <n v="0"/>
    <n v="13200"/>
    <n v="8400"/>
    <n v="4800"/>
  </r>
  <r>
    <s v="ORD-00215"/>
    <s v="2026-05-19"/>
    <s v="Customer 193"/>
    <x v="1"/>
    <s v="Water Bottle"/>
    <s v="West"/>
    <s v="Ahmedabad"/>
    <s v="Sneha Joshi"/>
    <n v="2"/>
    <n v="550"/>
    <n v="0.1"/>
    <n v="990"/>
    <n v="600"/>
    <n v="390"/>
  </r>
  <r>
    <s v="ORD-00293"/>
    <s v="2026-05-19"/>
    <s v="Customer 003"/>
    <x v="0"/>
    <s v="Keyboard"/>
    <s v="North"/>
    <s v="Chandigarh"/>
    <s v="Amit Sharma"/>
    <n v="8"/>
    <n v="1200"/>
    <n v="0"/>
    <n v="9600"/>
    <n v="5760"/>
    <n v="3840"/>
  </r>
  <r>
    <s v="ORD-00793"/>
    <s v="2026-05-19"/>
    <s v="Customer 083"/>
    <x v="1"/>
    <s v="Lunch Box"/>
    <s v="North"/>
    <s v="Lucknow"/>
    <s v="Neha Kulkarni"/>
    <n v="9"/>
    <n v="700"/>
    <n v="0"/>
    <n v="6300"/>
    <n v="3600"/>
    <n v="2700"/>
  </r>
  <r>
    <s v="ORD-00893"/>
    <s v="2026-05-19"/>
    <s v="Customer 075"/>
    <x v="0"/>
    <s v="Wireless Mouse"/>
    <s v="South"/>
    <s v="Kochi"/>
    <s v="Rahul Verma"/>
    <n v="8"/>
    <n v="650"/>
    <n v="0.1"/>
    <n v="4680"/>
    <n v="3040"/>
    <n v="1640"/>
  </r>
  <r>
    <s v="ORD-00944"/>
    <s v="2026-05-20"/>
    <s v="Customer 027"/>
    <x v="0"/>
    <s v="Wireless Mouse"/>
    <s v="East"/>
    <s v="Bhubaneswar"/>
    <s v="Priya Patil"/>
    <n v="6"/>
    <n v="650"/>
    <n v="0"/>
    <n v="3900"/>
    <n v="2280"/>
    <n v="1620"/>
  </r>
  <r>
    <s v="ORD-00240"/>
    <s v="2026-05-21"/>
    <s v="Customer 054"/>
    <x v="1"/>
    <s v="Coffee Mug"/>
    <s v="East"/>
    <s v="Ranchi"/>
    <s v="Amit Sharma"/>
    <n v="4"/>
    <n v="350"/>
    <n v="0.05"/>
    <n v="1330"/>
    <n v="720"/>
    <n v="610"/>
  </r>
  <r>
    <s v="ORD-00327"/>
    <s v="2026-05-21"/>
    <s v="Customer 080"/>
    <x v="3"/>
    <s v="Ball Pen Pack"/>
    <s v="North"/>
    <s v="Chandigarh"/>
    <s v="Rahul Verma"/>
    <n v="4"/>
    <n v="120"/>
    <n v="0.05"/>
    <n v="456"/>
    <n v="220"/>
    <n v="236"/>
  </r>
  <r>
    <s v="ORD-00921"/>
    <s v="2026-05-21"/>
    <s v="Customer 004"/>
    <x v="1"/>
    <s v="Water Bottle"/>
    <s v="North"/>
    <s v="Chandigarh"/>
    <s v="Priya Patil"/>
    <n v="2"/>
    <n v="550"/>
    <n v="0"/>
    <n v="1100"/>
    <n v="600"/>
    <n v="500"/>
  </r>
  <r>
    <s v="ORD-00138"/>
    <s v="2026-05-22"/>
    <s v="Customer 162"/>
    <x v="3"/>
    <s v="Stapler"/>
    <s v="South"/>
    <s v="Chennai"/>
    <s v="Rahul Verma"/>
    <n v="1"/>
    <n v="280"/>
    <n v="0.05"/>
    <n v="266"/>
    <n v="150"/>
    <n v="116"/>
  </r>
  <r>
    <s v="ORD-00217"/>
    <s v="2026-05-22"/>
    <s v="Customer 171"/>
    <x v="3"/>
    <s v="File Folder"/>
    <s v="North"/>
    <s v="Delhi"/>
    <s v="Sneha Joshi"/>
    <n v="1"/>
    <n v="150"/>
    <n v="0"/>
    <n v="150"/>
    <n v="75"/>
    <n v="75"/>
  </r>
  <r>
    <s v="ORD-00390"/>
    <s v="2026-05-22"/>
    <s v="Customer 026"/>
    <x v="0"/>
    <s v="Wireless Mouse"/>
    <s v="North"/>
    <s v="Lucknow"/>
    <s v="Amit Sharma"/>
    <n v="3"/>
    <n v="650"/>
    <n v="0.15"/>
    <n v="1657.5"/>
    <n v="1140"/>
    <n v="517.5"/>
  </r>
  <r>
    <s v="ORD-00232"/>
    <s v="2026-05-23"/>
    <s v="Customer 003"/>
    <x v="0"/>
    <s v="USB-C Hub"/>
    <s v="East"/>
    <s v="Bhubaneswar"/>
    <s v="Vikas Singh"/>
    <n v="10"/>
    <n v="1800"/>
    <n v="0.1"/>
    <n v="16200"/>
    <n v="11000"/>
    <n v="5200"/>
  </r>
  <r>
    <s v="ORD-00344"/>
    <s v="2026-05-23"/>
    <s v="Customer 064"/>
    <x v="0"/>
    <s v="Power Bank"/>
    <s v="West"/>
    <s v="Ahmedabad"/>
    <s v="Amit Sharma"/>
    <n v="8"/>
    <n v="1500"/>
    <n v="0"/>
    <n v="12000"/>
    <n v="7200"/>
    <n v="4800"/>
  </r>
  <r>
    <s v="ORD-00666"/>
    <s v="2026-05-23"/>
    <s v="Customer 186"/>
    <x v="2"/>
    <s v="Dumbbell Set"/>
    <s v="East"/>
    <s v="Ranchi"/>
    <s v="Vikas Singh"/>
    <n v="3"/>
    <n v="2200"/>
    <n v="0.05"/>
    <n v="6270"/>
    <n v="4350"/>
    <n v="1920"/>
  </r>
  <r>
    <s v="ORD-00475"/>
    <s v="2026-05-24"/>
    <s v="Customer 053"/>
    <x v="0"/>
    <s v="Keyboard"/>
    <s v="West"/>
    <s v="Ahmedabad"/>
    <s v="Rahul Verma"/>
    <n v="1"/>
    <n v="1200"/>
    <n v="0"/>
    <n v="1200"/>
    <n v="720"/>
    <n v="480"/>
  </r>
  <r>
    <s v="ORD-00548"/>
    <s v="2026-05-24"/>
    <s v="Customer 168"/>
    <x v="2"/>
    <s v="Resistance Bands"/>
    <s v="South"/>
    <s v="Chennai"/>
    <s v="Neha Kulkarni"/>
    <n v="5"/>
    <n v="650"/>
    <n v="0.05"/>
    <n v="3087.5"/>
    <n v="1750"/>
    <n v="1337.5"/>
  </r>
  <r>
    <s v="ORD-00624"/>
    <s v="2026-05-24"/>
    <s v="Customer 188"/>
    <x v="1"/>
    <s v="Storage Container"/>
    <s v="North"/>
    <s v="Chandigarh"/>
    <s v="Priya Patil"/>
    <n v="9"/>
    <n v="600"/>
    <n v="0"/>
    <n v="5400"/>
    <n v="2970"/>
    <n v="2430"/>
  </r>
  <r>
    <s v="ORD-00756"/>
    <s v="2026-05-24"/>
    <s v="Customer 118"/>
    <x v="1"/>
    <s v="Kitchen Scale"/>
    <s v="North"/>
    <s v="Jaipur"/>
    <s v="Priya Patil"/>
    <n v="1"/>
    <n v="950"/>
    <n v="0"/>
    <n v="950"/>
    <n v="560"/>
    <n v="390"/>
  </r>
  <r>
    <s v="ORD-00325"/>
    <s v="2026-05-25"/>
    <s v="Customer 012"/>
    <x v="3"/>
    <s v="Desk Organizer"/>
    <s v="North"/>
    <s v="Lucknow"/>
    <s v="Priya Patil"/>
    <n v="3"/>
    <n v="450"/>
    <n v="0"/>
    <n v="1350"/>
    <n v="750"/>
    <n v="600"/>
  </r>
  <r>
    <s v="ORD-00770"/>
    <s v="2026-05-25"/>
    <s v="Customer 191"/>
    <x v="0"/>
    <s v="Keyboard"/>
    <s v="North"/>
    <s v="Jaipur"/>
    <s v="Amit Sharma"/>
    <n v="8"/>
    <n v="1200"/>
    <n v="0"/>
    <n v="9600"/>
    <n v="5760"/>
    <n v="3840"/>
  </r>
  <r>
    <s v="ORD-00934"/>
    <s v="2026-05-25"/>
    <s v="Customer 031"/>
    <x v="1"/>
    <s v="Lunch Box"/>
    <s v="North"/>
    <s v="Delhi"/>
    <s v="Amit Sharma"/>
    <n v="3"/>
    <n v="700"/>
    <n v="0"/>
    <n v="2100"/>
    <n v="1200"/>
    <n v="900"/>
  </r>
  <r>
    <s v="ORD-00986"/>
    <s v="2026-05-25"/>
    <s v="Customer 102"/>
    <x v="0"/>
    <s v="USB-C Hub"/>
    <s v="West"/>
    <s v="Ahmedabad"/>
    <s v="Neha Kulkarni"/>
    <n v="7"/>
    <n v="1800"/>
    <n v="0"/>
    <n v="12600"/>
    <n v="7700"/>
    <n v="4900"/>
  </r>
  <r>
    <s v="ORD-00288"/>
    <s v="2026-05-26"/>
    <s v="Customer 175"/>
    <x v="2"/>
    <s v="Gym Gloves"/>
    <s v="South"/>
    <s v="Hyderabad"/>
    <s v="Priya Patil"/>
    <n v="7"/>
    <n v="500"/>
    <n v="0.1"/>
    <n v="3150"/>
    <n v="1960"/>
    <n v="1190"/>
  </r>
  <r>
    <s v="ORD-00531"/>
    <s v="2026-05-26"/>
    <s v="Customer 050"/>
    <x v="2"/>
    <s v="Dumbbell Set"/>
    <s v="West"/>
    <s v="Nashik"/>
    <s v="Sneha Joshi"/>
    <n v="5"/>
    <n v="2200"/>
    <n v="0.15"/>
    <n v="9350"/>
    <n v="7250"/>
    <n v="2100"/>
  </r>
  <r>
    <s v="ORD-00565"/>
    <s v="2026-05-26"/>
    <s v="Customer 065"/>
    <x v="1"/>
    <s v="Water Bottle"/>
    <s v="West"/>
    <s v="Ahmedabad"/>
    <s v="Rahul Verma"/>
    <n v="8"/>
    <n v="550"/>
    <n v="0.1"/>
    <n v="3960"/>
    <n v="2400"/>
    <n v="1560"/>
  </r>
  <r>
    <s v="ORD-00644"/>
    <s v="2026-05-26"/>
    <s v="Customer 183"/>
    <x v="0"/>
    <s v="Wireless Mouse"/>
    <s v="East"/>
    <s v="Ranchi"/>
    <s v="Neha Kulkarni"/>
    <n v="3"/>
    <n v="650"/>
    <n v="0.1"/>
    <n v="1755"/>
    <n v="1140"/>
    <n v="615"/>
  </r>
  <r>
    <s v="ORD-00285"/>
    <s v="2026-05-27"/>
    <s v="Customer 181"/>
    <x v="3"/>
    <s v="File Folder"/>
    <s v="East"/>
    <s v="Patna"/>
    <s v="Sneha Joshi"/>
    <n v="8"/>
    <n v="150"/>
    <n v="0"/>
    <n v="1200"/>
    <n v="600"/>
    <n v="600"/>
  </r>
  <r>
    <s v="ORD-00520"/>
    <s v="2026-05-27"/>
    <s v="Customer 155"/>
    <x v="1"/>
    <s v="Water Bottle"/>
    <s v="North"/>
    <s v="Delhi"/>
    <s v="Sneha Joshi"/>
    <n v="5"/>
    <n v="550"/>
    <n v="0.05"/>
    <n v="2612.5"/>
    <n v="1500"/>
    <n v="1112.5"/>
  </r>
  <r>
    <s v="ORD-00648"/>
    <s v="2026-05-27"/>
    <s v="Customer 089"/>
    <x v="3"/>
    <s v="Desk Organizer"/>
    <s v="West"/>
    <s v="Mumbai"/>
    <s v="Vikas Singh"/>
    <n v="5"/>
    <n v="450"/>
    <n v="0"/>
    <n v="2250"/>
    <n v="1250"/>
    <n v="1000"/>
  </r>
  <r>
    <s v="ORD-00759"/>
    <s v="2026-05-27"/>
    <s v="Customer 078"/>
    <x v="1"/>
    <s v="Storage Container"/>
    <s v="North"/>
    <s v="Delhi"/>
    <s v="Neha Kulkarni"/>
    <n v="10"/>
    <n v="600"/>
    <n v="0.05"/>
    <n v="5700"/>
    <n v="3300"/>
    <n v="2400"/>
  </r>
  <r>
    <s v="ORD-00902"/>
    <s v="2026-05-27"/>
    <s v="Customer 051"/>
    <x v="3"/>
    <s v="Stapler"/>
    <s v="South"/>
    <s v="Chennai"/>
    <s v="Priya Patil"/>
    <n v="9"/>
    <n v="280"/>
    <n v="0"/>
    <n v="2520"/>
    <n v="1350"/>
    <n v="1170"/>
  </r>
  <r>
    <s v="ORD-00009"/>
    <s v="2026-05-28"/>
    <s v="Customer 095"/>
    <x v="2"/>
    <s v="Resistance Bands"/>
    <s v="East"/>
    <s v="Bhubaneswar"/>
    <s v="Neha Kulkarni"/>
    <n v="10"/>
    <n v="650"/>
    <n v="0.1"/>
    <n v="5850"/>
    <n v="3500"/>
    <n v="2350"/>
  </r>
  <r>
    <s v="ORD-00159"/>
    <s v="2026-05-28"/>
    <s v="Customer 079"/>
    <x v="1"/>
    <s v="Water Bottle"/>
    <s v="South"/>
    <s v="Hyderabad"/>
    <s v="Vikas Singh"/>
    <n v="5"/>
    <n v="550"/>
    <n v="0.05"/>
    <n v="2612.5"/>
    <n v="1500"/>
    <n v="1112.5"/>
  </r>
  <r>
    <s v="ORD-00216"/>
    <s v="2026-05-28"/>
    <s v="Customer 080"/>
    <x v="0"/>
    <s v="Power Bank"/>
    <s v="South"/>
    <s v="Chennai"/>
    <s v="Priya Patil"/>
    <n v="10"/>
    <n v="1500"/>
    <n v="0"/>
    <n v="15000"/>
    <n v="9000"/>
    <n v="6000"/>
  </r>
  <r>
    <s v="ORD-00611"/>
    <s v="2026-05-28"/>
    <s v="Customer 071"/>
    <x v="0"/>
    <s v="Bluetooth Speaker"/>
    <s v="North"/>
    <s v="Delhi"/>
    <s v="Vikas Singh"/>
    <n v="5"/>
    <n v="2200"/>
    <n v="0"/>
    <n v="11000"/>
    <n v="7000"/>
    <n v="4000"/>
  </r>
  <r>
    <s v="ORD-00455"/>
    <s v="2026-05-29"/>
    <s v="Customer 096"/>
    <x v="0"/>
    <s v="Wireless Mouse"/>
    <s v="West"/>
    <s v="Nashik"/>
    <s v="Rahul Verma"/>
    <n v="8"/>
    <n v="650"/>
    <n v="0"/>
    <n v="5200"/>
    <n v="3040"/>
    <n v="2160"/>
  </r>
  <r>
    <s v="ORD-00479"/>
    <s v="2026-05-29"/>
    <s v="Customer 132"/>
    <x v="1"/>
    <s v="Coffee Mug"/>
    <s v="South"/>
    <s v="Kochi"/>
    <s v="Vikas Singh"/>
    <n v="5"/>
    <n v="350"/>
    <n v="0.1"/>
    <n v="1575"/>
    <n v="900"/>
    <n v="675"/>
  </r>
  <r>
    <s v="ORD-00544"/>
    <s v="2026-05-29"/>
    <s v="Customer 084"/>
    <x v="3"/>
    <s v="Ball Pen Pack"/>
    <s v="North"/>
    <s v="Chandigarh"/>
    <s v="Rahul Verma"/>
    <n v="10"/>
    <n v="120"/>
    <n v="0"/>
    <n v="1200"/>
    <n v="550"/>
    <n v="650"/>
  </r>
  <r>
    <s v="ORD-00868"/>
    <s v="2026-05-29"/>
    <s v="Customer 011"/>
    <x v="0"/>
    <s v="USB-C Hub"/>
    <s v="West"/>
    <s v="Nashik"/>
    <s v="Amit Sharma"/>
    <n v="6"/>
    <n v="1800"/>
    <n v="0.1"/>
    <n v="9720"/>
    <n v="6600"/>
    <n v="3120"/>
  </r>
  <r>
    <s v="ORD-00336"/>
    <s v="2026-05-30"/>
    <s v="Customer 162"/>
    <x v="3"/>
    <s v="Notebook"/>
    <s v="West"/>
    <s v="Ahmedabad"/>
    <s v="Priya Patil"/>
    <n v="3"/>
    <n v="180"/>
    <n v="0"/>
    <n v="540"/>
    <n v="270"/>
    <n v="270"/>
  </r>
  <r>
    <s v="ORD-00717"/>
    <s v="2026-05-30"/>
    <s v="Customer 050"/>
    <x v="2"/>
    <s v="Gym Gloves"/>
    <s v="East"/>
    <s v="Kolkata"/>
    <s v="Priya Patil"/>
    <n v="5"/>
    <n v="500"/>
    <n v="0.1"/>
    <n v="2250"/>
    <n v="1400"/>
    <n v="850"/>
  </r>
  <r>
    <s v="ORD-00927"/>
    <s v="2026-05-30"/>
    <s v="Customer 016"/>
    <x v="3"/>
    <s v="Ball Pen Pack"/>
    <s v="West"/>
    <s v="Mumbai"/>
    <s v="Neha Kulkarni"/>
    <n v="1"/>
    <n v="120"/>
    <n v="0"/>
    <n v="120"/>
    <n v="55"/>
    <n v="65"/>
  </r>
  <r>
    <s v="ORD-00988"/>
    <s v="2026-05-30"/>
    <s v="Customer 200"/>
    <x v="1"/>
    <s v="Kitchen Scale"/>
    <s v="South"/>
    <s v="Kochi"/>
    <s v="Priya Patil"/>
    <n v="3"/>
    <n v="950"/>
    <n v="0.15"/>
    <n v="2422.5"/>
    <n v="1680"/>
    <n v="742.5"/>
  </r>
  <r>
    <s v="ORD-00041"/>
    <s v="2026-05-31"/>
    <s v="Customer 104"/>
    <x v="1"/>
    <s v="Coffee Mug"/>
    <s v="South"/>
    <s v="Chennai"/>
    <s v="Amit Sharma"/>
    <n v="10"/>
    <n v="350"/>
    <n v="0.1"/>
    <n v="3150"/>
    <n v="1800"/>
    <n v="1350"/>
  </r>
  <r>
    <s v="ORD-00380"/>
    <s v="2026-05-31"/>
    <s v="Customer 099"/>
    <x v="0"/>
    <s v="Power Bank"/>
    <s v="South"/>
    <s v="Bengaluru"/>
    <s v="Sneha Joshi"/>
    <n v="2"/>
    <n v="1500"/>
    <n v="0.05"/>
    <n v="2850"/>
    <n v="1800"/>
    <n v="1050"/>
  </r>
  <r>
    <s v="ORD-00542"/>
    <s v="2026-05-31"/>
    <s v="Customer 064"/>
    <x v="0"/>
    <s v="Bluetooth Speaker"/>
    <s v="East"/>
    <s v="Patna"/>
    <s v="Priya Patil"/>
    <n v="5"/>
    <n v="2200"/>
    <n v="0.15"/>
    <n v="9350"/>
    <n v="7000"/>
    <n v="2350"/>
  </r>
  <r>
    <s v="ORD-00704"/>
    <s v="2026-05-31"/>
    <s v="Customer 191"/>
    <x v="0"/>
    <s v="Keyboard"/>
    <s v="East"/>
    <s v="Ranchi"/>
    <s v="Vikas Singh"/>
    <n v="4"/>
    <n v="1200"/>
    <n v="0.05"/>
    <n v="4560"/>
    <n v="2880"/>
    <n v="1680"/>
  </r>
  <r>
    <s v="ORD-00731"/>
    <s v="2026-05-31"/>
    <s v="Customer 038"/>
    <x v="3"/>
    <s v="Ball Pen Pack"/>
    <s v="West"/>
    <s v="Nashik"/>
    <s v="Neha Kulkarni"/>
    <n v="2"/>
    <n v="120"/>
    <n v="0"/>
    <n v="240"/>
    <n v="110"/>
    <n v="130"/>
  </r>
  <r>
    <s v="ORD-00797"/>
    <s v="2026-05-31"/>
    <s v="Customer 112"/>
    <x v="0"/>
    <s v="Keyboard"/>
    <s v="North"/>
    <s v="Delhi"/>
    <s v="Rahul Verma"/>
    <n v="7"/>
    <n v="1200"/>
    <n v="0.05"/>
    <n v="7980"/>
    <n v="5040"/>
    <n v="2940"/>
  </r>
  <r>
    <s v="ORD-00164"/>
    <s v="2026-06-01"/>
    <s v="Customer 160"/>
    <x v="0"/>
    <s v="Keyboard"/>
    <s v="North"/>
    <s v="Jaipur"/>
    <s v="Rahul Verma"/>
    <n v="7"/>
    <n v="1200"/>
    <n v="0"/>
    <n v="8400"/>
    <n v="5040"/>
    <n v="3360"/>
  </r>
  <r>
    <s v="ORD-00047"/>
    <s v="2026-06-02"/>
    <s v="Customer 092"/>
    <x v="2"/>
    <s v="Resistance Bands"/>
    <s v="North"/>
    <s v="Lucknow"/>
    <s v="Priya Patil"/>
    <n v="1"/>
    <n v="650"/>
    <n v="0"/>
    <n v="650"/>
    <n v="350"/>
    <n v="300"/>
  </r>
  <r>
    <s v="ORD-00155"/>
    <s v="2026-06-02"/>
    <s v="Customer 101"/>
    <x v="1"/>
    <s v="Storage Container"/>
    <s v="South"/>
    <s v="Hyderabad"/>
    <s v="Sneha Joshi"/>
    <n v="6"/>
    <n v="600"/>
    <n v="0.05"/>
    <n v="3420"/>
    <n v="1980"/>
    <n v="1440"/>
  </r>
  <r>
    <s v="ORD-00329"/>
    <s v="2026-06-02"/>
    <s v="Customer 032"/>
    <x v="1"/>
    <s v="Lunch Box"/>
    <s v="West"/>
    <s v="Ahmedabad"/>
    <s v="Amit Sharma"/>
    <n v="6"/>
    <n v="700"/>
    <n v="0.15"/>
    <n v="3570"/>
    <n v="2400"/>
    <n v="1170"/>
  </r>
  <r>
    <s v="ORD-00342"/>
    <s v="2026-06-02"/>
    <s v="Customer 028"/>
    <x v="2"/>
    <s v="Yoga Mat"/>
    <s v="South"/>
    <s v="Hyderabad"/>
    <s v="Sneha Joshi"/>
    <n v="3"/>
    <n v="900"/>
    <n v="0.1"/>
    <n v="2430"/>
    <n v="1560"/>
    <n v="870"/>
  </r>
  <r>
    <s v="ORD-00343"/>
    <s v="2026-06-02"/>
    <s v="Customer 175"/>
    <x v="2"/>
    <s v="Yoga Mat"/>
    <s v="South"/>
    <s v="Kochi"/>
    <s v="Sneha Joshi"/>
    <n v="7"/>
    <n v="900"/>
    <n v="0.05"/>
    <n v="5985"/>
    <n v="3640"/>
    <n v="2345"/>
  </r>
  <r>
    <s v="ORD-00612"/>
    <s v="2026-06-02"/>
    <s v="Customer 106"/>
    <x v="2"/>
    <s v="Gym Gloves"/>
    <s v="West"/>
    <s v="Mumbai"/>
    <s v="Vikas Singh"/>
    <n v="3"/>
    <n v="500"/>
    <n v="0.05"/>
    <n v="1425"/>
    <n v="840"/>
    <n v="585"/>
  </r>
  <r>
    <s v="ORD-00614"/>
    <s v="2026-06-02"/>
    <s v="Customer 034"/>
    <x v="3"/>
    <s v="Ball Pen Pack"/>
    <s v="West"/>
    <s v="Pune"/>
    <s v="Vikas Singh"/>
    <n v="4"/>
    <n v="120"/>
    <n v="0.05"/>
    <n v="456"/>
    <n v="220"/>
    <n v="236"/>
  </r>
  <r>
    <s v="ORD-00645"/>
    <s v="2026-06-02"/>
    <s v="Customer 192"/>
    <x v="0"/>
    <s v="Keyboard"/>
    <s v="South"/>
    <s v="Chennai"/>
    <s v="Neha Kulkarni"/>
    <n v="6"/>
    <n v="1200"/>
    <n v="0.05"/>
    <n v="6840"/>
    <n v="4320"/>
    <n v="2520"/>
  </r>
  <r>
    <s v="ORD-00781"/>
    <s v="2026-06-02"/>
    <s v="Customer 186"/>
    <x v="1"/>
    <s v="Storage Container"/>
    <s v="North"/>
    <s v="Lucknow"/>
    <s v="Rahul Verma"/>
    <n v="2"/>
    <n v="600"/>
    <n v="0.05"/>
    <n v="1140"/>
    <n v="660"/>
    <n v="480"/>
  </r>
  <r>
    <s v="ORD-00525"/>
    <s v="2026-06-03"/>
    <s v="Customer 140"/>
    <x v="1"/>
    <s v="Water Bottle"/>
    <s v="North"/>
    <s v="Delhi"/>
    <s v="Rahul Verma"/>
    <n v="6"/>
    <n v="550"/>
    <n v="0"/>
    <n v="3300"/>
    <n v="1800"/>
    <n v="1500"/>
  </r>
  <r>
    <s v="ORD-00858"/>
    <s v="2026-06-03"/>
    <s v="Customer 008"/>
    <x v="0"/>
    <s v="USB-C Hub"/>
    <s v="North"/>
    <s v="Lucknow"/>
    <s v="Priya Patil"/>
    <n v="5"/>
    <n v="1800"/>
    <n v="0.1"/>
    <n v="8100"/>
    <n v="5500"/>
    <n v="2600"/>
  </r>
  <r>
    <s v="ORD-00003"/>
    <s v="2026-06-04"/>
    <s v="Customer 161"/>
    <x v="2"/>
    <s v="Dumbbell Set"/>
    <s v="North"/>
    <s v="Jaipur"/>
    <s v="Sneha Joshi"/>
    <n v="2"/>
    <n v="2200"/>
    <n v="0"/>
    <n v="4400"/>
    <n v="2900"/>
    <n v="1500"/>
  </r>
  <r>
    <s v="ORD-00034"/>
    <s v="2026-06-04"/>
    <s v="Customer 048"/>
    <x v="3"/>
    <s v="Stapler"/>
    <s v="West"/>
    <s v="Ahmedabad"/>
    <s v="Sneha Joshi"/>
    <n v="1"/>
    <n v="280"/>
    <n v="0"/>
    <n v="280"/>
    <n v="150"/>
    <n v="130"/>
  </r>
  <r>
    <s v="ORD-00236"/>
    <s v="2026-06-04"/>
    <s v="Customer 141"/>
    <x v="2"/>
    <s v="Yoga Mat"/>
    <s v="East"/>
    <s v="Patna"/>
    <s v="Neha Kulkarni"/>
    <n v="3"/>
    <n v="900"/>
    <n v="0"/>
    <n v="2700"/>
    <n v="1560"/>
    <n v="1140"/>
  </r>
  <r>
    <s v="ORD-00241"/>
    <s v="2026-06-04"/>
    <s v="Customer 137"/>
    <x v="3"/>
    <s v="Stapler"/>
    <s v="North"/>
    <s v="Lucknow"/>
    <s v="Priya Patil"/>
    <n v="7"/>
    <n v="280"/>
    <n v="0.05"/>
    <n v="1862"/>
    <n v="1050"/>
    <n v="812"/>
  </r>
  <r>
    <s v="ORD-00367"/>
    <s v="2026-06-04"/>
    <s v="Customer 182"/>
    <x v="0"/>
    <s v="Wireless Mouse"/>
    <s v="South"/>
    <s v="Kochi"/>
    <s v="Rahul Verma"/>
    <n v="9"/>
    <n v="650"/>
    <n v="0"/>
    <n v="5850"/>
    <n v="3420"/>
    <n v="2430"/>
  </r>
  <r>
    <s v="ORD-00441"/>
    <s v="2026-06-05"/>
    <s v="Customer 098"/>
    <x v="2"/>
    <s v="Yoga Mat"/>
    <s v="West"/>
    <s v="Mumbai"/>
    <s v="Vikas Singh"/>
    <n v="10"/>
    <n v="900"/>
    <n v="0.15"/>
    <n v="7650"/>
    <n v="5200"/>
    <n v="2450"/>
  </r>
  <r>
    <s v="ORD-00585"/>
    <s v="2026-06-05"/>
    <s v="Customer 040"/>
    <x v="0"/>
    <s v="Keyboard"/>
    <s v="South"/>
    <s v="Chennai"/>
    <s v="Vikas Singh"/>
    <n v="4"/>
    <n v="1200"/>
    <n v="0"/>
    <n v="4800"/>
    <n v="2880"/>
    <n v="1920"/>
  </r>
  <r>
    <s v="ORD-00671"/>
    <s v="2026-06-05"/>
    <s v="Customer 152"/>
    <x v="0"/>
    <s v="Power Bank"/>
    <s v="West"/>
    <s v="Nashik"/>
    <s v="Amit Sharma"/>
    <n v="7"/>
    <n v="1500"/>
    <n v="0"/>
    <n v="10500"/>
    <n v="6300"/>
    <n v="4200"/>
  </r>
  <r>
    <s v="ORD-00229"/>
    <s v="2026-06-06"/>
    <s v="Customer 083"/>
    <x v="3"/>
    <s v="Desk Organizer"/>
    <s v="North"/>
    <s v="Jaipur"/>
    <s v="Vikas Singh"/>
    <n v="2"/>
    <n v="450"/>
    <n v="0.1"/>
    <n v="810"/>
    <n v="500"/>
    <n v="310"/>
  </r>
  <r>
    <s v="ORD-00673"/>
    <s v="2026-06-06"/>
    <s v="Customer 171"/>
    <x v="0"/>
    <s v="Keyboard"/>
    <s v="North"/>
    <s v="Chandigarh"/>
    <s v="Neha Kulkarni"/>
    <n v="9"/>
    <n v="1200"/>
    <n v="0"/>
    <n v="10800"/>
    <n v="6480"/>
    <n v="4320"/>
  </r>
  <r>
    <s v="ORD-00895"/>
    <s v="2026-06-06"/>
    <s v="Customer 135"/>
    <x v="1"/>
    <s v="Lunch Box"/>
    <s v="West"/>
    <s v="Nashik"/>
    <s v="Priya Patil"/>
    <n v="1"/>
    <n v="700"/>
    <n v="0"/>
    <n v="700"/>
    <n v="400"/>
    <n v="300"/>
  </r>
  <r>
    <s v="ORD-00629"/>
    <s v="2026-06-07"/>
    <s v="Customer 149"/>
    <x v="3"/>
    <s v="File Folder"/>
    <s v="West"/>
    <s v="Ahmedabad"/>
    <s v="Priya Patil"/>
    <n v="4"/>
    <n v="150"/>
    <n v="0.05"/>
    <n v="570"/>
    <n v="300"/>
    <n v="270"/>
  </r>
  <r>
    <s v="ORD-00292"/>
    <s v="2026-06-08"/>
    <s v="Customer 128"/>
    <x v="0"/>
    <s v="USB-C Hub"/>
    <s v="South"/>
    <s v="Bengaluru"/>
    <s v="Vikas Singh"/>
    <n v="7"/>
    <n v="1800"/>
    <n v="0.05"/>
    <n v="11970"/>
    <n v="7700"/>
    <n v="4270"/>
  </r>
  <r>
    <s v="ORD-00953"/>
    <s v="2026-06-08"/>
    <s v="Customer 147"/>
    <x v="1"/>
    <s v="Kitchen Scale"/>
    <s v="North"/>
    <s v="Delhi"/>
    <s v="Rahul Verma"/>
    <n v="4"/>
    <n v="950"/>
    <n v="0"/>
    <n v="3800"/>
    <n v="2240"/>
    <n v="1560"/>
  </r>
  <r>
    <s v="ORD-00080"/>
    <s v="2026-06-09"/>
    <s v="Customer 063"/>
    <x v="1"/>
    <s v="Coffee Mug"/>
    <s v="East"/>
    <s v="Patna"/>
    <s v="Amit Sharma"/>
    <n v="1"/>
    <n v="350"/>
    <n v="0"/>
    <n v="350"/>
    <n v="180"/>
    <n v="170"/>
  </r>
  <r>
    <s v="ORD-00121"/>
    <s v="2026-06-09"/>
    <s v="Customer 043"/>
    <x v="1"/>
    <s v="Lunch Box"/>
    <s v="South"/>
    <s v="Chennai"/>
    <s v="Rahul Verma"/>
    <n v="3"/>
    <n v="700"/>
    <n v="0.05"/>
    <n v="1995"/>
    <n v="1200"/>
    <n v="795"/>
  </r>
  <r>
    <s v="ORD-00896"/>
    <s v="2026-06-09"/>
    <s v="Customer 133"/>
    <x v="0"/>
    <s v="Power Bank"/>
    <s v="North"/>
    <s v="Chandigarh"/>
    <s v="Neha Kulkarni"/>
    <n v="5"/>
    <n v="1500"/>
    <n v="0.1"/>
    <n v="6750"/>
    <n v="4500"/>
    <n v="2250"/>
  </r>
  <r>
    <s v="ORD-00020"/>
    <s v="2026-06-10"/>
    <s v="Customer 190"/>
    <x v="0"/>
    <s v="Wireless Mouse"/>
    <s v="South"/>
    <s v="Hyderabad"/>
    <s v="Amit Sharma"/>
    <n v="1"/>
    <n v="650"/>
    <n v="0"/>
    <n v="650"/>
    <n v="380"/>
    <n v="270"/>
  </r>
  <r>
    <s v="ORD-00722"/>
    <s v="2026-06-10"/>
    <s v="Customer 171"/>
    <x v="0"/>
    <s v="Wireless Mouse"/>
    <s v="East"/>
    <s v="Ranchi"/>
    <s v="Rahul Verma"/>
    <n v="4"/>
    <n v="650"/>
    <n v="0"/>
    <n v="2600"/>
    <n v="1520"/>
    <n v="1080"/>
  </r>
  <r>
    <s v="ORD-00706"/>
    <s v="2026-06-11"/>
    <s v="Customer 131"/>
    <x v="3"/>
    <s v="Notebook"/>
    <s v="North"/>
    <s v="Chandigarh"/>
    <s v="Rahul Verma"/>
    <n v="10"/>
    <n v="180"/>
    <n v="0"/>
    <n v="1800"/>
    <n v="900"/>
    <n v="900"/>
  </r>
  <r>
    <s v="ORD-00056"/>
    <s v="2026-06-12"/>
    <s v="Customer 141"/>
    <x v="1"/>
    <s v="Water Bottle"/>
    <s v="West"/>
    <s v="Ahmedabad"/>
    <s v="Sneha Joshi"/>
    <n v="10"/>
    <n v="550"/>
    <n v="0"/>
    <n v="5500"/>
    <n v="3000"/>
    <n v="2500"/>
  </r>
  <r>
    <s v="ORD-00130"/>
    <s v="2026-06-12"/>
    <s v="Customer 063"/>
    <x v="0"/>
    <s v="Bluetooth Speaker"/>
    <s v="North"/>
    <s v="Delhi"/>
    <s v="Rahul Verma"/>
    <n v="8"/>
    <n v="2200"/>
    <n v="0"/>
    <n v="17600"/>
    <n v="11200"/>
    <n v="6400"/>
  </r>
  <r>
    <s v="ORD-00363"/>
    <s v="2026-06-12"/>
    <s v="Customer 105"/>
    <x v="2"/>
    <s v="Dumbbell Set"/>
    <s v="North"/>
    <s v="Lucknow"/>
    <s v="Priya Patil"/>
    <n v="9"/>
    <n v="2200"/>
    <n v="0.1"/>
    <n v="17820"/>
    <n v="13050"/>
    <n v="4770"/>
  </r>
  <r>
    <s v="ORD-00636"/>
    <s v="2026-06-12"/>
    <s v="Customer 070"/>
    <x v="0"/>
    <s v="Power Bank"/>
    <s v="South"/>
    <s v="Kochi"/>
    <s v="Amit Sharma"/>
    <n v="3"/>
    <n v="1500"/>
    <n v="0.1"/>
    <n v="4050"/>
    <n v="2700"/>
    <n v="1350"/>
  </r>
  <r>
    <s v="ORD-00875"/>
    <s v="2026-06-12"/>
    <s v="Customer 054"/>
    <x v="0"/>
    <s v="Bluetooth Speaker"/>
    <s v="East"/>
    <s v="Ranchi"/>
    <s v="Priya Patil"/>
    <n v="7"/>
    <n v="2200"/>
    <n v="0"/>
    <n v="15400"/>
    <n v="9800"/>
    <n v="5600"/>
  </r>
  <r>
    <s v="ORD-00133"/>
    <s v="2026-06-13"/>
    <s v="Customer 144"/>
    <x v="1"/>
    <s v="Lunch Box"/>
    <s v="East"/>
    <s v="Patna"/>
    <s v="Rahul Verma"/>
    <n v="1"/>
    <n v="700"/>
    <n v="0"/>
    <n v="700"/>
    <n v="400"/>
    <n v="300"/>
  </r>
  <r>
    <s v="ORD-00147"/>
    <s v="2026-06-14"/>
    <s v="Customer 134"/>
    <x v="2"/>
    <s v="Gym Gloves"/>
    <s v="North"/>
    <s v="Jaipur"/>
    <s v="Rahul Verma"/>
    <n v="5"/>
    <n v="500"/>
    <n v="0"/>
    <n v="2500"/>
    <n v="1400"/>
    <n v="1100"/>
  </r>
  <r>
    <s v="ORD-00226"/>
    <s v="2026-06-14"/>
    <s v="Customer 142"/>
    <x v="0"/>
    <s v="Wireless Mouse"/>
    <s v="North"/>
    <s v="Chandigarh"/>
    <s v="Vikas Singh"/>
    <n v="1"/>
    <n v="650"/>
    <n v="0.05"/>
    <n v="617.5"/>
    <n v="380"/>
    <n v="237.5"/>
  </r>
  <r>
    <s v="ORD-00557"/>
    <s v="2026-06-14"/>
    <s v="Customer 084"/>
    <x v="1"/>
    <s v="Kitchen Scale"/>
    <s v="South"/>
    <s v="Bengaluru"/>
    <s v="Neha Kulkarni"/>
    <n v="4"/>
    <n v="950"/>
    <n v="0.05"/>
    <n v="3610"/>
    <n v="2240"/>
    <n v="1370"/>
  </r>
  <r>
    <s v="ORD-00982"/>
    <s v="2026-06-14"/>
    <s v="Customer 123"/>
    <x v="1"/>
    <s v="Kitchen Scale"/>
    <s v="North"/>
    <s v="Jaipur"/>
    <s v="Neha Kulkarni"/>
    <n v="6"/>
    <n v="950"/>
    <n v="0.05"/>
    <n v="5415"/>
    <n v="3360"/>
    <n v="2055"/>
  </r>
  <r>
    <s v="ORD-00135"/>
    <s v="2026-06-15"/>
    <s v="Customer 010"/>
    <x v="1"/>
    <s v="Storage Container"/>
    <s v="West"/>
    <s v="Ahmedabad"/>
    <s v="Priya Patil"/>
    <n v="7"/>
    <n v="600"/>
    <n v="0.1"/>
    <n v="3780"/>
    <n v="2310"/>
    <n v="1470"/>
  </r>
  <r>
    <s v="ORD-00136"/>
    <s v="2026-06-15"/>
    <s v="Customer 178"/>
    <x v="2"/>
    <s v="Resistance Bands"/>
    <s v="East"/>
    <s v="Kolkata"/>
    <s v="Vikas Singh"/>
    <n v="7"/>
    <n v="650"/>
    <n v="0.15"/>
    <n v="3867.5"/>
    <n v="2450"/>
    <n v="1417.5"/>
  </r>
  <r>
    <s v="ORD-00206"/>
    <s v="2026-06-15"/>
    <s v="Customer 051"/>
    <x v="0"/>
    <s v="Bluetooth Speaker"/>
    <s v="West"/>
    <s v="Ahmedabad"/>
    <s v="Sneha Joshi"/>
    <n v="7"/>
    <n v="2200"/>
    <n v="0"/>
    <n v="15400"/>
    <n v="9800"/>
    <n v="5600"/>
  </r>
  <r>
    <s v="ORD-00532"/>
    <s v="2026-06-15"/>
    <s v="Customer 139"/>
    <x v="2"/>
    <s v="Resistance Bands"/>
    <s v="East"/>
    <s v="Bhubaneswar"/>
    <s v="Vikas Singh"/>
    <n v="9"/>
    <n v="650"/>
    <n v="0.05"/>
    <n v="5557.5"/>
    <n v="3150"/>
    <n v="2407.5"/>
  </r>
  <r>
    <s v="ORD-00564"/>
    <s v="2026-06-15"/>
    <s v="Customer 015"/>
    <x v="2"/>
    <s v="Yoga Mat"/>
    <s v="East"/>
    <s v="Patna"/>
    <s v="Sneha Joshi"/>
    <n v="2"/>
    <n v="900"/>
    <n v="0"/>
    <n v="1800"/>
    <n v="1040"/>
    <n v="760"/>
  </r>
  <r>
    <s v="ORD-00618"/>
    <s v="2026-06-15"/>
    <s v="Customer 066"/>
    <x v="2"/>
    <s v="Skipping Rope"/>
    <s v="West"/>
    <s v="Mumbai"/>
    <s v="Rahul Verma"/>
    <n v="3"/>
    <n v="350"/>
    <n v="0.15"/>
    <n v="892.5"/>
    <n v="510"/>
    <n v="382.5"/>
  </r>
  <r>
    <s v="ORD-00928"/>
    <s v="2026-06-15"/>
    <s v="Customer 041"/>
    <x v="3"/>
    <s v="Notebook"/>
    <s v="West"/>
    <s v="Pune"/>
    <s v="Neha Kulkarni"/>
    <n v="4"/>
    <n v="180"/>
    <n v="0"/>
    <n v="720"/>
    <n v="360"/>
    <n v="360"/>
  </r>
  <r>
    <s v="ORD-00052"/>
    <s v="2026-06-16"/>
    <s v="Customer 101"/>
    <x v="0"/>
    <s v="Keyboard"/>
    <s v="North"/>
    <s v="Chandigarh"/>
    <s v="Priya Patil"/>
    <n v="5"/>
    <n v="1200"/>
    <n v="0.05"/>
    <n v="5700"/>
    <n v="3600"/>
    <n v="2100"/>
  </r>
  <r>
    <s v="ORD-00102"/>
    <s v="2026-06-16"/>
    <s v="Customer 181"/>
    <x v="1"/>
    <s v="Lunch Box"/>
    <s v="East"/>
    <s v="Patna"/>
    <s v="Neha Kulkarni"/>
    <n v="6"/>
    <n v="700"/>
    <n v="0.05"/>
    <n v="3990"/>
    <n v="2400"/>
    <n v="1590"/>
  </r>
  <r>
    <s v="ORD-00118"/>
    <s v="2026-06-16"/>
    <s v="Customer 196"/>
    <x v="1"/>
    <s v="Lunch Box"/>
    <s v="East"/>
    <s v="Kolkata"/>
    <s v="Neha Kulkarni"/>
    <n v="6"/>
    <n v="700"/>
    <n v="0.1"/>
    <n v="3780"/>
    <n v="2400"/>
    <n v="1380"/>
  </r>
  <r>
    <s v="ORD-00958"/>
    <s v="2026-06-16"/>
    <s v="Customer 040"/>
    <x v="0"/>
    <s v="Power Bank"/>
    <s v="South"/>
    <s v="Kochi"/>
    <s v="Vikas Singh"/>
    <n v="1"/>
    <n v="1500"/>
    <n v="0.05"/>
    <n v="1425"/>
    <n v="900"/>
    <n v="525"/>
  </r>
  <r>
    <s v="ORD-00473"/>
    <s v="2026-06-17"/>
    <s v="Customer 150"/>
    <x v="1"/>
    <s v="Storage Container"/>
    <s v="South"/>
    <s v="Chennai"/>
    <s v="Rahul Verma"/>
    <n v="2"/>
    <n v="600"/>
    <n v="0"/>
    <n v="1200"/>
    <n v="660"/>
    <n v="540"/>
  </r>
  <r>
    <s v="ORD-00482"/>
    <s v="2026-06-17"/>
    <s v="Customer 040"/>
    <x v="0"/>
    <s v="Wireless Mouse"/>
    <s v="West"/>
    <s v="Pune"/>
    <s v="Rahul Verma"/>
    <n v="5"/>
    <n v="650"/>
    <n v="0"/>
    <n v="3250"/>
    <n v="1900"/>
    <n v="1350"/>
  </r>
  <r>
    <s v="ORD-00154"/>
    <s v="2026-06-18"/>
    <s v="Customer 131"/>
    <x v="3"/>
    <s v="Stapler"/>
    <s v="South"/>
    <s v="Kochi"/>
    <s v="Priya Patil"/>
    <n v="10"/>
    <n v="280"/>
    <n v="0.05"/>
    <n v="2660"/>
    <n v="1500"/>
    <n v="1160"/>
  </r>
  <r>
    <s v="ORD-00231"/>
    <s v="2026-06-18"/>
    <s v="Customer 172"/>
    <x v="3"/>
    <s v="Stapler"/>
    <s v="West"/>
    <s v="Mumbai"/>
    <s v="Neha Kulkarni"/>
    <n v="1"/>
    <n v="280"/>
    <n v="0.05"/>
    <n v="266"/>
    <n v="150"/>
    <n v="116"/>
  </r>
  <r>
    <s v="ORD-00354"/>
    <s v="2026-06-18"/>
    <s v="Customer 176"/>
    <x v="2"/>
    <s v="Gym Gloves"/>
    <s v="West"/>
    <s v="Mumbai"/>
    <s v="Vikas Singh"/>
    <n v="3"/>
    <n v="500"/>
    <n v="0"/>
    <n v="1500"/>
    <n v="840"/>
    <n v="660"/>
  </r>
  <r>
    <s v="ORD-00732"/>
    <s v="2026-06-18"/>
    <s v="Customer 114"/>
    <x v="1"/>
    <s v="Lunch Box"/>
    <s v="East"/>
    <s v="Patna"/>
    <s v="Vikas Singh"/>
    <n v="3"/>
    <n v="700"/>
    <n v="0"/>
    <n v="2100"/>
    <n v="1200"/>
    <n v="900"/>
  </r>
  <r>
    <s v="ORD-00257"/>
    <s v="2026-06-19"/>
    <s v="Customer 151"/>
    <x v="1"/>
    <s v="Storage Container"/>
    <s v="North"/>
    <s v="Chandigarh"/>
    <s v="Priya Patil"/>
    <n v="2"/>
    <n v="600"/>
    <n v="0"/>
    <n v="1200"/>
    <n v="660"/>
    <n v="540"/>
  </r>
  <r>
    <s v="ORD-00656"/>
    <s v="2026-06-19"/>
    <s v="Customer 178"/>
    <x v="0"/>
    <s v="Keyboard"/>
    <s v="West"/>
    <s v="Mumbai"/>
    <s v="Sneha Joshi"/>
    <n v="3"/>
    <n v="1200"/>
    <n v="0"/>
    <n v="3600"/>
    <n v="2160"/>
    <n v="1440"/>
  </r>
  <r>
    <s v="ORD-00794"/>
    <s v="2026-06-19"/>
    <s v="Customer 025"/>
    <x v="0"/>
    <s v="Bluetooth Speaker"/>
    <s v="North"/>
    <s v="Chandigarh"/>
    <s v="Sneha Joshi"/>
    <n v="2"/>
    <n v="2200"/>
    <n v="0"/>
    <n v="4400"/>
    <n v="2800"/>
    <n v="1600"/>
  </r>
  <r>
    <s v="ORD-00124"/>
    <s v="2026-06-20"/>
    <s v="Customer 072"/>
    <x v="1"/>
    <s v="Storage Container"/>
    <s v="East"/>
    <s v="Ranchi"/>
    <s v="Priya Patil"/>
    <n v="4"/>
    <n v="600"/>
    <n v="0.1"/>
    <n v="2160"/>
    <n v="1320"/>
    <n v="840"/>
  </r>
  <r>
    <s v="ORD-00168"/>
    <s v="2026-06-20"/>
    <s v="Customer 061"/>
    <x v="0"/>
    <s v="Wireless Mouse"/>
    <s v="West"/>
    <s v="Ahmedabad"/>
    <s v="Vikas Singh"/>
    <n v="4"/>
    <n v="650"/>
    <n v="0"/>
    <n v="2600"/>
    <n v="1520"/>
    <n v="1080"/>
  </r>
  <r>
    <s v="ORD-00245"/>
    <s v="2026-06-20"/>
    <s v="Customer 143"/>
    <x v="1"/>
    <s v="Coffee Mug"/>
    <s v="West"/>
    <s v="Nashik"/>
    <s v="Rahul Verma"/>
    <n v="5"/>
    <n v="350"/>
    <n v="0"/>
    <n v="1750"/>
    <n v="900"/>
    <n v="850"/>
  </r>
  <r>
    <s v="ORD-00569"/>
    <s v="2026-06-20"/>
    <s v="Customer 115"/>
    <x v="1"/>
    <s v="Lunch Box"/>
    <s v="East"/>
    <s v="Bhubaneswar"/>
    <s v="Sneha Joshi"/>
    <n v="2"/>
    <n v="700"/>
    <n v="0.05"/>
    <n v="1330"/>
    <n v="800"/>
    <n v="530"/>
  </r>
  <r>
    <s v="ORD-00865"/>
    <s v="2026-06-20"/>
    <s v="Customer 148"/>
    <x v="1"/>
    <s v="Coffee Mug"/>
    <s v="North"/>
    <s v="Lucknow"/>
    <s v="Sneha Joshi"/>
    <n v="2"/>
    <n v="350"/>
    <n v="0"/>
    <n v="700"/>
    <n v="360"/>
    <n v="340"/>
  </r>
  <r>
    <s v="ORD-00681"/>
    <s v="2026-06-21"/>
    <s v="Customer 077"/>
    <x v="2"/>
    <s v="Skipping Rope"/>
    <s v="North"/>
    <s v="Lucknow"/>
    <s v="Neha Kulkarni"/>
    <n v="3"/>
    <n v="350"/>
    <n v="0.05"/>
    <n v="997.5"/>
    <n v="510"/>
    <n v="487.5"/>
  </r>
  <r>
    <s v="ORD-00773"/>
    <s v="2026-06-21"/>
    <s v="Customer 189"/>
    <x v="3"/>
    <s v="File Folder"/>
    <s v="East"/>
    <s v="Patna"/>
    <s v="Sneha Joshi"/>
    <n v="7"/>
    <n v="150"/>
    <n v="0"/>
    <n v="1050"/>
    <n v="525"/>
    <n v="525"/>
  </r>
  <r>
    <s v="ORD-00502"/>
    <s v="2026-06-22"/>
    <s v="Customer 128"/>
    <x v="0"/>
    <s v="Power Bank"/>
    <s v="East"/>
    <s v="Kolkata"/>
    <s v="Priya Patil"/>
    <n v="5"/>
    <n v="1500"/>
    <n v="0"/>
    <n v="7500"/>
    <n v="4500"/>
    <n v="3000"/>
  </r>
  <r>
    <s v="ORD-00114"/>
    <s v="2026-06-23"/>
    <s v="Customer 072"/>
    <x v="3"/>
    <s v="File Folder"/>
    <s v="West"/>
    <s v="Mumbai"/>
    <s v="Neha Kulkarni"/>
    <n v="10"/>
    <n v="150"/>
    <n v="0"/>
    <n v="1500"/>
    <n v="750"/>
    <n v="750"/>
  </r>
  <r>
    <s v="ORD-00125"/>
    <s v="2026-06-23"/>
    <s v="Customer 041"/>
    <x v="1"/>
    <s v="Coffee Mug"/>
    <s v="West"/>
    <s v="Pune"/>
    <s v="Neha Kulkarni"/>
    <n v="3"/>
    <n v="350"/>
    <n v="0.05"/>
    <n v="997.5"/>
    <n v="540"/>
    <n v="457.5"/>
  </r>
  <r>
    <s v="ORD-00827"/>
    <s v="2026-06-24"/>
    <s v="Customer 119"/>
    <x v="3"/>
    <s v="File Folder"/>
    <s v="North"/>
    <s v="Delhi"/>
    <s v="Priya Patil"/>
    <n v="4"/>
    <n v="150"/>
    <n v="0"/>
    <n v="600"/>
    <n v="300"/>
    <n v="300"/>
  </r>
  <r>
    <s v="ORD-00905"/>
    <s v="2026-06-24"/>
    <s v="Customer 130"/>
    <x v="1"/>
    <s v="Kitchen Scale"/>
    <s v="West"/>
    <s v="Nashik"/>
    <s v="Vikas Singh"/>
    <n v="2"/>
    <n v="950"/>
    <n v="0"/>
    <n v="1900"/>
    <n v="1120"/>
    <n v="780"/>
  </r>
  <r>
    <s v="ORD-00606"/>
    <s v="2026-06-25"/>
    <s v="Customer 054"/>
    <x v="2"/>
    <s v="Yoga Mat"/>
    <s v="East"/>
    <s v="Bhubaneswar"/>
    <s v="Rahul Verma"/>
    <n v="2"/>
    <n v="900"/>
    <n v="0.1"/>
    <n v="1620"/>
    <n v="1040"/>
    <n v="580"/>
  </r>
  <r>
    <s v="ORD-00697"/>
    <s v="2026-06-25"/>
    <s v="Customer 141"/>
    <x v="2"/>
    <s v="Yoga Mat"/>
    <s v="North"/>
    <s v="Delhi"/>
    <s v="Sneha Joshi"/>
    <n v="3"/>
    <n v="900"/>
    <n v="0.1"/>
    <n v="2430"/>
    <n v="1560"/>
    <n v="870"/>
  </r>
  <r>
    <s v="ORD-00432"/>
    <s v="2026-06-26"/>
    <s v="Customer 080"/>
    <x v="2"/>
    <s v="Dumbbell Set"/>
    <s v="East"/>
    <s v="Patna"/>
    <s v="Priya Patil"/>
    <n v="2"/>
    <n v="2200"/>
    <n v="0.05"/>
    <n v="4180"/>
    <n v="2900"/>
    <n v="1280"/>
  </r>
  <r>
    <s v="ORD-00538"/>
    <s v="2026-06-26"/>
    <s v="Customer 150"/>
    <x v="0"/>
    <s v="Bluetooth Speaker"/>
    <s v="North"/>
    <s v="Jaipur"/>
    <s v="Sneha Joshi"/>
    <n v="8"/>
    <n v="2200"/>
    <n v="0"/>
    <n v="17600"/>
    <n v="11200"/>
    <n v="6400"/>
  </r>
  <r>
    <s v="ORD-00252"/>
    <s v="2026-06-27"/>
    <s v="Customer 186"/>
    <x v="3"/>
    <s v="Desk Organizer"/>
    <s v="North"/>
    <s v="Lucknow"/>
    <s v="Sneha Joshi"/>
    <n v="4"/>
    <n v="450"/>
    <n v="0"/>
    <n v="1800"/>
    <n v="1000"/>
    <n v="800"/>
  </r>
  <r>
    <s v="ORD-00888"/>
    <s v="2026-06-27"/>
    <s v="Customer 074"/>
    <x v="1"/>
    <s v="Coffee Mug"/>
    <s v="West"/>
    <s v="Pune"/>
    <s v="Rahul Verma"/>
    <n v="5"/>
    <n v="350"/>
    <n v="0"/>
    <n v="1750"/>
    <n v="900"/>
    <n v="850"/>
  </r>
  <r>
    <s v="ORD-00011"/>
    <s v="2026-06-28"/>
    <s v="Customer 065"/>
    <x v="1"/>
    <s v="Water Bottle"/>
    <s v="East"/>
    <s v="Ranchi"/>
    <s v="Amit Sharma"/>
    <n v="9"/>
    <n v="550"/>
    <n v="0"/>
    <n v="4950"/>
    <n v="2700"/>
    <n v="2250"/>
  </r>
  <r>
    <s v="ORD-00197"/>
    <s v="2026-06-28"/>
    <s v="Customer 033"/>
    <x v="0"/>
    <s v="Keyboard"/>
    <s v="North"/>
    <s v="Lucknow"/>
    <s v="Sneha Joshi"/>
    <n v="6"/>
    <n v="1200"/>
    <n v="0"/>
    <n v="7200"/>
    <n v="4320"/>
    <n v="2880"/>
  </r>
  <r>
    <s v="ORD-00677"/>
    <s v="2026-06-28"/>
    <s v="Customer 114"/>
    <x v="0"/>
    <s v="Bluetooth Speaker"/>
    <s v="North"/>
    <s v="Jaipur"/>
    <s v="Sneha Joshi"/>
    <n v="2"/>
    <n v="2200"/>
    <n v="0.05"/>
    <n v="4180"/>
    <n v="2800"/>
    <n v="1380"/>
  </r>
  <r>
    <s v="ORD-00960"/>
    <s v="2026-06-29"/>
    <s v="Customer 022"/>
    <x v="2"/>
    <s v="Resistance Bands"/>
    <s v="West"/>
    <s v="Nashik"/>
    <s v="Rahul Verma"/>
    <n v="7"/>
    <n v="650"/>
    <n v="0.05"/>
    <n v="4322.5"/>
    <n v="2450"/>
    <n v="1872.5"/>
  </r>
  <r>
    <s v="ORD-00964"/>
    <s v="2026-06-29"/>
    <s v="Customer 136"/>
    <x v="1"/>
    <s v="Water Bottle"/>
    <s v="West"/>
    <s v="Mumbai"/>
    <s v="Priya Patil"/>
    <n v="4"/>
    <n v="550"/>
    <n v="0"/>
    <n v="2200"/>
    <n v="1200"/>
    <n v="1000"/>
  </r>
  <r>
    <s v="ORD-00156"/>
    <s v="2026-06-30"/>
    <s v="Customer 012"/>
    <x v="2"/>
    <s v="Yoga Mat"/>
    <s v="West"/>
    <s v="Mumbai"/>
    <s v="Neha Kulkarni"/>
    <n v="10"/>
    <n v="900"/>
    <n v="0.05"/>
    <n v="8550"/>
    <n v="5200"/>
    <n v="3350"/>
  </r>
  <r>
    <s v="ORD-00527"/>
    <s v="2026-07-01"/>
    <s v="Customer 035"/>
    <x v="3"/>
    <s v="Desk Organizer"/>
    <s v="East"/>
    <s v="Patna"/>
    <s v="Neha Kulkarni"/>
    <n v="5"/>
    <n v="450"/>
    <n v="0.1"/>
    <n v="2025"/>
    <n v="1250"/>
    <n v="775"/>
  </r>
  <r>
    <s v="ORD-00623"/>
    <s v="2026-07-02"/>
    <s v="Customer 144"/>
    <x v="2"/>
    <s v="Dumbbell Set"/>
    <s v="South"/>
    <s v="Hyderabad"/>
    <s v="Priya Patil"/>
    <n v="1"/>
    <n v="2200"/>
    <n v="0.1"/>
    <n v="1980"/>
    <n v="1450"/>
    <n v="530"/>
  </r>
  <r>
    <s v="ORD-00649"/>
    <s v="2026-07-02"/>
    <s v="Customer 007"/>
    <x v="1"/>
    <s v="Water Bottle"/>
    <s v="East"/>
    <s v="Bhubaneswar"/>
    <s v="Neha Kulkarni"/>
    <n v="4"/>
    <n v="550"/>
    <n v="0"/>
    <n v="2200"/>
    <n v="1200"/>
    <n v="1000"/>
  </r>
  <r>
    <s v="ORD-00948"/>
    <s v="2026-07-02"/>
    <s v="Customer 098"/>
    <x v="2"/>
    <s v="Gym Gloves"/>
    <s v="East"/>
    <s v="Ranchi"/>
    <s v="Neha Kulkarni"/>
    <n v="4"/>
    <n v="500"/>
    <n v="0.1"/>
    <n v="1800"/>
    <n v="1120"/>
    <n v="680"/>
  </r>
  <r>
    <s v="ORD-00622"/>
    <s v="2026-07-03"/>
    <s v="Customer 171"/>
    <x v="1"/>
    <s v="Storage Container"/>
    <s v="East"/>
    <s v="Patna"/>
    <s v="Rahul Verma"/>
    <n v="10"/>
    <n v="600"/>
    <n v="0"/>
    <n v="6000"/>
    <n v="3300"/>
    <n v="2700"/>
  </r>
  <r>
    <s v="ORD-00654"/>
    <s v="2026-07-03"/>
    <s v="Customer 052"/>
    <x v="2"/>
    <s v="Yoga Mat"/>
    <s v="North"/>
    <s v="Jaipur"/>
    <s v="Amit Sharma"/>
    <n v="9"/>
    <n v="900"/>
    <n v="0.05"/>
    <n v="7695"/>
    <n v="4680"/>
    <n v="3015"/>
  </r>
  <r>
    <s v="ORD-00672"/>
    <s v="2026-07-03"/>
    <s v="Customer 012"/>
    <x v="1"/>
    <s v="Water Bottle"/>
    <s v="North"/>
    <s v="Lucknow"/>
    <s v="Amit Sharma"/>
    <n v="8"/>
    <n v="550"/>
    <n v="0"/>
    <n v="4400"/>
    <n v="2400"/>
    <n v="2000"/>
  </r>
  <r>
    <s v="ORD-00046"/>
    <s v="2026-07-05"/>
    <s v="Customer 144"/>
    <x v="3"/>
    <s v="Stapler"/>
    <s v="East"/>
    <s v="Ranchi"/>
    <s v="Vikas Singh"/>
    <n v="3"/>
    <n v="280"/>
    <n v="0.05"/>
    <n v="798"/>
    <n v="450"/>
    <n v="348"/>
  </r>
  <r>
    <s v="ORD-00087"/>
    <s v="2026-07-05"/>
    <s v="Customer 166"/>
    <x v="2"/>
    <s v="Resistance Bands"/>
    <s v="North"/>
    <s v="Jaipur"/>
    <s v="Amit Sharma"/>
    <n v="3"/>
    <n v="650"/>
    <n v="0.1"/>
    <n v="1755"/>
    <n v="1050"/>
    <n v="705"/>
  </r>
  <r>
    <s v="ORD-00570"/>
    <s v="2026-07-05"/>
    <s v="Customer 058"/>
    <x v="1"/>
    <s v="Coffee Mug"/>
    <s v="West"/>
    <s v="Nashik"/>
    <s v="Amit Sharma"/>
    <n v="4"/>
    <n v="350"/>
    <n v="0.15"/>
    <n v="1190"/>
    <n v="720"/>
    <n v="470"/>
  </r>
  <r>
    <s v="ORD-00962"/>
    <s v="2026-07-05"/>
    <s v="Customer 118"/>
    <x v="3"/>
    <s v="File Folder"/>
    <s v="South"/>
    <s v="Bengaluru"/>
    <s v="Vikas Singh"/>
    <n v="1"/>
    <n v="150"/>
    <n v="0.05"/>
    <n v="142.5"/>
    <n v="75"/>
    <n v="67.5"/>
  </r>
  <r>
    <s v="ORD-00127"/>
    <s v="2026-07-06"/>
    <s v="Customer 137"/>
    <x v="2"/>
    <s v="Skipping Rope"/>
    <s v="East"/>
    <s v="Patna"/>
    <s v="Priya Patil"/>
    <n v="5"/>
    <n v="350"/>
    <n v="0"/>
    <n v="1750"/>
    <n v="850"/>
    <n v="900"/>
  </r>
  <r>
    <s v="ORD-00771"/>
    <s v="2026-07-06"/>
    <s v="Customer 010"/>
    <x v="1"/>
    <s v="Water Bottle"/>
    <s v="North"/>
    <s v="Chandigarh"/>
    <s v="Vikas Singh"/>
    <n v="10"/>
    <n v="550"/>
    <n v="0"/>
    <n v="5500"/>
    <n v="3000"/>
    <n v="2500"/>
  </r>
  <r>
    <s v="ORD-00789"/>
    <s v="2026-07-06"/>
    <s v="Customer 106"/>
    <x v="0"/>
    <s v="Power Bank"/>
    <s v="South"/>
    <s v="Kochi"/>
    <s v="Amit Sharma"/>
    <n v="8"/>
    <n v="1500"/>
    <n v="0.05"/>
    <n v="11400"/>
    <n v="7200"/>
    <n v="4200"/>
  </r>
  <r>
    <s v="ORD-00588"/>
    <s v="2026-07-07"/>
    <s v="Customer 027"/>
    <x v="2"/>
    <s v="Skipping Rope"/>
    <s v="North"/>
    <s v="Jaipur"/>
    <s v="Vikas Singh"/>
    <n v="8"/>
    <n v="350"/>
    <n v="0.1"/>
    <n v="2520"/>
    <n v="1360"/>
    <n v="1160"/>
  </r>
  <r>
    <s v="ORD-00990"/>
    <s v="2026-07-08"/>
    <s v="Customer 025"/>
    <x v="0"/>
    <s v="Wireless Mouse"/>
    <s v="East"/>
    <s v="Kolkata"/>
    <s v="Priya Patil"/>
    <n v="5"/>
    <n v="650"/>
    <n v="0.1"/>
    <n v="2925"/>
    <n v="1900"/>
    <n v="1025"/>
  </r>
  <r>
    <s v="ORD-00448"/>
    <s v="2026-07-10"/>
    <s v="Customer 138"/>
    <x v="3"/>
    <s v="Stapler"/>
    <s v="West"/>
    <s v="Ahmedabad"/>
    <s v="Neha Kulkarni"/>
    <n v="6"/>
    <n v="280"/>
    <n v="0"/>
    <n v="1680"/>
    <n v="900"/>
    <n v="780"/>
  </r>
  <r>
    <s v="ORD-00563"/>
    <s v="2026-07-10"/>
    <s v="Customer 052"/>
    <x v="3"/>
    <s v="File Folder"/>
    <s v="South"/>
    <s v="Bengaluru"/>
    <s v="Amit Sharma"/>
    <n v="7"/>
    <n v="150"/>
    <n v="0.05"/>
    <n v="997.5"/>
    <n v="525"/>
    <n v="472.5"/>
  </r>
  <r>
    <s v="ORD-00684"/>
    <s v="2026-07-10"/>
    <s v="Customer 103"/>
    <x v="1"/>
    <s v="Kitchen Scale"/>
    <s v="South"/>
    <s v="Hyderabad"/>
    <s v="Rahul Verma"/>
    <n v="7"/>
    <n v="950"/>
    <n v="0"/>
    <n v="6650"/>
    <n v="3920"/>
    <n v="2730"/>
  </r>
  <r>
    <s v="ORD-00836"/>
    <s v="2026-07-10"/>
    <s v="Customer 181"/>
    <x v="2"/>
    <s v="Gym Gloves"/>
    <s v="East"/>
    <s v="Patna"/>
    <s v="Vikas Singh"/>
    <n v="7"/>
    <n v="500"/>
    <n v="0"/>
    <n v="3500"/>
    <n v="1960"/>
    <n v="1540"/>
  </r>
  <r>
    <s v="ORD-00993"/>
    <s v="2026-07-10"/>
    <s v="Customer 075"/>
    <x v="2"/>
    <s v="Skipping Rope"/>
    <s v="South"/>
    <s v="Bengaluru"/>
    <s v="Priya Patil"/>
    <n v="2"/>
    <n v="350"/>
    <n v="0"/>
    <n v="700"/>
    <n v="340"/>
    <n v="360"/>
  </r>
  <r>
    <s v="ORD-00277"/>
    <s v="2026-07-11"/>
    <s v="Customer 188"/>
    <x v="1"/>
    <s v="Water Bottle"/>
    <s v="West"/>
    <s v="Pune"/>
    <s v="Vikas Singh"/>
    <n v="1"/>
    <n v="550"/>
    <n v="0.1"/>
    <n v="495"/>
    <n v="300"/>
    <n v="195"/>
  </r>
  <r>
    <s v="ORD-00335"/>
    <s v="2026-07-11"/>
    <s v="Customer 075"/>
    <x v="0"/>
    <s v="Bluetooth Speaker"/>
    <s v="North"/>
    <s v="Delhi"/>
    <s v="Amit Sharma"/>
    <n v="3"/>
    <n v="2200"/>
    <n v="0.05"/>
    <n v="6270"/>
    <n v="4200"/>
    <n v="2070"/>
  </r>
  <r>
    <s v="ORD-00459"/>
    <s v="2026-07-11"/>
    <s v="Customer 033"/>
    <x v="3"/>
    <s v="Desk Organizer"/>
    <s v="South"/>
    <s v="Kochi"/>
    <s v="Neha Kulkarni"/>
    <n v="3"/>
    <n v="450"/>
    <n v="0"/>
    <n v="1350"/>
    <n v="750"/>
    <n v="600"/>
  </r>
  <r>
    <s v="ORD-00503"/>
    <s v="2026-07-11"/>
    <s v="Customer 049"/>
    <x v="3"/>
    <s v="Stapler"/>
    <s v="West"/>
    <s v="Pune"/>
    <s v="Vikas Singh"/>
    <n v="1"/>
    <n v="280"/>
    <n v="0.05"/>
    <n v="266"/>
    <n v="150"/>
    <n v="116"/>
  </r>
  <r>
    <s v="ORD-00604"/>
    <s v="2026-07-11"/>
    <s v="Customer 094"/>
    <x v="0"/>
    <s v="Power Bank"/>
    <s v="East"/>
    <s v="Ranchi"/>
    <s v="Amit Sharma"/>
    <n v="9"/>
    <n v="1500"/>
    <n v="0.1"/>
    <n v="12150"/>
    <n v="8100"/>
    <n v="4050"/>
  </r>
  <r>
    <s v="ORD-00864"/>
    <s v="2026-07-11"/>
    <s v="Customer 070"/>
    <x v="3"/>
    <s v="Notebook"/>
    <s v="North"/>
    <s v="Delhi"/>
    <s v="Vikas Singh"/>
    <n v="3"/>
    <n v="180"/>
    <n v="0.05"/>
    <n v="513"/>
    <n v="270"/>
    <n v="243"/>
  </r>
  <r>
    <s v="ORD-00931"/>
    <s v="2026-07-12"/>
    <s v="Customer 029"/>
    <x v="2"/>
    <s v="Resistance Bands"/>
    <s v="North"/>
    <s v="Lucknow"/>
    <s v="Priya Patil"/>
    <n v="10"/>
    <n v="650"/>
    <n v="0"/>
    <n v="6500"/>
    <n v="3500"/>
    <n v="3000"/>
  </r>
  <r>
    <s v="ORD-00266"/>
    <s v="2026-07-13"/>
    <s v="Customer 191"/>
    <x v="2"/>
    <s v="Dumbbell Set"/>
    <s v="West"/>
    <s v="Nashik"/>
    <s v="Neha Kulkarni"/>
    <n v="4"/>
    <n v="2200"/>
    <n v="0"/>
    <n v="8800"/>
    <n v="5800"/>
    <n v="3000"/>
  </r>
  <r>
    <s v="ORD-00405"/>
    <s v="2026-07-13"/>
    <s v="Customer 120"/>
    <x v="1"/>
    <s v="Water Bottle"/>
    <s v="North"/>
    <s v="Lucknow"/>
    <s v="Priya Patil"/>
    <n v="10"/>
    <n v="550"/>
    <n v="0.05"/>
    <n v="5225"/>
    <n v="3000"/>
    <n v="2225"/>
  </r>
  <r>
    <s v="ORD-00494"/>
    <s v="2026-07-14"/>
    <s v="Customer 137"/>
    <x v="3"/>
    <s v="Ball Pen Pack"/>
    <s v="South"/>
    <s v="Kochi"/>
    <s v="Neha Kulkarni"/>
    <n v="1"/>
    <n v="120"/>
    <n v="0"/>
    <n v="120"/>
    <n v="55"/>
    <n v="65"/>
  </r>
  <r>
    <s v="ORD-00929"/>
    <s v="2026-07-14"/>
    <s v="Customer 166"/>
    <x v="3"/>
    <s v="File Folder"/>
    <s v="West"/>
    <s v="Pune"/>
    <s v="Rahul Verma"/>
    <n v="9"/>
    <n v="150"/>
    <n v="0.05"/>
    <n v="1282.5"/>
    <n v="675"/>
    <n v="607.5"/>
  </r>
  <r>
    <s v="ORD-00613"/>
    <s v="2026-07-16"/>
    <s v="Customer 164"/>
    <x v="2"/>
    <s v="Skipping Rope"/>
    <s v="South"/>
    <s v="Kochi"/>
    <s v="Priya Patil"/>
    <n v="4"/>
    <n v="350"/>
    <n v="0.05"/>
    <n v="1330"/>
    <n v="680"/>
    <n v="650"/>
  </r>
  <r>
    <s v="ORD-00674"/>
    <s v="2026-07-16"/>
    <s v="Customer 185"/>
    <x v="1"/>
    <s v="Lunch Box"/>
    <s v="West"/>
    <s v="Pune"/>
    <s v="Sneha Joshi"/>
    <n v="2"/>
    <n v="700"/>
    <n v="0.05"/>
    <n v="1330"/>
    <n v="800"/>
    <n v="530"/>
  </r>
  <r>
    <s v="ORD-00107"/>
    <s v="2026-07-17"/>
    <s v="Customer 038"/>
    <x v="0"/>
    <s v="Bluetooth Speaker"/>
    <s v="West"/>
    <s v="Ahmedabad"/>
    <s v="Vikas Singh"/>
    <n v="1"/>
    <n v="2200"/>
    <n v="0.05"/>
    <n v="2090"/>
    <n v="1400"/>
    <n v="690"/>
  </r>
  <r>
    <s v="ORD-00461"/>
    <s v="2026-07-17"/>
    <s v="Customer 190"/>
    <x v="3"/>
    <s v="Desk Organizer"/>
    <s v="East"/>
    <s v="Bhubaneswar"/>
    <s v="Rahul Verma"/>
    <n v="8"/>
    <n v="450"/>
    <n v="0"/>
    <n v="3600"/>
    <n v="2000"/>
    <n v="1600"/>
  </r>
  <r>
    <s v="ORD-00109"/>
    <s v="2026-07-18"/>
    <s v="Customer 063"/>
    <x v="0"/>
    <s v="Bluetooth Speaker"/>
    <s v="North"/>
    <s v="Delhi"/>
    <s v="Vikas Singh"/>
    <n v="8"/>
    <n v="2200"/>
    <n v="0.1"/>
    <n v="15840"/>
    <n v="11200"/>
    <n v="4640"/>
  </r>
  <r>
    <s v="ORD-00433"/>
    <s v="2026-07-18"/>
    <s v="Customer 171"/>
    <x v="2"/>
    <s v="Gym Gloves"/>
    <s v="North"/>
    <s v="Chandigarh"/>
    <s v="Amit Sharma"/>
    <n v="4"/>
    <n v="500"/>
    <n v="0"/>
    <n v="2000"/>
    <n v="1120"/>
    <n v="880"/>
  </r>
  <r>
    <s v="ORD-00454"/>
    <s v="2026-07-18"/>
    <s v="Customer 191"/>
    <x v="2"/>
    <s v="Yoga Mat"/>
    <s v="South"/>
    <s v="Bengaluru"/>
    <s v="Amit Sharma"/>
    <n v="5"/>
    <n v="900"/>
    <n v="0"/>
    <n v="4500"/>
    <n v="2600"/>
    <n v="1900"/>
  </r>
  <r>
    <s v="ORD-00505"/>
    <s v="2026-07-18"/>
    <s v="Customer 093"/>
    <x v="0"/>
    <s v="Wireless Mouse"/>
    <s v="North"/>
    <s v="Chandigarh"/>
    <s v="Amit Sharma"/>
    <n v="9"/>
    <n v="650"/>
    <n v="0.05"/>
    <n v="5557.5"/>
    <n v="3420"/>
    <n v="2137.5"/>
  </r>
  <r>
    <s v="ORD-00945"/>
    <s v="2026-07-18"/>
    <s v="Customer 018"/>
    <x v="0"/>
    <s v="Keyboard"/>
    <s v="East"/>
    <s v="Patna"/>
    <s v="Sneha Joshi"/>
    <n v="6"/>
    <n v="1200"/>
    <n v="0"/>
    <n v="7200"/>
    <n v="4320"/>
    <n v="2880"/>
  </r>
  <r>
    <s v="ORD-00537"/>
    <s v="2026-07-19"/>
    <s v="Customer 037"/>
    <x v="1"/>
    <s v="Lunch Box"/>
    <s v="East"/>
    <s v="Ranchi"/>
    <s v="Amit Sharma"/>
    <n v="10"/>
    <n v="700"/>
    <n v="0"/>
    <n v="7000"/>
    <n v="4000"/>
    <n v="3000"/>
  </r>
  <r>
    <s v="ORD-00813"/>
    <s v="2026-07-20"/>
    <s v="Customer 153"/>
    <x v="2"/>
    <s v="Skipping Rope"/>
    <s v="North"/>
    <s v="Delhi"/>
    <s v="Vikas Singh"/>
    <n v="3"/>
    <n v="350"/>
    <n v="0"/>
    <n v="1050"/>
    <n v="510"/>
    <n v="540"/>
  </r>
  <r>
    <s v="ORD-00835"/>
    <s v="2026-07-20"/>
    <s v="Customer 188"/>
    <x v="3"/>
    <s v="Desk Organizer"/>
    <s v="South"/>
    <s v="Hyderabad"/>
    <s v="Priya Patil"/>
    <n v="6"/>
    <n v="450"/>
    <n v="0"/>
    <n v="2700"/>
    <n v="1500"/>
    <n v="1200"/>
  </r>
  <r>
    <s v="ORD-00904"/>
    <s v="2026-07-20"/>
    <s v="Customer 139"/>
    <x v="1"/>
    <s v="Coffee Mug"/>
    <s v="South"/>
    <s v="Bengaluru"/>
    <s v="Amit Sharma"/>
    <n v="4"/>
    <n v="350"/>
    <n v="0.15"/>
    <n v="1190"/>
    <n v="720"/>
    <n v="470"/>
  </r>
  <r>
    <s v="ORD-00025"/>
    <s v="2026-07-21"/>
    <s v="Customer 183"/>
    <x v="1"/>
    <s v="Kitchen Scale"/>
    <s v="East"/>
    <s v="Bhubaneswar"/>
    <s v="Rahul Verma"/>
    <n v="6"/>
    <n v="950"/>
    <n v="0"/>
    <n v="5700"/>
    <n v="3360"/>
    <n v="2340"/>
  </r>
  <r>
    <s v="ORD-00348"/>
    <s v="2026-07-21"/>
    <s v="Customer 035"/>
    <x v="0"/>
    <s v="Bluetooth Speaker"/>
    <s v="West"/>
    <s v="Mumbai"/>
    <s v="Amit Sharma"/>
    <n v="9"/>
    <n v="2200"/>
    <n v="0.1"/>
    <n v="17820"/>
    <n v="12600"/>
    <n v="5220"/>
  </r>
  <r>
    <s v="ORD-00996"/>
    <s v="2026-07-21"/>
    <s v="Customer 186"/>
    <x v="0"/>
    <s v="USB-C Hub"/>
    <s v="West"/>
    <s v="Nashik"/>
    <s v="Neha Kulkarni"/>
    <n v="7"/>
    <n v="1800"/>
    <n v="0.05"/>
    <n v="11970"/>
    <n v="7700"/>
    <n v="4270"/>
  </r>
  <r>
    <s v="ORD-00213"/>
    <s v="2026-07-22"/>
    <s v="Customer 166"/>
    <x v="0"/>
    <s v="Bluetooth Speaker"/>
    <s v="North"/>
    <s v="Jaipur"/>
    <s v="Vikas Singh"/>
    <n v="2"/>
    <n v="2200"/>
    <n v="0"/>
    <n v="4400"/>
    <n v="2800"/>
    <n v="1600"/>
  </r>
  <r>
    <s v="ORD-00305"/>
    <s v="2026-07-22"/>
    <s v="Customer 061"/>
    <x v="1"/>
    <s v="Storage Container"/>
    <s v="South"/>
    <s v="Chennai"/>
    <s v="Priya Patil"/>
    <n v="9"/>
    <n v="600"/>
    <n v="0.15"/>
    <n v="4590"/>
    <n v="2970"/>
    <n v="1620"/>
  </r>
  <r>
    <s v="ORD-00331"/>
    <s v="2026-07-22"/>
    <s v="Customer 025"/>
    <x v="0"/>
    <s v="Keyboard"/>
    <s v="South"/>
    <s v="Chennai"/>
    <s v="Rahul Verma"/>
    <n v="7"/>
    <n v="1200"/>
    <n v="0"/>
    <n v="8400"/>
    <n v="5040"/>
    <n v="3360"/>
  </r>
  <r>
    <s v="ORD-00373"/>
    <s v="2026-07-22"/>
    <s v="Customer 158"/>
    <x v="2"/>
    <s v="Dumbbell Set"/>
    <s v="North"/>
    <s v="Delhi"/>
    <s v="Rahul Verma"/>
    <n v="4"/>
    <n v="2200"/>
    <n v="0"/>
    <n v="8800"/>
    <n v="5800"/>
    <n v="3000"/>
  </r>
  <r>
    <s v="ORD-00469"/>
    <s v="2026-07-22"/>
    <s v="Customer 156"/>
    <x v="0"/>
    <s v="Power Bank"/>
    <s v="North"/>
    <s v="Delhi"/>
    <s v="Neha Kulkarni"/>
    <n v="2"/>
    <n v="1500"/>
    <n v="0.15"/>
    <n v="2550"/>
    <n v="1800"/>
    <n v="750"/>
  </r>
  <r>
    <s v="ORD-00701"/>
    <s v="2026-07-22"/>
    <s v="Customer 059"/>
    <x v="3"/>
    <s v="Desk Organizer"/>
    <s v="North"/>
    <s v="Lucknow"/>
    <s v="Sneha Joshi"/>
    <n v="6"/>
    <n v="450"/>
    <n v="0"/>
    <n v="2700"/>
    <n v="1500"/>
    <n v="1200"/>
  </r>
  <r>
    <s v="ORD-00309"/>
    <s v="2026-07-23"/>
    <s v="Customer 041"/>
    <x v="1"/>
    <s v="Coffee Mug"/>
    <s v="South"/>
    <s v="Bengaluru"/>
    <s v="Neha Kulkarni"/>
    <n v="8"/>
    <n v="350"/>
    <n v="0.05"/>
    <n v="2660"/>
    <n v="1440"/>
    <n v="1220"/>
  </r>
  <r>
    <s v="ORD-00474"/>
    <s v="2026-07-23"/>
    <s v="Customer 187"/>
    <x v="3"/>
    <s v="Desk Organizer"/>
    <s v="North"/>
    <s v="Delhi"/>
    <s v="Sneha Joshi"/>
    <n v="1"/>
    <n v="450"/>
    <n v="0.05"/>
    <n v="427.5"/>
    <n v="250"/>
    <n v="177.5"/>
  </r>
  <r>
    <s v="ORD-00521"/>
    <s v="2026-07-23"/>
    <s v="Customer 084"/>
    <x v="2"/>
    <s v="Resistance Bands"/>
    <s v="South"/>
    <s v="Bengaluru"/>
    <s v="Priya Patil"/>
    <n v="4"/>
    <n v="650"/>
    <n v="0.05"/>
    <n v="2470"/>
    <n v="1400"/>
    <n v="1070"/>
  </r>
  <r>
    <s v="ORD-00840"/>
    <s v="2026-07-23"/>
    <s v="Customer 125"/>
    <x v="0"/>
    <s v="Wireless Mouse"/>
    <s v="East"/>
    <s v="Patna"/>
    <s v="Rahul Verma"/>
    <n v="7"/>
    <n v="650"/>
    <n v="0.1"/>
    <n v="4095"/>
    <n v="2660"/>
    <n v="1435"/>
  </r>
  <r>
    <s v="ORD-00068"/>
    <s v="2026-07-24"/>
    <s v="Customer 045"/>
    <x v="2"/>
    <s v="Gym Gloves"/>
    <s v="West"/>
    <s v="Pune"/>
    <s v="Sneha Joshi"/>
    <n v="4"/>
    <n v="500"/>
    <n v="0"/>
    <n v="2000"/>
    <n v="1120"/>
    <n v="880"/>
  </r>
  <r>
    <s v="ORD-00620"/>
    <s v="2026-07-24"/>
    <s v="Customer 154"/>
    <x v="0"/>
    <s v="USB-C Hub"/>
    <s v="East"/>
    <s v="Kolkata"/>
    <s v="Priya Patil"/>
    <n v="7"/>
    <n v="1800"/>
    <n v="0"/>
    <n v="12600"/>
    <n v="7700"/>
    <n v="4900"/>
  </r>
  <r>
    <s v="ORD-00860"/>
    <s v="2026-07-24"/>
    <s v="Customer 151"/>
    <x v="1"/>
    <s v="Storage Container"/>
    <s v="East"/>
    <s v="Kolkata"/>
    <s v="Amit Sharma"/>
    <n v="6"/>
    <n v="600"/>
    <n v="0"/>
    <n v="3600"/>
    <n v="1980"/>
    <n v="1620"/>
  </r>
  <r>
    <s v="ORD-00973"/>
    <s v="2026-07-24"/>
    <s v="Customer 166"/>
    <x v="0"/>
    <s v="USB-C Hub"/>
    <s v="West"/>
    <s v="Nashik"/>
    <s v="Rahul Verma"/>
    <n v="3"/>
    <n v="1800"/>
    <n v="0.1"/>
    <n v="4860"/>
    <n v="3300"/>
    <n v="1560"/>
  </r>
  <r>
    <s v="ORD-00559"/>
    <s v="2026-07-25"/>
    <s v="Customer 109"/>
    <x v="0"/>
    <s v="Wireless Mouse"/>
    <s v="South"/>
    <s v="Bengaluru"/>
    <s v="Neha Kulkarni"/>
    <n v="1"/>
    <n v="650"/>
    <n v="0"/>
    <n v="650"/>
    <n v="380"/>
    <n v="270"/>
  </r>
  <r>
    <s v="ORD-00646"/>
    <s v="2026-07-25"/>
    <s v="Customer 187"/>
    <x v="0"/>
    <s v="Wireless Mouse"/>
    <s v="North"/>
    <s v="Chandigarh"/>
    <s v="Sneha Joshi"/>
    <n v="1"/>
    <n v="650"/>
    <n v="0.15"/>
    <n v="552.5"/>
    <n v="380"/>
    <n v="172.5"/>
  </r>
  <r>
    <s v="ORD-00283"/>
    <s v="2026-07-26"/>
    <s v="Customer 194"/>
    <x v="0"/>
    <s v="Bluetooth Speaker"/>
    <s v="West"/>
    <s v="Nashik"/>
    <s v="Priya Patil"/>
    <n v="8"/>
    <n v="2200"/>
    <n v="0.1"/>
    <n v="15840"/>
    <n v="11200"/>
    <n v="4640"/>
  </r>
  <r>
    <s v="ORD-00615"/>
    <s v="2026-07-26"/>
    <s v="Customer 147"/>
    <x v="0"/>
    <s v="Power Bank"/>
    <s v="East"/>
    <s v="Bhubaneswar"/>
    <s v="Neha Kulkarni"/>
    <n v="4"/>
    <n v="1500"/>
    <n v="0.1"/>
    <n v="5400"/>
    <n v="3600"/>
    <n v="1800"/>
  </r>
  <r>
    <s v="ORD-00075"/>
    <s v="2026-07-27"/>
    <s v="Customer 016"/>
    <x v="1"/>
    <s v="Lunch Box"/>
    <s v="East"/>
    <s v="Patna"/>
    <s v="Neha Kulkarni"/>
    <n v="9"/>
    <n v="700"/>
    <n v="0.1"/>
    <n v="5670"/>
    <n v="3600"/>
    <n v="2070"/>
  </r>
  <r>
    <s v="ORD-00170"/>
    <s v="2026-07-27"/>
    <s v="Customer 107"/>
    <x v="3"/>
    <s v="Stapler"/>
    <s v="South"/>
    <s v="Hyderabad"/>
    <s v="Priya Patil"/>
    <n v="5"/>
    <n v="280"/>
    <n v="0.1"/>
    <n v="1260"/>
    <n v="750"/>
    <n v="510"/>
  </r>
  <r>
    <s v="ORD-00667"/>
    <s v="2026-07-27"/>
    <s v="Customer 039"/>
    <x v="2"/>
    <s v="Gym Gloves"/>
    <s v="South"/>
    <s v="Bengaluru"/>
    <s v="Priya Patil"/>
    <n v="10"/>
    <n v="500"/>
    <n v="0"/>
    <n v="5000"/>
    <n v="2800"/>
    <n v="2200"/>
  </r>
  <r>
    <s v="ORD-00696"/>
    <s v="2026-07-27"/>
    <s v="Customer 189"/>
    <x v="2"/>
    <s v="Resistance Bands"/>
    <s v="West"/>
    <s v="Mumbai"/>
    <s v="Amit Sharma"/>
    <n v="4"/>
    <n v="650"/>
    <n v="0.15"/>
    <n v="2210"/>
    <n v="1400"/>
    <n v="810"/>
  </r>
  <r>
    <s v="ORD-00019"/>
    <s v="2026-07-28"/>
    <s v="Customer 128"/>
    <x v="2"/>
    <s v="Dumbbell Set"/>
    <s v="East"/>
    <s v="Ranchi"/>
    <s v="Priya Patil"/>
    <n v="4"/>
    <n v="2200"/>
    <n v="0.1"/>
    <n v="7920"/>
    <n v="5800"/>
    <n v="2120"/>
  </r>
  <r>
    <s v="ORD-00258"/>
    <s v="2026-07-28"/>
    <s v="Customer 067"/>
    <x v="3"/>
    <s v="Notebook"/>
    <s v="West"/>
    <s v="Pune"/>
    <s v="Sneha Joshi"/>
    <n v="9"/>
    <n v="180"/>
    <n v="0.05"/>
    <n v="1539"/>
    <n v="810"/>
    <n v="729"/>
  </r>
  <r>
    <s v="ORD-00349"/>
    <s v="2026-07-29"/>
    <s v="Customer 182"/>
    <x v="0"/>
    <s v="Wireless Mouse"/>
    <s v="East"/>
    <s v="Kolkata"/>
    <s v="Sneha Joshi"/>
    <n v="7"/>
    <n v="650"/>
    <n v="0"/>
    <n v="4550"/>
    <n v="2660"/>
    <n v="1890"/>
  </r>
  <r>
    <s v="ORD-00449"/>
    <s v="2026-07-29"/>
    <s v="Customer 038"/>
    <x v="0"/>
    <s v="Bluetooth Speaker"/>
    <s v="South"/>
    <s v="Kochi"/>
    <s v="Rahul Verma"/>
    <n v="3"/>
    <n v="2200"/>
    <n v="0"/>
    <n v="6600"/>
    <n v="4200"/>
    <n v="2400"/>
  </r>
  <r>
    <s v="ORD-00516"/>
    <s v="2026-07-29"/>
    <s v="Customer 170"/>
    <x v="1"/>
    <s v="Storage Container"/>
    <s v="North"/>
    <s v="Delhi"/>
    <s v="Vikas Singh"/>
    <n v="5"/>
    <n v="600"/>
    <n v="0.05"/>
    <n v="2850"/>
    <n v="1650"/>
    <n v="1200"/>
  </r>
  <r>
    <s v="ORD-00630"/>
    <s v="2026-07-29"/>
    <s v="Customer 150"/>
    <x v="3"/>
    <s v="Stapler"/>
    <s v="North"/>
    <s v="Chandigarh"/>
    <s v="Neha Kulkarni"/>
    <n v="2"/>
    <n v="280"/>
    <n v="0.1"/>
    <n v="504"/>
    <n v="300"/>
    <n v="204"/>
  </r>
  <r>
    <s v="ORD-00608"/>
    <s v="2026-07-30"/>
    <s v="Customer 132"/>
    <x v="1"/>
    <s v="Lunch Box"/>
    <s v="South"/>
    <s v="Chennai"/>
    <s v="Neha Kulkarni"/>
    <n v="10"/>
    <n v="700"/>
    <n v="0.05"/>
    <n v="6650"/>
    <n v="4000"/>
    <n v="2650"/>
  </r>
  <r>
    <s v="ORD-00219"/>
    <s v="2026-07-31"/>
    <s v="Customer 130"/>
    <x v="2"/>
    <s v="Dumbbell Set"/>
    <s v="East"/>
    <s v="Ranchi"/>
    <s v="Amit Sharma"/>
    <n v="6"/>
    <n v="2200"/>
    <n v="0"/>
    <n v="13200"/>
    <n v="8700"/>
    <n v="4500"/>
  </r>
  <r>
    <s v="ORD-00345"/>
    <s v="2026-07-31"/>
    <s v="Customer 041"/>
    <x v="3"/>
    <s v="Notebook"/>
    <s v="North"/>
    <s v="Lucknow"/>
    <s v="Sneha Joshi"/>
    <n v="5"/>
    <n v="180"/>
    <n v="0"/>
    <n v="900"/>
    <n v="450"/>
    <n v="450"/>
  </r>
  <r>
    <s v="ORD-00465"/>
    <s v="2026-07-31"/>
    <s v="Customer 069"/>
    <x v="0"/>
    <s v="Bluetooth Speaker"/>
    <s v="West"/>
    <s v="Pune"/>
    <s v="Neha Kulkarni"/>
    <n v="1"/>
    <n v="2200"/>
    <n v="0"/>
    <n v="2200"/>
    <n v="1400"/>
    <n v="800"/>
  </r>
  <r>
    <s v="ORD-00399"/>
    <s v="2026-08-01"/>
    <s v="Customer 022"/>
    <x v="1"/>
    <s v="Coffee Mug"/>
    <s v="East"/>
    <s v="Bhubaneswar"/>
    <s v="Neha Kulkarni"/>
    <n v="4"/>
    <n v="350"/>
    <n v="0"/>
    <n v="1400"/>
    <n v="720"/>
    <n v="680"/>
  </r>
  <r>
    <s v="ORD-00586"/>
    <s v="2026-08-01"/>
    <s v="Customer 022"/>
    <x v="1"/>
    <s v="Water Bottle"/>
    <s v="West"/>
    <s v="Nashik"/>
    <s v="Neha Kulkarni"/>
    <n v="10"/>
    <n v="550"/>
    <n v="0"/>
    <n v="5500"/>
    <n v="3000"/>
    <n v="2500"/>
  </r>
  <r>
    <s v="ORD-00235"/>
    <s v="2026-08-02"/>
    <s v="Customer 047"/>
    <x v="1"/>
    <s v="Lunch Box"/>
    <s v="South"/>
    <s v="Bengaluru"/>
    <s v="Vikas Singh"/>
    <n v="5"/>
    <n v="700"/>
    <n v="0"/>
    <n v="3500"/>
    <n v="2000"/>
    <n v="1500"/>
  </r>
  <r>
    <s v="ORD-00057"/>
    <s v="2026-08-03"/>
    <s v="Customer 090"/>
    <x v="0"/>
    <s v="Keyboard"/>
    <s v="West"/>
    <s v="Nashik"/>
    <s v="Vikas Singh"/>
    <n v="2"/>
    <n v="1200"/>
    <n v="0.05"/>
    <n v="2280"/>
    <n v="1440"/>
    <n v="840"/>
  </r>
  <r>
    <s v="ORD-00306"/>
    <s v="2026-08-03"/>
    <s v="Customer 109"/>
    <x v="3"/>
    <s v="Stapler"/>
    <s v="South"/>
    <s v="Bengaluru"/>
    <s v="Rahul Verma"/>
    <n v="6"/>
    <n v="280"/>
    <n v="0"/>
    <n v="1680"/>
    <n v="900"/>
    <n v="780"/>
  </r>
  <r>
    <s v="ORD-00414"/>
    <s v="2026-08-03"/>
    <s v="Customer 100"/>
    <x v="1"/>
    <s v="Kitchen Scale"/>
    <s v="West"/>
    <s v="Pune"/>
    <s v="Neha Kulkarni"/>
    <n v="8"/>
    <n v="950"/>
    <n v="0.1"/>
    <n v="6840"/>
    <n v="4480"/>
    <n v="2360"/>
  </r>
  <r>
    <s v="ORD-00600"/>
    <s v="2026-08-03"/>
    <s v="Customer 041"/>
    <x v="1"/>
    <s v="Coffee Mug"/>
    <s v="South"/>
    <s v="Chennai"/>
    <s v="Rahul Verma"/>
    <n v="1"/>
    <n v="350"/>
    <n v="0.05"/>
    <n v="332.5"/>
    <n v="180"/>
    <n v="152.5"/>
  </r>
  <r>
    <s v="ORD-00010"/>
    <s v="2026-08-04"/>
    <s v="Customer 111"/>
    <x v="0"/>
    <s v="Wireless Mouse"/>
    <s v="North"/>
    <s v="Chandigarh"/>
    <s v="Vikas Singh"/>
    <n v="5"/>
    <n v="650"/>
    <n v="0"/>
    <n v="3250"/>
    <n v="1900"/>
    <n v="1350"/>
  </r>
  <r>
    <s v="ORD-00033"/>
    <s v="2026-08-04"/>
    <s v="Customer 194"/>
    <x v="0"/>
    <s v="Wireless Mouse"/>
    <s v="South"/>
    <s v="Bengaluru"/>
    <s v="Neha Kulkarni"/>
    <n v="2"/>
    <n v="650"/>
    <n v="0"/>
    <n v="1300"/>
    <n v="760"/>
    <n v="540"/>
  </r>
  <r>
    <s v="ORD-00361"/>
    <s v="2026-08-04"/>
    <s v="Customer 146"/>
    <x v="0"/>
    <s v="Power Bank"/>
    <s v="South"/>
    <s v="Chennai"/>
    <s v="Priya Patil"/>
    <n v="1"/>
    <n v="1500"/>
    <n v="0.05"/>
    <n v="1425"/>
    <n v="900"/>
    <n v="525"/>
  </r>
  <r>
    <s v="ORD-00483"/>
    <s v="2026-08-04"/>
    <s v="Customer 094"/>
    <x v="3"/>
    <s v="Desk Organizer"/>
    <s v="North"/>
    <s v="Jaipur"/>
    <s v="Priya Patil"/>
    <n v="1"/>
    <n v="450"/>
    <n v="0.05"/>
    <n v="427.5"/>
    <n v="250"/>
    <n v="177.5"/>
  </r>
  <r>
    <s v="ORD-00547"/>
    <s v="2026-08-04"/>
    <s v="Customer 192"/>
    <x v="3"/>
    <s v="File Folder"/>
    <s v="West"/>
    <s v="Pune"/>
    <s v="Neha Kulkarni"/>
    <n v="6"/>
    <n v="150"/>
    <n v="0.1"/>
    <n v="810"/>
    <n v="450"/>
    <n v="360"/>
  </r>
  <r>
    <s v="ORD-00113"/>
    <s v="2026-08-05"/>
    <s v="Customer 123"/>
    <x v="1"/>
    <s v="Storage Container"/>
    <s v="North"/>
    <s v="Lucknow"/>
    <s v="Neha Kulkarni"/>
    <n v="5"/>
    <n v="600"/>
    <n v="0"/>
    <n v="3000"/>
    <n v="1650"/>
    <n v="1350"/>
  </r>
  <r>
    <s v="ORD-00568"/>
    <s v="2026-08-05"/>
    <s v="Customer 103"/>
    <x v="3"/>
    <s v="Notebook"/>
    <s v="West"/>
    <s v="Nashik"/>
    <s v="Sneha Joshi"/>
    <n v="2"/>
    <n v="180"/>
    <n v="0.05"/>
    <n v="342"/>
    <n v="180"/>
    <n v="162"/>
  </r>
  <r>
    <s v="ORD-00416"/>
    <s v="2026-08-06"/>
    <s v="Customer 119"/>
    <x v="3"/>
    <s v="File Folder"/>
    <s v="North"/>
    <s v="Chandigarh"/>
    <s v="Sneha Joshi"/>
    <n v="10"/>
    <n v="150"/>
    <n v="0.05"/>
    <n v="1425"/>
    <n v="750"/>
    <n v="675"/>
  </r>
  <r>
    <s v="ORD-00577"/>
    <s v="2026-08-06"/>
    <s v="Customer 177"/>
    <x v="3"/>
    <s v="Ball Pen Pack"/>
    <s v="North"/>
    <s v="Lucknow"/>
    <s v="Sneha Joshi"/>
    <n v="10"/>
    <n v="120"/>
    <n v="0.05"/>
    <n v="1140"/>
    <n v="550"/>
    <n v="590"/>
  </r>
  <r>
    <s v="ORD-00639"/>
    <s v="2026-08-06"/>
    <s v="Customer 070"/>
    <x v="2"/>
    <s v="Resistance Bands"/>
    <s v="West"/>
    <s v="Nashik"/>
    <s v="Vikas Singh"/>
    <n v="1"/>
    <n v="650"/>
    <n v="0"/>
    <n v="650"/>
    <n v="350"/>
    <n v="300"/>
  </r>
  <r>
    <s v="ORD-00737"/>
    <s v="2026-08-06"/>
    <s v="Customer 129"/>
    <x v="3"/>
    <s v="Stapler"/>
    <s v="East"/>
    <s v="Bhubaneswar"/>
    <s v="Neha Kulkarni"/>
    <n v="6"/>
    <n v="280"/>
    <n v="0.05"/>
    <n v="1596"/>
    <n v="900"/>
    <n v="696"/>
  </r>
  <r>
    <s v="ORD-00381"/>
    <s v="2026-08-07"/>
    <s v="Customer 008"/>
    <x v="3"/>
    <s v="Notebook"/>
    <s v="East"/>
    <s v="Bhubaneswar"/>
    <s v="Sneha Joshi"/>
    <n v="3"/>
    <n v="180"/>
    <n v="0"/>
    <n v="540"/>
    <n v="270"/>
    <n v="270"/>
  </r>
  <r>
    <s v="ORD-00749"/>
    <s v="2026-08-07"/>
    <s v="Customer 149"/>
    <x v="0"/>
    <s v="Keyboard"/>
    <s v="East"/>
    <s v="Bhubaneswar"/>
    <s v="Priya Patil"/>
    <n v="8"/>
    <n v="1200"/>
    <n v="0.05"/>
    <n v="9120"/>
    <n v="5760"/>
    <n v="3360"/>
  </r>
  <r>
    <s v="ORD-00914"/>
    <s v="2026-08-07"/>
    <s v="Customer 093"/>
    <x v="0"/>
    <s v="Power Bank"/>
    <s v="West"/>
    <s v="Pune"/>
    <s v="Sneha Joshi"/>
    <n v="5"/>
    <n v="1500"/>
    <n v="0.15"/>
    <n v="6375"/>
    <n v="4500"/>
    <n v="1875"/>
  </r>
  <r>
    <s v="ORD-00044"/>
    <s v="2026-08-08"/>
    <s v="Customer 049"/>
    <x v="1"/>
    <s v="Lunch Box"/>
    <s v="West"/>
    <s v="Pune"/>
    <s v="Sneha Joshi"/>
    <n v="6"/>
    <n v="700"/>
    <n v="0.05"/>
    <n v="3990"/>
    <n v="2400"/>
    <n v="1590"/>
  </r>
  <r>
    <s v="ORD-00772"/>
    <s v="2026-08-08"/>
    <s v="Customer 149"/>
    <x v="2"/>
    <s v="Dumbbell Set"/>
    <s v="West"/>
    <s v="Pune"/>
    <s v="Sneha Joshi"/>
    <n v="6"/>
    <n v="2200"/>
    <n v="0.05"/>
    <n v="12540"/>
    <n v="8700"/>
    <n v="3840"/>
  </r>
  <r>
    <s v="ORD-00801"/>
    <s v="2026-08-08"/>
    <s v="Customer 114"/>
    <x v="2"/>
    <s v="Dumbbell Set"/>
    <s v="East"/>
    <s v="Ranchi"/>
    <s v="Amit Sharma"/>
    <n v="4"/>
    <n v="2200"/>
    <n v="0.1"/>
    <n v="7920"/>
    <n v="5800"/>
    <n v="2120"/>
  </r>
  <r>
    <s v="ORD-01000"/>
    <s v="2026-08-08"/>
    <s v="Customer 133"/>
    <x v="2"/>
    <s v="Yoga Mat"/>
    <s v="North"/>
    <s v="Delhi"/>
    <s v="Sneha Joshi"/>
    <n v="9"/>
    <n v="900"/>
    <n v="0"/>
    <n v="8100"/>
    <n v="4680"/>
    <n v="3420"/>
  </r>
  <r>
    <s v="ORD-00024"/>
    <s v="2026-08-09"/>
    <s v="Customer 129"/>
    <x v="2"/>
    <s v="Skipping Rope"/>
    <s v="West"/>
    <s v="Pune"/>
    <s v="Rahul Verma"/>
    <n v="2"/>
    <n v="350"/>
    <n v="0"/>
    <n v="700"/>
    <n v="340"/>
    <n v="360"/>
  </r>
  <r>
    <s v="ORD-00234"/>
    <s v="2026-08-09"/>
    <s v="Customer 070"/>
    <x v="3"/>
    <s v="Stapler"/>
    <s v="South"/>
    <s v="Kochi"/>
    <s v="Neha Kulkarni"/>
    <n v="4"/>
    <n v="280"/>
    <n v="0.05"/>
    <n v="1064"/>
    <n v="600"/>
    <n v="464"/>
  </r>
  <r>
    <s v="ORD-00402"/>
    <s v="2026-08-09"/>
    <s v="Customer 088"/>
    <x v="3"/>
    <s v="Ball Pen Pack"/>
    <s v="North"/>
    <s v="Chandigarh"/>
    <s v="Priya Patil"/>
    <n v="6"/>
    <n v="120"/>
    <n v="0.05"/>
    <n v="684"/>
    <n v="330"/>
    <n v="354"/>
  </r>
  <r>
    <s v="ORD-00533"/>
    <s v="2026-08-09"/>
    <s v="Customer 169"/>
    <x v="1"/>
    <s v="Coffee Mug"/>
    <s v="East"/>
    <s v="Patna"/>
    <s v="Rahul Verma"/>
    <n v="5"/>
    <n v="350"/>
    <n v="0.05"/>
    <n v="1662.5"/>
    <n v="900"/>
    <n v="762.5"/>
  </r>
  <r>
    <s v="ORD-00341"/>
    <s v="2026-08-10"/>
    <s v="Customer 014"/>
    <x v="3"/>
    <s v="Desk Organizer"/>
    <s v="South"/>
    <s v="Hyderabad"/>
    <s v="Priya Patil"/>
    <n v="4"/>
    <n v="450"/>
    <n v="0"/>
    <n v="1800"/>
    <n v="1000"/>
    <n v="800"/>
  </r>
  <r>
    <s v="ORD-00819"/>
    <s v="2026-08-10"/>
    <s v="Customer 099"/>
    <x v="0"/>
    <s v="Keyboard"/>
    <s v="West"/>
    <s v="Nashik"/>
    <s v="Amit Sharma"/>
    <n v="2"/>
    <n v="1200"/>
    <n v="0"/>
    <n v="2400"/>
    <n v="1440"/>
    <n v="960"/>
  </r>
  <r>
    <s v="ORD-00926"/>
    <s v="2026-08-10"/>
    <s v="Customer 085"/>
    <x v="1"/>
    <s v="Coffee Mug"/>
    <s v="East"/>
    <s v="Kolkata"/>
    <s v="Rahul Verma"/>
    <n v="4"/>
    <n v="350"/>
    <n v="0.15"/>
    <n v="1190"/>
    <n v="720"/>
    <n v="470"/>
  </r>
  <r>
    <s v="ORD-00992"/>
    <s v="2026-08-10"/>
    <s v="Customer 080"/>
    <x v="1"/>
    <s v="Water Bottle"/>
    <s v="West"/>
    <s v="Nashik"/>
    <s v="Amit Sharma"/>
    <n v="3"/>
    <n v="550"/>
    <n v="0.05"/>
    <n v="1567.5"/>
    <n v="900"/>
    <n v="667.5"/>
  </r>
  <r>
    <s v="ORD-00979"/>
    <s v="2026-08-11"/>
    <s v="Customer 096"/>
    <x v="0"/>
    <s v="Wireless Mouse"/>
    <s v="North"/>
    <s v="Delhi"/>
    <s v="Neha Kulkarni"/>
    <n v="2"/>
    <n v="650"/>
    <n v="0"/>
    <n v="1300"/>
    <n v="760"/>
    <n v="540"/>
  </r>
  <r>
    <s v="ORD-00006"/>
    <s v="2026-08-12"/>
    <s v="Customer 053"/>
    <x v="3"/>
    <s v="Ball Pen Pack"/>
    <s v="East"/>
    <s v="Kolkata"/>
    <s v="Priya Patil"/>
    <n v="2"/>
    <n v="120"/>
    <n v="0"/>
    <n v="240"/>
    <n v="110"/>
    <n v="130"/>
  </r>
  <r>
    <s v="ORD-00093"/>
    <s v="2026-08-12"/>
    <s v="Customer 046"/>
    <x v="0"/>
    <s v="Power Bank"/>
    <s v="North"/>
    <s v="Delhi"/>
    <s v="Priya Patil"/>
    <n v="5"/>
    <n v="1500"/>
    <n v="0.05"/>
    <n v="7125"/>
    <n v="4500"/>
    <n v="2625"/>
  </r>
  <r>
    <s v="ORD-00518"/>
    <s v="2026-08-12"/>
    <s v="Customer 023"/>
    <x v="1"/>
    <s v="Water Bottle"/>
    <s v="North"/>
    <s v="Jaipur"/>
    <s v="Priya Patil"/>
    <n v="2"/>
    <n v="550"/>
    <n v="0"/>
    <n v="1100"/>
    <n v="600"/>
    <n v="500"/>
  </r>
  <r>
    <s v="ORD-00607"/>
    <s v="2026-08-12"/>
    <s v="Customer 144"/>
    <x v="0"/>
    <s v="Wireless Mouse"/>
    <s v="South"/>
    <s v="Hyderabad"/>
    <s v="Neha Kulkarni"/>
    <n v="3"/>
    <n v="650"/>
    <n v="0"/>
    <n v="1950"/>
    <n v="1140"/>
    <n v="810"/>
  </r>
  <r>
    <s v="ORD-00752"/>
    <s v="2026-08-12"/>
    <s v="Customer 180"/>
    <x v="0"/>
    <s v="USB-C Hub"/>
    <s v="South"/>
    <s v="Kochi"/>
    <s v="Priya Patil"/>
    <n v="5"/>
    <n v="1800"/>
    <n v="0.1"/>
    <n v="8100"/>
    <n v="5500"/>
    <n v="2600"/>
  </r>
  <r>
    <s v="ORD-00909"/>
    <s v="2026-08-12"/>
    <s v="Customer 146"/>
    <x v="1"/>
    <s v="Water Bottle"/>
    <s v="East"/>
    <s v="Kolkata"/>
    <s v="Amit Sharma"/>
    <n v="5"/>
    <n v="550"/>
    <n v="0.05"/>
    <n v="2612.5"/>
    <n v="1500"/>
    <n v="1112.5"/>
  </r>
  <r>
    <s v="ORD-00352"/>
    <s v="2026-08-13"/>
    <s v="Customer 183"/>
    <x v="3"/>
    <s v="Stapler"/>
    <s v="South"/>
    <s v="Hyderabad"/>
    <s v="Amit Sharma"/>
    <n v="2"/>
    <n v="280"/>
    <n v="0"/>
    <n v="560"/>
    <n v="300"/>
    <n v="260"/>
  </r>
  <r>
    <s v="ORD-00526"/>
    <s v="2026-08-13"/>
    <s v="Customer 163"/>
    <x v="2"/>
    <s v="Skipping Rope"/>
    <s v="East"/>
    <s v="Kolkata"/>
    <s v="Vikas Singh"/>
    <n v="10"/>
    <n v="350"/>
    <n v="0"/>
    <n v="3500"/>
    <n v="1700"/>
    <n v="1800"/>
  </r>
  <r>
    <s v="ORD-00932"/>
    <s v="2026-08-13"/>
    <s v="Customer 025"/>
    <x v="0"/>
    <s v="Bluetooth Speaker"/>
    <s v="East"/>
    <s v="Bhubaneswar"/>
    <s v="Rahul Verma"/>
    <n v="8"/>
    <n v="2200"/>
    <n v="0.1"/>
    <n v="15840"/>
    <n v="11200"/>
    <n v="4640"/>
  </r>
  <r>
    <s v="ORD-00351"/>
    <s v="2026-08-14"/>
    <s v="Customer 028"/>
    <x v="3"/>
    <s v="Notebook"/>
    <s v="West"/>
    <s v="Nashik"/>
    <s v="Sneha Joshi"/>
    <n v="4"/>
    <n v="180"/>
    <n v="0.05"/>
    <n v="684"/>
    <n v="360"/>
    <n v="324"/>
  </r>
  <r>
    <s v="ORD-00668"/>
    <s v="2026-08-14"/>
    <s v="Customer 029"/>
    <x v="0"/>
    <s v="Power Bank"/>
    <s v="South"/>
    <s v="Chennai"/>
    <s v="Rahul Verma"/>
    <n v="3"/>
    <n v="1500"/>
    <n v="0"/>
    <n v="4500"/>
    <n v="2700"/>
    <n v="1800"/>
  </r>
  <r>
    <s v="ORD-00112"/>
    <s v="2026-08-15"/>
    <s v="Customer 072"/>
    <x v="3"/>
    <s v="Notebook"/>
    <s v="East"/>
    <s v="Ranchi"/>
    <s v="Rahul Verma"/>
    <n v="6"/>
    <n v="180"/>
    <n v="0"/>
    <n v="1080"/>
    <n v="540"/>
    <n v="540"/>
  </r>
  <r>
    <s v="ORD-00307"/>
    <s v="2026-08-15"/>
    <s v="Customer 064"/>
    <x v="2"/>
    <s v="Resistance Bands"/>
    <s v="South"/>
    <s v="Hyderabad"/>
    <s v="Vikas Singh"/>
    <n v="10"/>
    <n v="650"/>
    <n v="0.1"/>
    <n v="5850"/>
    <n v="3500"/>
    <n v="2350"/>
  </r>
  <r>
    <s v="ORD-00439"/>
    <s v="2026-08-15"/>
    <s v="Customer 181"/>
    <x v="3"/>
    <s v="Ball Pen Pack"/>
    <s v="North"/>
    <s v="Delhi"/>
    <s v="Rahul Verma"/>
    <n v="2"/>
    <n v="120"/>
    <n v="0.15"/>
    <n v="204"/>
    <n v="110"/>
    <n v="94"/>
  </r>
  <r>
    <s v="ORD-00365"/>
    <s v="2026-08-16"/>
    <s v="Customer 040"/>
    <x v="0"/>
    <s v="USB-C Hub"/>
    <s v="West"/>
    <s v="Pune"/>
    <s v="Priya Patil"/>
    <n v="6"/>
    <n v="1800"/>
    <n v="0.1"/>
    <n v="9720"/>
    <n v="6600"/>
    <n v="3120"/>
  </r>
  <r>
    <s v="ORD-00447"/>
    <s v="2026-08-17"/>
    <s v="Customer 181"/>
    <x v="2"/>
    <s v="Gym Gloves"/>
    <s v="East"/>
    <s v="Ranchi"/>
    <s v="Neha Kulkarni"/>
    <n v="7"/>
    <n v="500"/>
    <n v="0.1"/>
    <n v="3150"/>
    <n v="1960"/>
    <n v="1190"/>
  </r>
  <r>
    <s v="ORD-00091"/>
    <s v="2026-08-18"/>
    <s v="Customer 195"/>
    <x v="0"/>
    <s v="Bluetooth Speaker"/>
    <s v="East"/>
    <s v="Ranchi"/>
    <s v="Rahul Verma"/>
    <n v="8"/>
    <n v="2200"/>
    <n v="0"/>
    <n v="17600"/>
    <n v="11200"/>
    <n v="6400"/>
  </r>
  <r>
    <s v="ORD-00282"/>
    <s v="2026-08-18"/>
    <s v="Customer 008"/>
    <x v="0"/>
    <s v="USB-C Hub"/>
    <s v="North"/>
    <s v="Delhi"/>
    <s v="Priya Patil"/>
    <n v="5"/>
    <n v="1800"/>
    <n v="0.05"/>
    <n v="8550"/>
    <n v="5500"/>
    <n v="3050"/>
  </r>
  <r>
    <s v="ORD-00208"/>
    <s v="2026-08-19"/>
    <s v="Customer 135"/>
    <x v="0"/>
    <s v="USB-C Hub"/>
    <s v="South"/>
    <s v="Bengaluru"/>
    <s v="Sneha Joshi"/>
    <n v="6"/>
    <n v="1800"/>
    <n v="0"/>
    <n v="10800"/>
    <n v="6600"/>
    <n v="4200"/>
  </r>
  <r>
    <s v="ORD-00883"/>
    <s v="2026-08-19"/>
    <s v="Customer 092"/>
    <x v="2"/>
    <s v="Yoga Mat"/>
    <s v="West"/>
    <s v="Pune"/>
    <s v="Sneha Joshi"/>
    <n v="4"/>
    <n v="900"/>
    <n v="0"/>
    <n v="3600"/>
    <n v="2080"/>
    <n v="1520"/>
  </r>
  <r>
    <s v="ORD-00957"/>
    <s v="2026-08-19"/>
    <s v="Customer 111"/>
    <x v="2"/>
    <s v="Dumbbell Set"/>
    <s v="South"/>
    <s v="Kochi"/>
    <s v="Neha Kulkarni"/>
    <n v="5"/>
    <n v="2200"/>
    <n v="0.05"/>
    <n v="10450"/>
    <n v="7250"/>
    <n v="3200"/>
  </r>
  <r>
    <s v="ORD-00178"/>
    <s v="2026-08-20"/>
    <s v="Customer 040"/>
    <x v="3"/>
    <s v="Stapler"/>
    <s v="South"/>
    <s v="Hyderabad"/>
    <s v="Rahul Verma"/>
    <n v="3"/>
    <n v="280"/>
    <n v="0"/>
    <n v="840"/>
    <n v="450"/>
    <n v="390"/>
  </r>
  <r>
    <s v="ORD-00378"/>
    <s v="2026-08-20"/>
    <s v="Customer 160"/>
    <x v="3"/>
    <s v="Stapler"/>
    <s v="South"/>
    <s v="Chennai"/>
    <s v="Vikas Singh"/>
    <n v="3"/>
    <n v="280"/>
    <n v="0"/>
    <n v="840"/>
    <n v="450"/>
    <n v="390"/>
  </r>
  <r>
    <s v="ORD-00142"/>
    <s v="2026-08-21"/>
    <s v="Customer 086"/>
    <x v="2"/>
    <s v="Gym Gloves"/>
    <s v="North"/>
    <s v="Chandigarh"/>
    <s v="Sneha Joshi"/>
    <n v="9"/>
    <n v="500"/>
    <n v="0"/>
    <n v="4500"/>
    <n v="2520"/>
    <n v="1980"/>
  </r>
  <r>
    <s v="ORD-00635"/>
    <s v="2026-08-21"/>
    <s v="Customer 017"/>
    <x v="0"/>
    <s v="Bluetooth Speaker"/>
    <s v="South"/>
    <s v="Kochi"/>
    <s v="Sneha Joshi"/>
    <n v="1"/>
    <n v="2200"/>
    <n v="0"/>
    <n v="2200"/>
    <n v="1400"/>
    <n v="800"/>
  </r>
  <r>
    <s v="ORD-00180"/>
    <s v="2026-08-22"/>
    <s v="Customer 191"/>
    <x v="2"/>
    <s v="Yoga Mat"/>
    <s v="West"/>
    <s v="Nashik"/>
    <s v="Rahul Verma"/>
    <n v="9"/>
    <n v="900"/>
    <n v="0.1"/>
    <n v="7290"/>
    <n v="4680"/>
    <n v="2610"/>
  </r>
  <r>
    <s v="ORD-00182"/>
    <s v="2026-08-22"/>
    <s v="Customer 002"/>
    <x v="0"/>
    <s v="USB-C Hub"/>
    <s v="West"/>
    <s v="Pune"/>
    <s v="Neha Kulkarni"/>
    <n v="7"/>
    <n v="1800"/>
    <n v="0"/>
    <n v="12600"/>
    <n v="7700"/>
    <n v="4900"/>
  </r>
  <r>
    <s v="ORD-00412"/>
    <s v="2026-08-22"/>
    <s v="Customer 021"/>
    <x v="1"/>
    <s v="Kitchen Scale"/>
    <s v="East"/>
    <s v="Ranchi"/>
    <s v="Sneha Joshi"/>
    <n v="6"/>
    <n v="950"/>
    <n v="0"/>
    <n v="5700"/>
    <n v="3360"/>
    <n v="2340"/>
  </r>
  <r>
    <s v="ORD-00762"/>
    <s v="2026-08-22"/>
    <s v="Customer 022"/>
    <x v="2"/>
    <s v="Skipping Rope"/>
    <s v="North"/>
    <s v="Chandigarh"/>
    <s v="Priya Patil"/>
    <n v="6"/>
    <n v="350"/>
    <n v="0.05"/>
    <n v="1995"/>
    <n v="1020"/>
    <n v="975"/>
  </r>
  <r>
    <s v="ORD-00804"/>
    <s v="2026-08-22"/>
    <s v="Customer 052"/>
    <x v="3"/>
    <s v="Stapler"/>
    <s v="South"/>
    <s v="Hyderabad"/>
    <s v="Rahul Verma"/>
    <n v="2"/>
    <n v="280"/>
    <n v="0"/>
    <n v="560"/>
    <n v="300"/>
    <n v="260"/>
  </r>
  <r>
    <s v="ORD-00366"/>
    <s v="2026-08-23"/>
    <s v="Customer 062"/>
    <x v="0"/>
    <s v="Bluetooth Speaker"/>
    <s v="South"/>
    <s v="Chennai"/>
    <s v="Amit Sharma"/>
    <n v="1"/>
    <n v="2200"/>
    <n v="0"/>
    <n v="2200"/>
    <n v="1400"/>
    <n v="800"/>
  </r>
  <r>
    <s v="ORD-00513"/>
    <s v="2026-08-23"/>
    <s v="Customer 112"/>
    <x v="1"/>
    <s v="Water Bottle"/>
    <s v="East"/>
    <s v="Ranchi"/>
    <s v="Vikas Singh"/>
    <n v="9"/>
    <n v="550"/>
    <n v="0.05"/>
    <n v="4702.5"/>
    <n v="2700"/>
    <n v="2002.5"/>
  </r>
  <r>
    <s v="ORD-00998"/>
    <s v="2026-08-23"/>
    <s v="Customer 084"/>
    <x v="3"/>
    <s v="Ball Pen Pack"/>
    <s v="North"/>
    <s v="Chandigarh"/>
    <s v="Amit Sharma"/>
    <n v="1"/>
    <n v="120"/>
    <n v="0"/>
    <n v="120"/>
    <n v="55"/>
    <n v="65"/>
  </r>
  <r>
    <s v="ORD-00431"/>
    <s v="2026-08-24"/>
    <s v="Customer 118"/>
    <x v="0"/>
    <s v="Power Bank"/>
    <s v="West"/>
    <s v="Pune"/>
    <s v="Priya Patil"/>
    <n v="3"/>
    <n v="1500"/>
    <n v="0"/>
    <n v="4500"/>
    <n v="2700"/>
    <n v="1800"/>
  </r>
  <r>
    <s v="ORD-00484"/>
    <s v="2026-08-24"/>
    <s v="Customer 065"/>
    <x v="2"/>
    <s v="Skipping Rope"/>
    <s v="East"/>
    <s v="Patna"/>
    <s v="Rahul Verma"/>
    <n v="8"/>
    <n v="350"/>
    <n v="0"/>
    <n v="2800"/>
    <n v="1360"/>
    <n v="1440"/>
  </r>
  <r>
    <s v="ORD-00582"/>
    <s v="2026-08-24"/>
    <s v="Customer 093"/>
    <x v="0"/>
    <s v="Power Bank"/>
    <s v="South"/>
    <s v="Bengaluru"/>
    <s v="Vikas Singh"/>
    <n v="8"/>
    <n v="1500"/>
    <n v="0"/>
    <n v="12000"/>
    <n v="7200"/>
    <n v="4800"/>
  </r>
  <r>
    <s v="ORD-00652"/>
    <s v="2026-08-24"/>
    <s v="Customer 106"/>
    <x v="2"/>
    <s v="Dumbbell Set"/>
    <s v="West"/>
    <s v="Mumbai"/>
    <s v="Rahul Verma"/>
    <n v="8"/>
    <n v="2200"/>
    <n v="0.15"/>
    <n v="14960"/>
    <n v="11600"/>
    <n v="3360"/>
  </r>
  <r>
    <s v="ORD-00298"/>
    <s v="2026-08-25"/>
    <s v="Customer 149"/>
    <x v="2"/>
    <s v="Skipping Rope"/>
    <s v="North"/>
    <s v="Delhi"/>
    <s v="Priya Patil"/>
    <n v="6"/>
    <n v="350"/>
    <n v="0"/>
    <n v="2100"/>
    <n v="1020"/>
    <n v="1080"/>
  </r>
  <r>
    <s v="ORD-00379"/>
    <s v="2026-08-25"/>
    <s v="Customer 068"/>
    <x v="0"/>
    <s v="Wireless Mouse"/>
    <s v="West"/>
    <s v="Pune"/>
    <s v="Rahul Verma"/>
    <n v="5"/>
    <n v="650"/>
    <n v="0.15"/>
    <n v="2762.5"/>
    <n v="1900"/>
    <n v="862.5"/>
  </r>
  <r>
    <s v="ORD-00700"/>
    <s v="2026-08-25"/>
    <s v="Customer 106"/>
    <x v="3"/>
    <s v="Notebook"/>
    <s v="West"/>
    <s v="Pune"/>
    <s v="Neha Kulkarni"/>
    <n v="9"/>
    <n v="180"/>
    <n v="0.05"/>
    <n v="1539"/>
    <n v="810"/>
    <n v="729"/>
  </r>
  <r>
    <s v="ORD-00707"/>
    <s v="2026-08-25"/>
    <s v="Customer 059"/>
    <x v="2"/>
    <s v="Skipping Rope"/>
    <s v="North"/>
    <s v="Chandigarh"/>
    <s v="Rahul Verma"/>
    <n v="5"/>
    <n v="350"/>
    <n v="0.05"/>
    <n v="1662.5"/>
    <n v="850"/>
    <n v="812.5"/>
  </r>
  <r>
    <s v="ORD-00768"/>
    <s v="2026-08-25"/>
    <s v="Customer 004"/>
    <x v="0"/>
    <s v="USB-C Hub"/>
    <s v="North"/>
    <s v="Lucknow"/>
    <s v="Priya Patil"/>
    <n v="3"/>
    <n v="1800"/>
    <n v="0.05"/>
    <n v="5130"/>
    <n v="3300"/>
    <n v="1830"/>
  </r>
  <r>
    <s v="ORD-00826"/>
    <s v="2026-08-25"/>
    <s v="Customer 146"/>
    <x v="0"/>
    <s v="Keyboard"/>
    <s v="West"/>
    <s v="Ahmedabad"/>
    <s v="Priya Patil"/>
    <n v="2"/>
    <n v="1200"/>
    <n v="0"/>
    <n v="2400"/>
    <n v="1440"/>
    <n v="960"/>
  </r>
  <r>
    <s v="ORD-00040"/>
    <s v="2026-08-26"/>
    <s v="Customer 174"/>
    <x v="3"/>
    <s v="Ball Pen Pack"/>
    <s v="West"/>
    <s v="Pune"/>
    <s v="Priya Patil"/>
    <n v="6"/>
    <n v="120"/>
    <n v="0.05"/>
    <n v="684"/>
    <n v="330"/>
    <n v="354"/>
  </r>
  <r>
    <s v="ORD-00183"/>
    <s v="2026-08-26"/>
    <s v="Customer 098"/>
    <x v="1"/>
    <s v="Storage Container"/>
    <s v="South"/>
    <s v="Hyderabad"/>
    <s v="Sneha Joshi"/>
    <n v="1"/>
    <n v="600"/>
    <n v="0.05"/>
    <n v="570"/>
    <n v="330"/>
    <n v="240"/>
  </r>
  <r>
    <s v="ORD-00369"/>
    <s v="2026-08-26"/>
    <s v="Customer 075"/>
    <x v="0"/>
    <s v="USB-C Hub"/>
    <s v="South"/>
    <s v="Kochi"/>
    <s v="Priya Patil"/>
    <n v="9"/>
    <n v="1800"/>
    <n v="0"/>
    <n v="16200"/>
    <n v="9900"/>
    <n v="6300"/>
  </r>
  <r>
    <s v="ORD-00545"/>
    <s v="2026-08-26"/>
    <s v="Customer 139"/>
    <x v="2"/>
    <s v="Yoga Mat"/>
    <s v="East"/>
    <s v="Ranchi"/>
    <s v="Neha Kulkarni"/>
    <n v="8"/>
    <n v="900"/>
    <n v="0"/>
    <n v="7200"/>
    <n v="4160"/>
    <n v="3040"/>
  </r>
  <r>
    <s v="ORD-00592"/>
    <s v="2026-08-26"/>
    <s v="Customer 152"/>
    <x v="1"/>
    <s v="Storage Container"/>
    <s v="East"/>
    <s v="Patna"/>
    <s v="Vikas Singh"/>
    <n v="10"/>
    <n v="600"/>
    <n v="0.1"/>
    <n v="5400"/>
    <n v="3300"/>
    <n v="2100"/>
  </r>
  <r>
    <s v="ORD-00061"/>
    <s v="2026-08-27"/>
    <s v="Customer 030"/>
    <x v="1"/>
    <s v="Storage Container"/>
    <s v="West"/>
    <s v="Nashik"/>
    <s v="Amit Sharma"/>
    <n v="7"/>
    <n v="600"/>
    <n v="0.1"/>
    <n v="3780"/>
    <n v="2310"/>
    <n v="1470"/>
  </r>
  <r>
    <s v="ORD-00207"/>
    <s v="2026-08-27"/>
    <s v="Customer 059"/>
    <x v="1"/>
    <s v="Coffee Mug"/>
    <s v="South"/>
    <s v="Hyderabad"/>
    <s v="Rahul Verma"/>
    <n v="5"/>
    <n v="350"/>
    <n v="0.15"/>
    <n v="1487.5"/>
    <n v="900"/>
    <n v="587.5"/>
  </r>
  <r>
    <s v="ORD-00838"/>
    <s v="2026-08-28"/>
    <s v="Customer 116"/>
    <x v="3"/>
    <s v="Stapler"/>
    <s v="North"/>
    <s v="Lucknow"/>
    <s v="Priya Patil"/>
    <n v="7"/>
    <n v="280"/>
    <n v="0"/>
    <n v="1960"/>
    <n v="1050"/>
    <n v="910"/>
  </r>
  <r>
    <s v="ORD-00879"/>
    <s v="2026-08-28"/>
    <s v="Customer 137"/>
    <x v="1"/>
    <s v="Coffee Mug"/>
    <s v="East"/>
    <s v="Bhubaneswar"/>
    <s v="Amit Sharma"/>
    <n v="1"/>
    <n v="350"/>
    <n v="0.15"/>
    <n v="297.5"/>
    <n v="180"/>
    <n v="117.5"/>
  </r>
  <r>
    <s v="ORD-00975"/>
    <s v="2026-08-28"/>
    <s v="Customer 125"/>
    <x v="1"/>
    <s v="Coffee Mug"/>
    <s v="East"/>
    <s v="Ranchi"/>
    <s v="Amit Sharma"/>
    <n v="8"/>
    <n v="350"/>
    <n v="0"/>
    <n v="2800"/>
    <n v="1440"/>
    <n v="1360"/>
  </r>
  <r>
    <s v="ORD-00149"/>
    <s v="2026-08-29"/>
    <s v="Customer 193"/>
    <x v="3"/>
    <s v="Ball Pen Pack"/>
    <s v="North"/>
    <s v="Chandigarh"/>
    <s v="Rahul Verma"/>
    <n v="2"/>
    <n v="120"/>
    <n v="0"/>
    <n v="240"/>
    <n v="110"/>
    <n v="130"/>
  </r>
  <r>
    <s v="ORD-00720"/>
    <s v="2026-08-29"/>
    <s v="Customer 100"/>
    <x v="1"/>
    <s v="Water Bottle"/>
    <s v="West"/>
    <s v="Pune"/>
    <s v="Neha Kulkarni"/>
    <n v="9"/>
    <n v="550"/>
    <n v="0"/>
    <n v="4950"/>
    <n v="2700"/>
    <n v="2250"/>
  </r>
  <r>
    <s v="ORD-00727"/>
    <s v="2026-08-29"/>
    <s v="Customer 029"/>
    <x v="1"/>
    <s v="Coffee Mug"/>
    <s v="West"/>
    <s v="Ahmedabad"/>
    <s v="Vikas Singh"/>
    <n v="1"/>
    <n v="350"/>
    <n v="0.1"/>
    <n v="315"/>
    <n v="180"/>
    <n v="135"/>
  </r>
  <r>
    <s v="ORD-00972"/>
    <s v="2026-08-29"/>
    <s v="Customer 054"/>
    <x v="0"/>
    <s v="Power Bank"/>
    <s v="South"/>
    <s v="Bengaluru"/>
    <s v="Vikas Singh"/>
    <n v="5"/>
    <n v="1500"/>
    <n v="0.15"/>
    <n v="6375"/>
    <n v="4500"/>
    <n v="1875"/>
  </r>
  <r>
    <s v="ORD-00129"/>
    <s v="2026-08-30"/>
    <s v="Customer 179"/>
    <x v="2"/>
    <s v="Resistance Bands"/>
    <s v="South"/>
    <s v="Hyderabad"/>
    <s v="Neha Kulkarni"/>
    <n v="1"/>
    <n v="650"/>
    <n v="0.05"/>
    <n v="617.5"/>
    <n v="350"/>
    <n v="267.5"/>
  </r>
  <r>
    <s v="ORD-00333"/>
    <s v="2026-08-30"/>
    <s v="Customer 108"/>
    <x v="2"/>
    <s v="Dumbbell Set"/>
    <s v="North"/>
    <s v="Jaipur"/>
    <s v="Amit Sharma"/>
    <n v="6"/>
    <n v="2200"/>
    <n v="0.05"/>
    <n v="12540"/>
    <n v="8700"/>
    <n v="3840"/>
  </r>
  <r>
    <s v="ORD-00406"/>
    <s v="2026-08-30"/>
    <s v="Customer 011"/>
    <x v="0"/>
    <s v="Power Bank"/>
    <s v="West"/>
    <s v="Nashik"/>
    <s v="Amit Sharma"/>
    <n v="5"/>
    <n v="1500"/>
    <n v="0.15"/>
    <n v="6375"/>
    <n v="4500"/>
    <n v="1875"/>
  </r>
  <r>
    <s v="ORD-00436"/>
    <s v="2026-08-30"/>
    <s v="Customer 141"/>
    <x v="3"/>
    <s v="Desk Organizer"/>
    <s v="North"/>
    <s v="Delhi"/>
    <s v="Vikas Singh"/>
    <n v="9"/>
    <n v="450"/>
    <n v="0"/>
    <n v="4050"/>
    <n v="2250"/>
    <n v="1800"/>
  </r>
  <r>
    <s v="ORD-00543"/>
    <s v="2026-08-30"/>
    <s v="Customer 058"/>
    <x v="2"/>
    <s v="Skipping Rope"/>
    <s v="North"/>
    <s v="Lucknow"/>
    <s v="Priya Patil"/>
    <n v="2"/>
    <n v="350"/>
    <n v="0"/>
    <n v="700"/>
    <n v="340"/>
    <n v="360"/>
  </r>
  <r>
    <s v="ORD-00640"/>
    <s v="2026-08-30"/>
    <s v="Customer 109"/>
    <x v="1"/>
    <s v="Water Bottle"/>
    <s v="South"/>
    <s v="Kochi"/>
    <s v="Sneha Joshi"/>
    <n v="3"/>
    <n v="550"/>
    <n v="0.05"/>
    <n v="1567.5"/>
    <n v="900"/>
    <n v="667.5"/>
  </r>
  <r>
    <s v="ORD-00950"/>
    <s v="2026-08-30"/>
    <s v="Customer 112"/>
    <x v="3"/>
    <s v="Stapler"/>
    <s v="North"/>
    <s v="Jaipur"/>
    <s v="Amit Sharma"/>
    <n v="4"/>
    <n v="280"/>
    <n v="0"/>
    <n v="1120"/>
    <n v="600"/>
    <n v="520"/>
  </r>
  <r>
    <s v="ORD-00642"/>
    <s v="2026-08-31"/>
    <s v="Customer 086"/>
    <x v="1"/>
    <s v="Water Bottle"/>
    <s v="North"/>
    <s v="Chandigarh"/>
    <s v="Rahul Verma"/>
    <n v="4"/>
    <n v="550"/>
    <n v="0.05"/>
    <n v="2090"/>
    <n v="1200"/>
    <n v="890"/>
  </r>
</pivotCacheRecords>
</file>

<file path=xl/pivotCache/pivotCacheRecords2.xml><?xml version="1.0" encoding="utf-8"?>
<pivotCacheRecords xmlns="http://schemas.openxmlformats.org/spreadsheetml/2006/main" xmlns:r="http://schemas.openxmlformats.org/officeDocument/2006/relationships" count="1000">
  <r>
    <s v="ORD-00709"/>
    <x v="0"/>
    <s v="Customer 199"/>
    <x v="0"/>
    <x v="0"/>
    <x v="0"/>
    <s v="Hyderabad"/>
    <x v="0"/>
    <n v="8"/>
    <n v="1800"/>
    <n v="0.1"/>
    <n v="12960"/>
    <n v="8800"/>
    <n v="4160"/>
    <n v="12960"/>
    <n v="4160"/>
    <n v="0.32098765432098764"/>
    <s v="Sep-2025"/>
    <x v="0"/>
    <s v="High"/>
  </r>
  <r>
    <s v="ORD-00030"/>
    <x v="1"/>
    <s v="Customer 129"/>
    <x v="1"/>
    <x v="1"/>
    <x v="1"/>
    <s v="Bhubaneswar"/>
    <x v="1"/>
    <n v="9"/>
    <n v="600"/>
    <n v="0.05"/>
    <n v="5130"/>
    <n v="2970"/>
    <n v="2160"/>
    <n v="5130"/>
    <n v="2160"/>
    <n v="0.42105263157894735"/>
    <s v="Sep-2025"/>
    <x v="0"/>
    <s v="High"/>
  </r>
  <r>
    <s v="ORD-00736"/>
    <x v="1"/>
    <s v="Customer 010"/>
    <x v="0"/>
    <x v="2"/>
    <x v="1"/>
    <s v="Bhubaneswar"/>
    <x v="2"/>
    <n v="7"/>
    <n v="1500"/>
    <n v="0.05"/>
    <n v="9975"/>
    <n v="6300"/>
    <n v="3675"/>
    <n v="9975"/>
    <n v="3675"/>
    <n v="0.36842105263157893"/>
    <s v="Sep-2025"/>
    <x v="0"/>
    <s v="High"/>
  </r>
  <r>
    <s v="ORD-00877"/>
    <x v="1"/>
    <s v="Customer 041"/>
    <x v="1"/>
    <x v="3"/>
    <x v="2"/>
    <s v="Nashik"/>
    <x v="3"/>
    <n v="10"/>
    <n v="700"/>
    <n v="0.05"/>
    <n v="6650"/>
    <n v="4000"/>
    <n v="2650"/>
    <n v="6650"/>
    <n v="2650"/>
    <n v="0.39849624060150374"/>
    <s v="Sep-2025"/>
    <x v="0"/>
    <s v="High"/>
  </r>
  <r>
    <s v="ORD-00204"/>
    <x v="2"/>
    <s v="Customer 127"/>
    <x v="2"/>
    <x v="4"/>
    <x v="3"/>
    <s v="Jaipur"/>
    <x v="4"/>
    <n v="6"/>
    <n v="2200"/>
    <n v="0.05"/>
    <n v="12540"/>
    <n v="8700"/>
    <n v="3840"/>
    <n v="12540"/>
    <n v="3840"/>
    <n v="0.30622009569377989"/>
    <s v="Sep-2025"/>
    <x v="0"/>
    <s v="High"/>
  </r>
  <r>
    <s v="ORD-00411"/>
    <x v="2"/>
    <s v="Customer 028"/>
    <x v="0"/>
    <x v="5"/>
    <x v="1"/>
    <s v="Ranchi"/>
    <x v="1"/>
    <n v="7"/>
    <n v="650"/>
    <n v="0"/>
    <n v="4550"/>
    <n v="2660"/>
    <n v="1890"/>
    <n v="4550"/>
    <n v="1890"/>
    <n v="0.41538461538461541"/>
    <s v="Sep-2025"/>
    <x v="0"/>
    <s v="High"/>
  </r>
  <r>
    <s v="ORD-00711"/>
    <x v="2"/>
    <s v="Customer 116"/>
    <x v="3"/>
    <x v="6"/>
    <x v="0"/>
    <s v="Kochi"/>
    <x v="1"/>
    <n v="5"/>
    <n v="180"/>
    <n v="0.15"/>
    <n v="765"/>
    <n v="450"/>
    <n v="315"/>
    <n v="765"/>
    <n v="315"/>
    <n v="0.41176470588235292"/>
    <s v="Sep-2025"/>
    <x v="0"/>
    <s v="High"/>
  </r>
  <r>
    <s v="ORD-00209"/>
    <x v="3"/>
    <s v="Customer 108"/>
    <x v="0"/>
    <x v="2"/>
    <x v="0"/>
    <s v="Hyderabad"/>
    <x v="1"/>
    <n v="8"/>
    <n v="1500"/>
    <n v="0"/>
    <n v="12000"/>
    <n v="7200"/>
    <n v="4800"/>
    <n v="12000"/>
    <n v="4800"/>
    <n v="0.4"/>
    <s v="Sep-2025"/>
    <x v="0"/>
    <s v="High"/>
  </r>
  <r>
    <s v="ORD-00446"/>
    <x v="3"/>
    <s v="Customer 067"/>
    <x v="2"/>
    <x v="7"/>
    <x v="1"/>
    <s v="Bhubaneswar"/>
    <x v="2"/>
    <n v="8"/>
    <n v="500"/>
    <n v="0"/>
    <n v="4000"/>
    <n v="2240"/>
    <n v="1760"/>
    <n v="4000"/>
    <n v="1760"/>
    <n v="0.44"/>
    <s v="Sep-2025"/>
    <x v="0"/>
    <s v="High"/>
  </r>
  <r>
    <s v="ORD-00694"/>
    <x v="3"/>
    <s v="Customer 191"/>
    <x v="0"/>
    <x v="8"/>
    <x v="1"/>
    <s v="Ranchi"/>
    <x v="4"/>
    <n v="9"/>
    <n v="2200"/>
    <n v="0.05"/>
    <n v="18810"/>
    <n v="12600"/>
    <n v="6210"/>
    <n v="18810"/>
    <n v="6210"/>
    <n v="0.33014354066985646"/>
    <s v="Sep-2025"/>
    <x v="0"/>
    <s v="High"/>
  </r>
  <r>
    <s v="ORD-00079"/>
    <x v="4"/>
    <s v="Customer 119"/>
    <x v="1"/>
    <x v="9"/>
    <x v="3"/>
    <s v="Chandigarh"/>
    <x v="4"/>
    <n v="2"/>
    <n v="350"/>
    <n v="0.05"/>
    <n v="665"/>
    <n v="360"/>
    <n v="305"/>
    <n v="665"/>
    <n v="305"/>
    <n v="0.45864661654135336"/>
    <s v="Sep-2025"/>
    <x v="0"/>
    <s v="High"/>
  </r>
  <r>
    <s v="ORD-00092"/>
    <x v="4"/>
    <s v="Customer 092"/>
    <x v="1"/>
    <x v="9"/>
    <x v="2"/>
    <s v="Pune"/>
    <x v="2"/>
    <n v="3"/>
    <n v="350"/>
    <n v="0"/>
    <n v="1050"/>
    <n v="540"/>
    <n v="510"/>
    <n v="1050"/>
    <n v="510"/>
    <n v="0.48571428571428571"/>
    <s v="Sep-2025"/>
    <x v="0"/>
    <s v="High"/>
  </r>
  <r>
    <s v="ORD-00171"/>
    <x v="4"/>
    <s v="Customer 005"/>
    <x v="3"/>
    <x v="6"/>
    <x v="2"/>
    <s v="Pune"/>
    <x v="1"/>
    <n v="3"/>
    <n v="180"/>
    <n v="0.1"/>
    <n v="486"/>
    <n v="270"/>
    <n v="216"/>
    <n v="486"/>
    <n v="216"/>
    <n v="0.44444444444444442"/>
    <s v="Sep-2025"/>
    <x v="0"/>
    <s v="High"/>
  </r>
  <r>
    <s v="ORD-00267"/>
    <x v="4"/>
    <s v="Customer 162"/>
    <x v="0"/>
    <x v="0"/>
    <x v="3"/>
    <s v="Jaipur"/>
    <x v="2"/>
    <n v="7"/>
    <n v="1800"/>
    <n v="0"/>
    <n v="12600"/>
    <n v="7700"/>
    <n v="4900"/>
    <n v="12600"/>
    <n v="4900"/>
    <n v="0.3888888888888889"/>
    <s v="Sep-2025"/>
    <x v="0"/>
    <s v="High"/>
  </r>
  <r>
    <s v="ORD-00383"/>
    <x v="4"/>
    <s v="Customer 184"/>
    <x v="1"/>
    <x v="10"/>
    <x v="0"/>
    <s v="Kochi"/>
    <x v="0"/>
    <n v="6"/>
    <n v="950"/>
    <n v="0"/>
    <n v="5700"/>
    <n v="3360"/>
    <n v="2340"/>
    <n v="5700"/>
    <n v="2340"/>
    <n v="0.41052631578947368"/>
    <s v="Sep-2025"/>
    <x v="0"/>
    <s v="High"/>
  </r>
  <r>
    <s v="ORD-00426"/>
    <x v="4"/>
    <s v="Customer 084"/>
    <x v="3"/>
    <x v="6"/>
    <x v="3"/>
    <s v="Jaipur"/>
    <x v="0"/>
    <n v="10"/>
    <n v="180"/>
    <n v="0"/>
    <n v="1800"/>
    <n v="900"/>
    <n v="900"/>
    <n v="1800"/>
    <n v="900"/>
    <n v="0.5"/>
    <s v="Sep-2025"/>
    <x v="0"/>
    <s v="High"/>
  </r>
  <r>
    <s v="ORD-00616"/>
    <x v="4"/>
    <s v="Customer 148"/>
    <x v="0"/>
    <x v="5"/>
    <x v="1"/>
    <s v="Kolkata"/>
    <x v="1"/>
    <n v="4"/>
    <n v="650"/>
    <n v="0"/>
    <n v="2600"/>
    <n v="1520"/>
    <n v="1080"/>
    <n v="2600"/>
    <n v="1080"/>
    <n v="0.41538461538461541"/>
    <s v="Sep-2025"/>
    <x v="0"/>
    <s v="High"/>
  </r>
  <r>
    <s v="ORD-00101"/>
    <x v="5"/>
    <s v="Customer 180"/>
    <x v="1"/>
    <x v="11"/>
    <x v="1"/>
    <s v="Patna"/>
    <x v="2"/>
    <n v="10"/>
    <n v="550"/>
    <n v="0"/>
    <n v="5500"/>
    <n v="3000"/>
    <n v="2500"/>
    <n v="5500"/>
    <n v="2500"/>
    <n v="0.45454545454545453"/>
    <s v="Sep-2025"/>
    <x v="0"/>
    <s v="High"/>
  </r>
  <r>
    <s v="ORD-00187"/>
    <x v="6"/>
    <s v="Customer 029"/>
    <x v="2"/>
    <x v="7"/>
    <x v="1"/>
    <s v="Ranchi"/>
    <x v="3"/>
    <n v="3"/>
    <n v="500"/>
    <n v="0.05"/>
    <n v="1425"/>
    <n v="840"/>
    <n v="585"/>
    <n v="1425"/>
    <n v="585"/>
    <n v="0.41052631578947368"/>
    <s v="Sep-2025"/>
    <x v="0"/>
    <s v="High"/>
  </r>
  <r>
    <s v="ORD-00261"/>
    <x v="6"/>
    <s v="Customer 180"/>
    <x v="1"/>
    <x v="9"/>
    <x v="3"/>
    <s v="Jaipur"/>
    <x v="1"/>
    <n v="6"/>
    <n v="350"/>
    <n v="0"/>
    <n v="2100"/>
    <n v="1080"/>
    <n v="1020"/>
    <n v="2100"/>
    <n v="1020"/>
    <n v="0.48571428571428571"/>
    <s v="Sep-2025"/>
    <x v="0"/>
    <s v="High"/>
  </r>
  <r>
    <s v="ORD-00313"/>
    <x v="6"/>
    <s v="Customer 070"/>
    <x v="1"/>
    <x v="3"/>
    <x v="2"/>
    <s v="Mumbai"/>
    <x v="2"/>
    <n v="4"/>
    <n v="700"/>
    <n v="0"/>
    <n v="2800"/>
    <n v="1600"/>
    <n v="1200"/>
    <n v="2800"/>
    <n v="1200"/>
    <n v="0.42857142857142855"/>
    <s v="Sep-2025"/>
    <x v="0"/>
    <s v="High"/>
  </r>
  <r>
    <s v="ORD-00653"/>
    <x v="6"/>
    <s v="Customer 022"/>
    <x v="1"/>
    <x v="1"/>
    <x v="3"/>
    <s v="Jaipur"/>
    <x v="4"/>
    <n v="7"/>
    <n v="600"/>
    <n v="0"/>
    <n v="4200"/>
    <n v="2310"/>
    <n v="1890"/>
    <n v="4200"/>
    <n v="1890"/>
    <n v="0.45"/>
    <s v="Sep-2025"/>
    <x v="0"/>
    <s v="High"/>
  </r>
  <r>
    <s v="ORD-00193"/>
    <x v="7"/>
    <s v="Customer 079"/>
    <x v="3"/>
    <x v="12"/>
    <x v="3"/>
    <s v="Delhi"/>
    <x v="3"/>
    <n v="1"/>
    <n v="150"/>
    <n v="0"/>
    <n v="150"/>
    <n v="75"/>
    <n v="75"/>
    <n v="150"/>
    <n v="75"/>
    <n v="0.5"/>
    <s v="Sep-2025"/>
    <x v="0"/>
    <s v="High"/>
  </r>
  <r>
    <s v="ORD-00212"/>
    <x v="7"/>
    <s v="Customer 100"/>
    <x v="3"/>
    <x v="13"/>
    <x v="1"/>
    <s v="Kolkata"/>
    <x v="1"/>
    <n v="1"/>
    <n v="120"/>
    <n v="0"/>
    <n v="120"/>
    <n v="55"/>
    <n v="65"/>
    <n v="120"/>
    <n v="65"/>
    <n v="0.54166666666666663"/>
    <s v="Sep-2025"/>
    <x v="0"/>
    <s v="High"/>
  </r>
  <r>
    <s v="ORD-00223"/>
    <x v="7"/>
    <s v="Customer 085"/>
    <x v="3"/>
    <x v="14"/>
    <x v="1"/>
    <s v="Ranchi"/>
    <x v="4"/>
    <n v="2"/>
    <n v="280"/>
    <n v="0"/>
    <n v="560"/>
    <n v="300"/>
    <n v="260"/>
    <n v="560"/>
    <n v="260"/>
    <n v="0.4642857142857143"/>
    <s v="Sep-2025"/>
    <x v="0"/>
    <s v="High"/>
  </r>
  <r>
    <s v="ORD-00279"/>
    <x v="7"/>
    <s v="Customer 077"/>
    <x v="3"/>
    <x v="14"/>
    <x v="0"/>
    <s v="Bengaluru"/>
    <x v="4"/>
    <n v="1"/>
    <n v="280"/>
    <n v="0"/>
    <n v="280"/>
    <n v="150"/>
    <n v="130"/>
    <n v="280"/>
    <n v="130"/>
    <n v="0.4642857142857143"/>
    <s v="Sep-2025"/>
    <x v="0"/>
    <s v="High"/>
  </r>
  <r>
    <s v="ORD-00610"/>
    <x v="7"/>
    <s v="Customer 069"/>
    <x v="3"/>
    <x v="15"/>
    <x v="2"/>
    <s v="Nashik"/>
    <x v="2"/>
    <n v="1"/>
    <n v="450"/>
    <n v="0"/>
    <n v="450"/>
    <n v="250"/>
    <n v="200"/>
    <n v="450"/>
    <n v="200"/>
    <n v="0.44444444444444442"/>
    <s v="Sep-2025"/>
    <x v="0"/>
    <s v="High"/>
  </r>
  <r>
    <s v="ORD-00294"/>
    <x v="8"/>
    <s v="Customer 149"/>
    <x v="0"/>
    <x v="0"/>
    <x v="1"/>
    <s v="Ranchi"/>
    <x v="1"/>
    <n v="10"/>
    <n v="1800"/>
    <n v="0.05"/>
    <n v="17100"/>
    <n v="11000"/>
    <n v="6100"/>
    <n v="17100"/>
    <n v="6100"/>
    <n v="0.35672514619883039"/>
    <s v="Sep-2025"/>
    <x v="0"/>
    <s v="High"/>
  </r>
  <r>
    <s v="ORD-00453"/>
    <x v="8"/>
    <s v="Customer 017"/>
    <x v="1"/>
    <x v="3"/>
    <x v="3"/>
    <s v="Lucknow"/>
    <x v="0"/>
    <n v="9"/>
    <n v="700"/>
    <n v="0"/>
    <n v="6300"/>
    <n v="3600"/>
    <n v="2700"/>
    <n v="6300"/>
    <n v="2700"/>
    <n v="0.42857142857142855"/>
    <s v="Sep-2025"/>
    <x v="0"/>
    <s v="High"/>
  </r>
  <r>
    <s v="ORD-00574"/>
    <x v="8"/>
    <s v="Customer 067"/>
    <x v="0"/>
    <x v="16"/>
    <x v="2"/>
    <s v="Pune"/>
    <x v="5"/>
    <n v="4"/>
    <n v="1200"/>
    <n v="0.1"/>
    <n v="4320"/>
    <n v="2880"/>
    <n v="1440"/>
    <n v="4320"/>
    <n v="1440"/>
    <n v="0.33333333333333331"/>
    <s v="Sep-2025"/>
    <x v="0"/>
    <s v="High"/>
  </r>
  <r>
    <s v="ORD-00693"/>
    <x v="8"/>
    <s v="Customer 030"/>
    <x v="3"/>
    <x v="6"/>
    <x v="1"/>
    <s v="Patna"/>
    <x v="4"/>
    <n v="7"/>
    <n v="180"/>
    <n v="0.05"/>
    <n v="1197"/>
    <n v="630"/>
    <n v="567"/>
    <n v="1197"/>
    <n v="567"/>
    <n v="0.47368421052631576"/>
    <s v="Sep-2025"/>
    <x v="0"/>
    <s v="High"/>
  </r>
  <r>
    <s v="ORD-00806"/>
    <x v="8"/>
    <s v="Customer 102"/>
    <x v="3"/>
    <x v="6"/>
    <x v="2"/>
    <s v="Nashik"/>
    <x v="3"/>
    <n v="5"/>
    <n v="180"/>
    <n v="0.05"/>
    <n v="855"/>
    <n v="450"/>
    <n v="405"/>
    <n v="855"/>
    <n v="405"/>
    <n v="0.47368421052631576"/>
    <s v="Sep-2025"/>
    <x v="0"/>
    <s v="High"/>
  </r>
  <r>
    <s v="ORD-00821"/>
    <x v="8"/>
    <s v="Customer 047"/>
    <x v="3"/>
    <x v="12"/>
    <x v="2"/>
    <s v="Mumbai"/>
    <x v="3"/>
    <n v="1"/>
    <n v="150"/>
    <n v="0.1"/>
    <n v="135"/>
    <n v="75"/>
    <n v="60"/>
    <n v="135"/>
    <n v="60"/>
    <n v="0.44444444444444442"/>
    <s v="Sep-2025"/>
    <x v="0"/>
    <s v="High"/>
  </r>
  <r>
    <s v="ORD-00150"/>
    <x v="9"/>
    <s v="Customer 164"/>
    <x v="0"/>
    <x v="0"/>
    <x v="3"/>
    <s v="Delhi"/>
    <x v="4"/>
    <n v="5"/>
    <n v="1800"/>
    <n v="0.1"/>
    <n v="8100"/>
    <n v="5500"/>
    <n v="2600"/>
    <n v="8100"/>
    <n v="2600"/>
    <n v="0.32098765432098764"/>
    <s v="Sep-2025"/>
    <x v="0"/>
    <s v="High"/>
  </r>
  <r>
    <s v="ORD-00605"/>
    <x v="9"/>
    <s v="Customer 085"/>
    <x v="0"/>
    <x v="0"/>
    <x v="1"/>
    <s v="Ranchi"/>
    <x v="5"/>
    <n v="2"/>
    <n v="1800"/>
    <n v="0"/>
    <n v="3600"/>
    <n v="2200"/>
    <n v="1400"/>
    <n v="3600"/>
    <n v="1400"/>
    <n v="0.3888888888888889"/>
    <s v="Sep-2025"/>
    <x v="0"/>
    <s v="High"/>
  </r>
  <r>
    <s v="ORD-00192"/>
    <x v="10"/>
    <s v="Customer 018"/>
    <x v="1"/>
    <x v="9"/>
    <x v="2"/>
    <s v="Nashik"/>
    <x v="0"/>
    <n v="1"/>
    <n v="350"/>
    <n v="0.05"/>
    <n v="332.5"/>
    <n v="180"/>
    <n v="152.5"/>
    <n v="332.5"/>
    <n v="152.5"/>
    <n v="0.45864661654135336"/>
    <s v="Sep-2025"/>
    <x v="0"/>
    <s v="High"/>
  </r>
  <r>
    <s v="ORD-00790"/>
    <x v="10"/>
    <s v="Customer 069"/>
    <x v="0"/>
    <x v="16"/>
    <x v="2"/>
    <s v="Ahmedabad"/>
    <x v="1"/>
    <n v="1"/>
    <n v="1200"/>
    <n v="0"/>
    <n v="1200"/>
    <n v="720"/>
    <n v="480"/>
    <n v="1200"/>
    <n v="480"/>
    <n v="0.4"/>
    <s v="Sep-2025"/>
    <x v="0"/>
    <s v="High"/>
  </r>
  <r>
    <s v="ORD-00878"/>
    <x v="10"/>
    <s v="Customer 099"/>
    <x v="2"/>
    <x v="17"/>
    <x v="1"/>
    <s v="Ranchi"/>
    <x v="5"/>
    <n v="7"/>
    <n v="650"/>
    <n v="0"/>
    <n v="4550"/>
    <n v="2450"/>
    <n v="2100"/>
    <n v="4550"/>
    <n v="2100"/>
    <n v="0.46153846153846156"/>
    <s v="Sep-2025"/>
    <x v="0"/>
    <s v="High"/>
  </r>
  <r>
    <s v="ORD-00991"/>
    <x v="10"/>
    <s v="Customer 035"/>
    <x v="1"/>
    <x v="11"/>
    <x v="0"/>
    <s v="Hyderabad"/>
    <x v="0"/>
    <n v="8"/>
    <n v="550"/>
    <n v="0"/>
    <n v="4400"/>
    <n v="2400"/>
    <n v="2000"/>
    <n v="4400"/>
    <n v="2000"/>
    <n v="0.45454545454545453"/>
    <s v="Sep-2025"/>
    <x v="0"/>
    <s v="High"/>
  </r>
  <r>
    <s v="ORD-00042"/>
    <x v="11"/>
    <s v="Customer 060"/>
    <x v="0"/>
    <x v="2"/>
    <x v="3"/>
    <s v="Lucknow"/>
    <x v="2"/>
    <n v="10"/>
    <n v="1500"/>
    <n v="0.1"/>
    <n v="13500"/>
    <n v="9000"/>
    <n v="4500"/>
    <n v="13500"/>
    <n v="4500"/>
    <n v="0.33333333333333331"/>
    <s v="Sep-2025"/>
    <x v="0"/>
    <s v="High"/>
  </r>
  <r>
    <s v="ORD-00395"/>
    <x v="11"/>
    <s v="Customer 184"/>
    <x v="3"/>
    <x v="13"/>
    <x v="1"/>
    <s v="Ranchi"/>
    <x v="0"/>
    <n v="6"/>
    <n v="120"/>
    <n v="0"/>
    <n v="720"/>
    <n v="330"/>
    <n v="390"/>
    <n v="720"/>
    <n v="390"/>
    <n v="0.54166666666666663"/>
    <s v="Sep-2025"/>
    <x v="0"/>
    <s v="High"/>
  </r>
  <r>
    <s v="ORD-00920"/>
    <x v="12"/>
    <s v="Customer 036"/>
    <x v="0"/>
    <x v="16"/>
    <x v="0"/>
    <s v="Kochi"/>
    <x v="4"/>
    <n v="2"/>
    <n v="1200"/>
    <n v="0.05"/>
    <n v="2280"/>
    <n v="1440"/>
    <n v="840"/>
    <n v="2280"/>
    <n v="840"/>
    <n v="0.36842105263157893"/>
    <s v="Sep-2025"/>
    <x v="0"/>
    <s v="High"/>
  </r>
  <r>
    <s v="ORD-00394"/>
    <x v="13"/>
    <s v="Customer 066"/>
    <x v="2"/>
    <x v="7"/>
    <x v="1"/>
    <s v="Bhubaneswar"/>
    <x v="4"/>
    <n v="3"/>
    <n v="500"/>
    <n v="0.05"/>
    <n v="1425"/>
    <n v="840"/>
    <n v="585"/>
    <n v="1425"/>
    <n v="585"/>
    <n v="0.41052631578947368"/>
    <s v="Sep-2025"/>
    <x v="0"/>
    <s v="High"/>
  </r>
  <r>
    <s v="ORD-00657"/>
    <x v="13"/>
    <s v="Customer 099"/>
    <x v="0"/>
    <x v="0"/>
    <x v="1"/>
    <s v="Bhubaneswar"/>
    <x v="3"/>
    <n v="9"/>
    <n v="1800"/>
    <n v="0"/>
    <n v="16200"/>
    <n v="9900"/>
    <n v="6300"/>
    <n v="16200"/>
    <n v="6300"/>
    <n v="0.3888888888888889"/>
    <s v="Sep-2025"/>
    <x v="0"/>
    <s v="High"/>
  </r>
  <r>
    <s v="ORD-00719"/>
    <x v="13"/>
    <s v="Customer 051"/>
    <x v="1"/>
    <x v="11"/>
    <x v="0"/>
    <s v="Bengaluru"/>
    <x v="4"/>
    <n v="5"/>
    <n v="550"/>
    <n v="0"/>
    <n v="2750"/>
    <n v="1500"/>
    <n v="1250"/>
    <n v="2750"/>
    <n v="1250"/>
    <n v="0.45454545454545453"/>
    <s v="Sep-2025"/>
    <x v="0"/>
    <s v="High"/>
  </r>
  <r>
    <s v="ORD-00280"/>
    <x v="14"/>
    <s v="Customer 133"/>
    <x v="1"/>
    <x v="11"/>
    <x v="2"/>
    <s v="Nashik"/>
    <x v="0"/>
    <n v="8"/>
    <n v="550"/>
    <n v="0"/>
    <n v="4400"/>
    <n v="2400"/>
    <n v="2000"/>
    <n v="4400"/>
    <n v="2000"/>
    <n v="0.45454545454545453"/>
    <s v="Sep-2025"/>
    <x v="0"/>
    <s v="High"/>
  </r>
  <r>
    <s v="ORD-00357"/>
    <x v="14"/>
    <s v="Customer 088"/>
    <x v="0"/>
    <x v="5"/>
    <x v="2"/>
    <s v="Ahmedabad"/>
    <x v="5"/>
    <n v="5"/>
    <n v="650"/>
    <n v="0"/>
    <n v="3250"/>
    <n v="1900"/>
    <n v="1350"/>
    <n v="3250"/>
    <n v="1350"/>
    <n v="0.41538461538461541"/>
    <s v="Sep-2025"/>
    <x v="0"/>
    <s v="High"/>
  </r>
  <r>
    <s v="ORD-00765"/>
    <x v="14"/>
    <s v="Customer 154"/>
    <x v="0"/>
    <x v="2"/>
    <x v="2"/>
    <s v="Mumbai"/>
    <x v="5"/>
    <n v="3"/>
    <n v="1500"/>
    <n v="0"/>
    <n v="4500"/>
    <n v="2700"/>
    <n v="1800"/>
    <n v="4500"/>
    <n v="1800"/>
    <n v="0.4"/>
    <s v="Sep-2025"/>
    <x v="0"/>
    <s v="High"/>
  </r>
  <r>
    <s v="ORD-00602"/>
    <x v="15"/>
    <s v="Customer 113"/>
    <x v="2"/>
    <x v="18"/>
    <x v="2"/>
    <s v="Ahmedabad"/>
    <x v="3"/>
    <n v="7"/>
    <n v="350"/>
    <n v="0.05"/>
    <n v="2327.5"/>
    <n v="1190"/>
    <n v="1137.5"/>
    <n v="2327.5"/>
    <n v="1137.5"/>
    <n v="0.48872180451127817"/>
    <s v="Sep-2025"/>
    <x v="0"/>
    <s v="High"/>
  </r>
  <r>
    <s v="ORD-00724"/>
    <x v="15"/>
    <s v="Customer 182"/>
    <x v="0"/>
    <x v="16"/>
    <x v="1"/>
    <s v="Ranchi"/>
    <x v="5"/>
    <n v="1"/>
    <n v="1200"/>
    <n v="0"/>
    <n v="1200"/>
    <n v="720"/>
    <n v="480"/>
    <n v="1200"/>
    <n v="480"/>
    <n v="0.4"/>
    <s v="Sep-2025"/>
    <x v="0"/>
    <s v="High"/>
  </r>
  <r>
    <s v="ORD-00782"/>
    <x v="15"/>
    <s v="Customer 057"/>
    <x v="0"/>
    <x v="5"/>
    <x v="1"/>
    <s v="Ranchi"/>
    <x v="5"/>
    <n v="2"/>
    <n v="650"/>
    <n v="0"/>
    <n v="1300"/>
    <n v="760"/>
    <n v="540"/>
    <n v="1300"/>
    <n v="540"/>
    <n v="0.41538461538461541"/>
    <s v="Sep-2025"/>
    <x v="0"/>
    <s v="High"/>
  </r>
  <r>
    <s v="ORD-00897"/>
    <x v="15"/>
    <s v="Customer 117"/>
    <x v="1"/>
    <x v="1"/>
    <x v="2"/>
    <s v="Nashik"/>
    <x v="1"/>
    <n v="7"/>
    <n v="600"/>
    <n v="0"/>
    <n v="4200"/>
    <n v="2310"/>
    <n v="1890"/>
    <n v="4200"/>
    <n v="1890"/>
    <n v="0.45"/>
    <s v="Sep-2025"/>
    <x v="0"/>
    <s v="High"/>
  </r>
  <r>
    <s v="ORD-00062"/>
    <x v="16"/>
    <s v="Customer 177"/>
    <x v="3"/>
    <x v="12"/>
    <x v="1"/>
    <s v="Kolkata"/>
    <x v="0"/>
    <n v="6"/>
    <n v="150"/>
    <n v="0"/>
    <n v="900"/>
    <n v="450"/>
    <n v="450"/>
    <n v="900"/>
    <n v="450"/>
    <n v="0.5"/>
    <s v="Sep-2025"/>
    <x v="0"/>
    <s v="High"/>
  </r>
  <r>
    <s v="ORD-00500"/>
    <x v="16"/>
    <s v="Customer 195"/>
    <x v="3"/>
    <x v="12"/>
    <x v="1"/>
    <s v="Ranchi"/>
    <x v="2"/>
    <n v="9"/>
    <n v="150"/>
    <n v="0"/>
    <n v="1350"/>
    <n v="675"/>
    <n v="675"/>
    <n v="1350"/>
    <n v="675"/>
    <n v="0.5"/>
    <s v="Sep-2025"/>
    <x v="0"/>
    <s v="High"/>
  </r>
  <r>
    <s v="ORD-00812"/>
    <x v="16"/>
    <s v="Customer 128"/>
    <x v="0"/>
    <x v="2"/>
    <x v="3"/>
    <s v="Lucknow"/>
    <x v="4"/>
    <n v="6"/>
    <n v="1500"/>
    <n v="0.15"/>
    <n v="7650"/>
    <n v="5400"/>
    <n v="2250"/>
    <n v="7650"/>
    <n v="2250"/>
    <n v="0.29411764705882354"/>
    <s v="Sep-2025"/>
    <x v="0"/>
    <s v="Medium"/>
  </r>
  <r>
    <s v="ORD-00296"/>
    <x v="17"/>
    <s v="Customer 075"/>
    <x v="0"/>
    <x v="5"/>
    <x v="3"/>
    <s v="Jaipur"/>
    <x v="3"/>
    <n v="9"/>
    <n v="650"/>
    <n v="0.15"/>
    <n v="4972.5"/>
    <n v="3420"/>
    <n v="1552.5"/>
    <n v="4972.5"/>
    <n v="1552.5"/>
    <n v="0.31221719457013575"/>
    <s v="Sep-2025"/>
    <x v="0"/>
    <s v="High"/>
  </r>
  <r>
    <s v="ORD-00638"/>
    <x v="17"/>
    <s v="Customer 046"/>
    <x v="2"/>
    <x v="18"/>
    <x v="2"/>
    <s v="Pune"/>
    <x v="3"/>
    <n v="10"/>
    <n v="350"/>
    <n v="0"/>
    <n v="3500"/>
    <n v="1700"/>
    <n v="1800"/>
    <n v="3500"/>
    <n v="1800"/>
    <n v="0.51428571428571423"/>
    <s v="Sep-2025"/>
    <x v="0"/>
    <s v="High"/>
  </r>
  <r>
    <s v="ORD-00839"/>
    <x v="17"/>
    <s v="Customer 185"/>
    <x v="3"/>
    <x v="15"/>
    <x v="2"/>
    <s v="Nashik"/>
    <x v="2"/>
    <n v="2"/>
    <n v="450"/>
    <n v="0.1"/>
    <n v="810"/>
    <n v="500"/>
    <n v="310"/>
    <n v="810"/>
    <n v="310"/>
    <n v="0.38271604938271603"/>
    <s v="Sep-2025"/>
    <x v="0"/>
    <s v="High"/>
  </r>
  <r>
    <s v="ORD-00035"/>
    <x v="18"/>
    <s v="Customer 158"/>
    <x v="3"/>
    <x v="15"/>
    <x v="2"/>
    <s v="Ahmedabad"/>
    <x v="1"/>
    <n v="1"/>
    <n v="450"/>
    <n v="0.05"/>
    <n v="427.5"/>
    <n v="250"/>
    <n v="177.5"/>
    <n v="427.5"/>
    <n v="177.5"/>
    <n v="0.41520467836257308"/>
    <s v="Sep-2025"/>
    <x v="0"/>
    <s v="High"/>
  </r>
  <r>
    <s v="ORD-00186"/>
    <x v="18"/>
    <s v="Customer 120"/>
    <x v="0"/>
    <x v="8"/>
    <x v="3"/>
    <s v="Delhi"/>
    <x v="3"/>
    <n v="10"/>
    <n v="2200"/>
    <n v="0.05"/>
    <n v="20900"/>
    <n v="14000"/>
    <n v="6900"/>
    <n v="20900"/>
    <n v="6900"/>
    <n v="0.33014354066985646"/>
    <s v="Sep-2025"/>
    <x v="0"/>
    <s v="High"/>
  </r>
  <r>
    <s v="ORD-00319"/>
    <x v="18"/>
    <s v="Customer 112"/>
    <x v="0"/>
    <x v="16"/>
    <x v="2"/>
    <s v="Pune"/>
    <x v="4"/>
    <n v="5"/>
    <n v="1200"/>
    <n v="0"/>
    <n v="6000"/>
    <n v="3600"/>
    <n v="2400"/>
    <n v="6000"/>
    <n v="2400"/>
    <n v="0.4"/>
    <s v="Sep-2025"/>
    <x v="0"/>
    <s v="High"/>
  </r>
  <r>
    <s v="ORD-00388"/>
    <x v="18"/>
    <s v="Customer 093"/>
    <x v="3"/>
    <x v="15"/>
    <x v="0"/>
    <s v="Bengaluru"/>
    <x v="1"/>
    <n v="7"/>
    <n v="450"/>
    <n v="0"/>
    <n v="3150"/>
    <n v="1750"/>
    <n v="1400"/>
    <n v="3150"/>
    <n v="1400"/>
    <n v="0.44444444444444442"/>
    <s v="Sep-2025"/>
    <x v="0"/>
    <s v="High"/>
  </r>
  <r>
    <s v="ORD-00082"/>
    <x v="19"/>
    <s v="Customer 053"/>
    <x v="0"/>
    <x v="8"/>
    <x v="2"/>
    <s v="Mumbai"/>
    <x v="5"/>
    <n v="5"/>
    <n v="2200"/>
    <n v="0.15"/>
    <n v="9350"/>
    <n v="7000"/>
    <n v="2350"/>
    <n v="9350"/>
    <n v="2350"/>
    <n v="0.25133689839572193"/>
    <s v="Sep-2025"/>
    <x v="0"/>
    <s v="Medium"/>
  </r>
  <r>
    <s v="ORD-00983"/>
    <x v="19"/>
    <s v="Customer 046"/>
    <x v="1"/>
    <x v="9"/>
    <x v="0"/>
    <s v="Hyderabad"/>
    <x v="1"/>
    <n v="1"/>
    <n v="350"/>
    <n v="0"/>
    <n v="350"/>
    <n v="180"/>
    <n v="170"/>
    <n v="350"/>
    <n v="170"/>
    <n v="0.48571428571428571"/>
    <s v="Sep-2025"/>
    <x v="0"/>
    <s v="High"/>
  </r>
  <r>
    <s v="ORD-00099"/>
    <x v="20"/>
    <s v="Customer 145"/>
    <x v="1"/>
    <x v="11"/>
    <x v="0"/>
    <s v="Hyderabad"/>
    <x v="5"/>
    <n v="10"/>
    <n v="550"/>
    <n v="0.05"/>
    <n v="5225"/>
    <n v="3000"/>
    <n v="2225"/>
    <n v="5225"/>
    <n v="2225"/>
    <n v="0.42583732057416268"/>
    <s v="Sep-2025"/>
    <x v="0"/>
    <s v="High"/>
  </r>
  <r>
    <s v="ORD-00128"/>
    <x v="20"/>
    <s v="Customer 090"/>
    <x v="2"/>
    <x v="7"/>
    <x v="3"/>
    <s v="Delhi"/>
    <x v="3"/>
    <n v="3"/>
    <n v="500"/>
    <n v="0"/>
    <n v="1500"/>
    <n v="840"/>
    <n v="660"/>
    <n v="1500"/>
    <n v="660"/>
    <n v="0.44"/>
    <s v="Sep-2025"/>
    <x v="0"/>
    <s v="High"/>
  </r>
  <r>
    <s v="ORD-00205"/>
    <x v="20"/>
    <s v="Customer 045"/>
    <x v="0"/>
    <x v="0"/>
    <x v="3"/>
    <s v="Jaipur"/>
    <x v="3"/>
    <n v="7"/>
    <n v="1800"/>
    <n v="0.05"/>
    <n v="11970"/>
    <n v="7700"/>
    <n v="4270"/>
    <n v="11970"/>
    <n v="4270"/>
    <n v="0.35672514619883039"/>
    <s v="Sep-2025"/>
    <x v="0"/>
    <s v="High"/>
  </r>
  <r>
    <s v="ORD-00264"/>
    <x v="20"/>
    <s v="Customer 141"/>
    <x v="1"/>
    <x v="10"/>
    <x v="1"/>
    <s v="Patna"/>
    <x v="5"/>
    <n v="3"/>
    <n v="950"/>
    <n v="0"/>
    <n v="2850"/>
    <n v="1680"/>
    <n v="1170"/>
    <n v="2850"/>
    <n v="1170"/>
    <n v="0.41052631578947368"/>
    <s v="Sep-2025"/>
    <x v="0"/>
    <s v="High"/>
  </r>
  <r>
    <s v="ORD-00476"/>
    <x v="20"/>
    <s v="Customer 028"/>
    <x v="1"/>
    <x v="10"/>
    <x v="0"/>
    <s v="Kochi"/>
    <x v="4"/>
    <n v="6"/>
    <n v="950"/>
    <n v="0.05"/>
    <n v="5415"/>
    <n v="3360"/>
    <n v="2055"/>
    <n v="5415"/>
    <n v="2055"/>
    <n v="0.37950138504155123"/>
    <s v="Sep-2025"/>
    <x v="0"/>
    <s v="High"/>
  </r>
  <r>
    <s v="ORD-00158"/>
    <x v="21"/>
    <s v="Customer 047"/>
    <x v="2"/>
    <x v="4"/>
    <x v="0"/>
    <s v="Chennai"/>
    <x v="2"/>
    <n v="10"/>
    <n v="2200"/>
    <n v="0"/>
    <n v="22000"/>
    <n v="14500"/>
    <n v="7500"/>
    <n v="22000"/>
    <n v="7500"/>
    <n v="0.34090909090909088"/>
    <s v="Sep-2025"/>
    <x v="0"/>
    <s v="High"/>
  </r>
  <r>
    <s v="ORD-00225"/>
    <x v="21"/>
    <s v="Customer 136"/>
    <x v="2"/>
    <x v="17"/>
    <x v="0"/>
    <s v="Hyderabad"/>
    <x v="4"/>
    <n v="2"/>
    <n v="650"/>
    <n v="0"/>
    <n v="1300"/>
    <n v="700"/>
    <n v="600"/>
    <n v="1300"/>
    <n v="600"/>
    <n v="0.46153846153846156"/>
    <s v="Sep-2025"/>
    <x v="0"/>
    <s v="High"/>
  </r>
  <r>
    <s v="ORD-00323"/>
    <x v="21"/>
    <s v="Customer 113"/>
    <x v="0"/>
    <x v="0"/>
    <x v="2"/>
    <s v="Mumbai"/>
    <x v="2"/>
    <n v="8"/>
    <n v="1800"/>
    <n v="0.15"/>
    <n v="12240"/>
    <n v="8800"/>
    <n v="3440"/>
    <n v="12240"/>
    <n v="3440"/>
    <n v="0.28104575163398693"/>
    <s v="Sep-2025"/>
    <x v="0"/>
    <s v="Medium"/>
  </r>
  <r>
    <s v="ORD-00643"/>
    <x v="21"/>
    <s v="Customer 151"/>
    <x v="0"/>
    <x v="8"/>
    <x v="1"/>
    <s v="Bhubaneswar"/>
    <x v="3"/>
    <n v="10"/>
    <n v="2200"/>
    <n v="0"/>
    <n v="22000"/>
    <n v="14000"/>
    <n v="8000"/>
    <n v="22000"/>
    <n v="8000"/>
    <n v="0.36363636363636365"/>
    <s v="Sep-2025"/>
    <x v="0"/>
    <s v="High"/>
  </r>
  <r>
    <s v="ORD-00900"/>
    <x v="21"/>
    <s v="Customer 167"/>
    <x v="3"/>
    <x v="14"/>
    <x v="3"/>
    <s v="Jaipur"/>
    <x v="0"/>
    <n v="6"/>
    <n v="280"/>
    <n v="0.05"/>
    <n v="1596"/>
    <n v="900"/>
    <n v="696"/>
    <n v="1596"/>
    <n v="696"/>
    <n v="0.43609022556390975"/>
    <s v="Sep-2025"/>
    <x v="0"/>
    <s v="High"/>
  </r>
  <r>
    <s v="ORD-00915"/>
    <x v="21"/>
    <s v="Customer 198"/>
    <x v="3"/>
    <x v="12"/>
    <x v="3"/>
    <s v="Delhi"/>
    <x v="4"/>
    <n v="2"/>
    <n v="150"/>
    <n v="0.1"/>
    <n v="270"/>
    <n v="150"/>
    <n v="120"/>
    <n v="270"/>
    <n v="120"/>
    <n v="0.44444444444444442"/>
    <s v="Sep-2025"/>
    <x v="0"/>
    <s v="High"/>
  </r>
  <r>
    <s v="ORD-00237"/>
    <x v="22"/>
    <s v="Customer 157"/>
    <x v="0"/>
    <x v="2"/>
    <x v="1"/>
    <s v="Ranchi"/>
    <x v="0"/>
    <n v="5"/>
    <n v="1500"/>
    <n v="0"/>
    <n v="7500"/>
    <n v="4500"/>
    <n v="3000"/>
    <n v="7500"/>
    <n v="3000"/>
    <n v="0.4"/>
    <s v="Sep-2025"/>
    <x v="0"/>
    <s v="High"/>
  </r>
  <r>
    <s v="ORD-00396"/>
    <x v="22"/>
    <s v="Customer 118"/>
    <x v="2"/>
    <x v="18"/>
    <x v="1"/>
    <s v="Patna"/>
    <x v="5"/>
    <n v="8"/>
    <n v="350"/>
    <n v="0"/>
    <n v="2800"/>
    <n v="1360"/>
    <n v="1440"/>
    <n v="2800"/>
    <n v="1440"/>
    <n v="0.51428571428571423"/>
    <s v="Sep-2025"/>
    <x v="0"/>
    <s v="High"/>
  </r>
  <r>
    <s v="ORD-00013"/>
    <x v="23"/>
    <s v="Customer 135"/>
    <x v="1"/>
    <x v="3"/>
    <x v="2"/>
    <s v="Pune"/>
    <x v="4"/>
    <n v="7"/>
    <n v="700"/>
    <n v="0.05"/>
    <n v="4655"/>
    <n v="2800"/>
    <n v="1855"/>
    <n v="4655"/>
    <n v="1855"/>
    <n v="0.39849624060150374"/>
    <s v="Sep-2025"/>
    <x v="0"/>
    <s v="High"/>
  </r>
  <r>
    <s v="ORD-00096"/>
    <x v="23"/>
    <s v="Customer 078"/>
    <x v="1"/>
    <x v="1"/>
    <x v="0"/>
    <s v="Chennai"/>
    <x v="2"/>
    <n v="8"/>
    <n v="600"/>
    <n v="0.05"/>
    <n v="4560"/>
    <n v="2640"/>
    <n v="1920"/>
    <n v="4560"/>
    <n v="1920"/>
    <n v="0.42105263157894735"/>
    <s v="Sep-2025"/>
    <x v="0"/>
    <s v="High"/>
  </r>
  <r>
    <s v="ORD-00650"/>
    <x v="23"/>
    <s v="Customer 111"/>
    <x v="3"/>
    <x v="12"/>
    <x v="3"/>
    <s v="Delhi"/>
    <x v="4"/>
    <n v="7"/>
    <n v="150"/>
    <n v="0.1"/>
    <n v="945"/>
    <n v="525"/>
    <n v="420"/>
    <n v="945"/>
    <n v="420"/>
    <n v="0.44444444444444442"/>
    <s v="Sep-2025"/>
    <x v="0"/>
    <s v="High"/>
  </r>
  <r>
    <s v="ORD-00687"/>
    <x v="23"/>
    <s v="Customer 169"/>
    <x v="3"/>
    <x v="12"/>
    <x v="2"/>
    <s v="Pune"/>
    <x v="2"/>
    <n v="5"/>
    <n v="150"/>
    <n v="0"/>
    <n v="750"/>
    <n v="375"/>
    <n v="375"/>
    <n v="750"/>
    <n v="375"/>
    <n v="0.5"/>
    <s v="Sep-2025"/>
    <x v="0"/>
    <s v="High"/>
  </r>
  <r>
    <s v="ORD-00871"/>
    <x v="23"/>
    <s v="Customer 077"/>
    <x v="2"/>
    <x v="4"/>
    <x v="1"/>
    <s v="Bhubaneswar"/>
    <x v="4"/>
    <n v="5"/>
    <n v="2200"/>
    <n v="0.1"/>
    <n v="9900"/>
    <n v="7250"/>
    <n v="2650"/>
    <n v="9900"/>
    <n v="2650"/>
    <n v="0.26767676767676768"/>
    <s v="Sep-2025"/>
    <x v="0"/>
    <s v="Medium"/>
  </r>
  <r>
    <s v="ORD-00067"/>
    <x v="24"/>
    <s v="Customer 165"/>
    <x v="1"/>
    <x v="9"/>
    <x v="2"/>
    <s v="Pune"/>
    <x v="1"/>
    <n v="10"/>
    <n v="350"/>
    <n v="0"/>
    <n v="3500"/>
    <n v="1800"/>
    <n v="1700"/>
    <n v="3500"/>
    <n v="1700"/>
    <n v="0.48571428571428571"/>
    <s v="Sep-2025"/>
    <x v="0"/>
    <s v="High"/>
  </r>
  <r>
    <s v="ORD-00906"/>
    <x v="24"/>
    <s v="Customer 163"/>
    <x v="0"/>
    <x v="0"/>
    <x v="3"/>
    <s v="Chandigarh"/>
    <x v="1"/>
    <n v="7"/>
    <n v="1800"/>
    <n v="0.1"/>
    <n v="11340"/>
    <n v="7700"/>
    <n v="3640"/>
    <n v="11340"/>
    <n v="3640"/>
    <n v="0.32098765432098764"/>
    <s v="Sep-2025"/>
    <x v="0"/>
    <s v="High"/>
  </r>
  <r>
    <s v="ORD-00908"/>
    <x v="24"/>
    <s v="Customer 195"/>
    <x v="3"/>
    <x v="13"/>
    <x v="3"/>
    <s v="Lucknow"/>
    <x v="2"/>
    <n v="3"/>
    <n v="120"/>
    <n v="0"/>
    <n v="360"/>
    <n v="165"/>
    <n v="195"/>
    <n v="360"/>
    <n v="195"/>
    <n v="0.54166666666666663"/>
    <s v="Sep-2025"/>
    <x v="0"/>
    <s v="High"/>
  </r>
  <r>
    <s v="ORD-00450"/>
    <x v="25"/>
    <s v="Customer 190"/>
    <x v="1"/>
    <x v="11"/>
    <x v="2"/>
    <s v="Mumbai"/>
    <x v="5"/>
    <n v="7"/>
    <n v="550"/>
    <n v="0.05"/>
    <n v="3657.5"/>
    <n v="2100"/>
    <n v="1557.5"/>
    <n v="3657.5"/>
    <n v="1557.5"/>
    <n v="0.42583732057416268"/>
    <s v="Sep-2025"/>
    <x v="0"/>
    <s v="High"/>
  </r>
  <r>
    <s v="ORD-00507"/>
    <x v="25"/>
    <s v="Customer 057"/>
    <x v="2"/>
    <x v="19"/>
    <x v="2"/>
    <s v="Nashik"/>
    <x v="2"/>
    <n v="3"/>
    <n v="900"/>
    <n v="0"/>
    <n v="2700"/>
    <n v="1560"/>
    <n v="1140"/>
    <n v="2700"/>
    <n v="1140"/>
    <n v="0.42222222222222222"/>
    <s v="Sep-2025"/>
    <x v="0"/>
    <s v="High"/>
  </r>
  <r>
    <s v="ORD-00779"/>
    <x v="25"/>
    <s v="Customer 172"/>
    <x v="2"/>
    <x v="7"/>
    <x v="3"/>
    <s v="Jaipur"/>
    <x v="5"/>
    <n v="8"/>
    <n v="500"/>
    <n v="0.05"/>
    <n v="3800"/>
    <n v="2240"/>
    <n v="1560"/>
    <n v="3800"/>
    <n v="1560"/>
    <n v="0.41052631578947368"/>
    <s v="Sep-2025"/>
    <x v="0"/>
    <s v="High"/>
  </r>
  <r>
    <s v="ORD-00892"/>
    <x v="25"/>
    <s v="Customer 008"/>
    <x v="0"/>
    <x v="8"/>
    <x v="3"/>
    <s v="Delhi"/>
    <x v="2"/>
    <n v="2"/>
    <n v="2200"/>
    <n v="0"/>
    <n v="4400"/>
    <n v="2800"/>
    <n v="1600"/>
    <n v="4400"/>
    <n v="1600"/>
    <n v="0.36363636363636365"/>
    <s v="Sep-2025"/>
    <x v="0"/>
    <s v="High"/>
  </r>
  <r>
    <s v="ORD-00181"/>
    <x v="26"/>
    <s v="Customer 023"/>
    <x v="1"/>
    <x v="10"/>
    <x v="0"/>
    <s v="Bengaluru"/>
    <x v="2"/>
    <n v="10"/>
    <n v="950"/>
    <n v="0.05"/>
    <n v="9025"/>
    <n v="5600"/>
    <n v="3425"/>
    <n v="9025"/>
    <n v="3425"/>
    <n v="0.37950138504155123"/>
    <s v="Oct-2025"/>
    <x v="0"/>
    <s v="High"/>
  </r>
  <r>
    <s v="ORD-00321"/>
    <x v="27"/>
    <s v="Customer 135"/>
    <x v="2"/>
    <x v="17"/>
    <x v="0"/>
    <s v="Kochi"/>
    <x v="5"/>
    <n v="3"/>
    <n v="650"/>
    <n v="0.1"/>
    <n v="1755"/>
    <n v="1050"/>
    <n v="705"/>
    <n v="1755"/>
    <n v="705"/>
    <n v="0.40170940170940173"/>
    <s v="Oct-2025"/>
    <x v="0"/>
    <s v="High"/>
  </r>
  <r>
    <s v="ORD-00458"/>
    <x v="27"/>
    <s v="Customer 096"/>
    <x v="2"/>
    <x v="19"/>
    <x v="2"/>
    <s v="Nashik"/>
    <x v="0"/>
    <n v="10"/>
    <n v="900"/>
    <n v="0"/>
    <n v="9000"/>
    <n v="5200"/>
    <n v="3800"/>
    <n v="9000"/>
    <n v="3800"/>
    <n v="0.42222222222222222"/>
    <s v="Oct-2025"/>
    <x v="0"/>
    <s v="High"/>
  </r>
  <r>
    <s v="ORD-00661"/>
    <x v="28"/>
    <s v="Customer 012"/>
    <x v="3"/>
    <x v="13"/>
    <x v="0"/>
    <s v="Hyderabad"/>
    <x v="1"/>
    <n v="5"/>
    <n v="120"/>
    <n v="0"/>
    <n v="600"/>
    <n v="275"/>
    <n v="325"/>
    <n v="600"/>
    <n v="325"/>
    <n v="0.54166666666666663"/>
    <s v="Oct-2025"/>
    <x v="0"/>
    <s v="High"/>
  </r>
  <r>
    <s v="ORD-00089"/>
    <x v="29"/>
    <s v="Customer 006"/>
    <x v="3"/>
    <x v="6"/>
    <x v="3"/>
    <s v="Delhi"/>
    <x v="5"/>
    <n v="4"/>
    <n v="180"/>
    <n v="0.05"/>
    <n v="684"/>
    <n v="360"/>
    <n v="324"/>
    <n v="684"/>
    <n v="324"/>
    <n v="0.47368421052631576"/>
    <s v="Oct-2025"/>
    <x v="0"/>
    <s v="High"/>
  </r>
  <r>
    <s v="ORD-00651"/>
    <x v="30"/>
    <s v="Customer 030"/>
    <x v="3"/>
    <x v="14"/>
    <x v="0"/>
    <s v="Bengaluru"/>
    <x v="0"/>
    <n v="4"/>
    <n v="280"/>
    <n v="0"/>
    <n v="1120"/>
    <n v="600"/>
    <n v="520"/>
    <n v="1120"/>
    <n v="520"/>
    <n v="0.4642857142857143"/>
    <s v="Oct-2025"/>
    <x v="0"/>
    <s v="High"/>
  </r>
  <r>
    <s v="ORD-00678"/>
    <x v="30"/>
    <s v="Customer 053"/>
    <x v="0"/>
    <x v="16"/>
    <x v="0"/>
    <s v="Bengaluru"/>
    <x v="2"/>
    <n v="7"/>
    <n v="1200"/>
    <n v="0.1"/>
    <n v="7560"/>
    <n v="5040"/>
    <n v="2520"/>
    <n v="7560"/>
    <n v="2520"/>
    <n v="0.33333333333333331"/>
    <s v="Oct-2025"/>
    <x v="0"/>
    <s v="High"/>
  </r>
  <r>
    <s v="ORD-00702"/>
    <x v="30"/>
    <s v="Customer 183"/>
    <x v="0"/>
    <x v="5"/>
    <x v="1"/>
    <s v="Patna"/>
    <x v="1"/>
    <n v="9"/>
    <n v="650"/>
    <n v="0"/>
    <n v="5850"/>
    <n v="3420"/>
    <n v="2430"/>
    <n v="5850"/>
    <n v="2430"/>
    <n v="0.41538461538461541"/>
    <s v="Oct-2025"/>
    <x v="0"/>
    <s v="High"/>
  </r>
  <r>
    <s v="ORD-00766"/>
    <x v="30"/>
    <s v="Customer 119"/>
    <x v="1"/>
    <x v="11"/>
    <x v="0"/>
    <s v="Hyderabad"/>
    <x v="1"/>
    <n v="8"/>
    <n v="550"/>
    <n v="0.1"/>
    <n v="3960"/>
    <n v="2400"/>
    <n v="1560"/>
    <n v="3960"/>
    <n v="1560"/>
    <n v="0.39393939393939392"/>
    <s v="Oct-2025"/>
    <x v="0"/>
    <s v="High"/>
  </r>
  <r>
    <s v="ORD-00867"/>
    <x v="30"/>
    <s v="Customer 024"/>
    <x v="1"/>
    <x v="1"/>
    <x v="2"/>
    <s v="Pune"/>
    <x v="0"/>
    <n v="1"/>
    <n v="600"/>
    <n v="0"/>
    <n v="600"/>
    <n v="330"/>
    <n v="270"/>
    <n v="600"/>
    <n v="270"/>
    <n v="0.45"/>
    <s v="Oct-2025"/>
    <x v="0"/>
    <s v="High"/>
  </r>
  <r>
    <s v="ORD-00140"/>
    <x v="31"/>
    <s v="Customer 029"/>
    <x v="0"/>
    <x v="5"/>
    <x v="0"/>
    <s v="Bengaluru"/>
    <x v="0"/>
    <n v="3"/>
    <n v="650"/>
    <n v="0"/>
    <n v="1950"/>
    <n v="1140"/>
    <n v="810"/>
    <n v="1950"/>
    <n v="810"/>
    <n v="0.41538461538461541"/>
    <s v="Oct-2025"/>
    <x v="0"/>
    <s v="High"/>
  </r>
  <r>
    <s v="ORD-00310"/>
    <x v="31"/>
    <s v="Customer 158"/>
    <x v="0"/>
    <x v="8"/>
    <x v="1"/>
    <s v="Kolkata"/>
    <x v="0"/>
    <n v="4"/>
    <n v="2200"/>
    <n v="0.05"/>
    <n v="8360"/>
    <n v="5600"/>
    <n v="2760"/>
    <n v="8360"/>
    <n v="2760"/>
    <n v="0.33014354066985646"/>
    <s v="Oct-2025"/>
    <x v="0"/>
    <s v="High"/>
  </r>
  <r>
    <s v="ORD-00493"/>
    <x v="31"/>
    <s v="Customer 110"/>
    <x v="2"/>
    <x v="19"/>
    <x v="2"/>
    <s v="Nashik"/>
    <x v="2"/>
    <n v="7"/>
    <n v="900"/>
    <n v="0.15"/>
    <n v="5355"/>
    <n v="3640"/>
    <n v="1715"/>
    <n v="5355"/>
    <n v="1715"/>
    <n v="0.3202614379084967"/>
    <s v="Oct-2025"/>
    <x v="0"/>
    <s v="High"/>
  </r>
  <r>
    <s v="ORD-00817"/>
    <x v="31"/>
    <s v="Customer 168"/>
    <x v="0"/>
    <x v="16"/>
    <x v="2"/>
    <s v="Pune"/>
    <x v="5"/>
    <n v="7"/>
    <n v="1200"/>
    <n v="0.05"/>
    <n v="7980"/>
    <n v="5040"/>
    <n v="2940"/>
    <n v="7980"/>
    <n v="2940"/>
    <n v="0.36842105263157893"/>
    <s v="Oct-2025"/>
    <x v="0"/>
    <s v="High"/>
  </r>
  <r>
    <s v="ORD-00391"/>
    <x v="32"/>
    <s v="Customer 141"/>
    <x v="0"/>
    <x v="0"/>
    <x v="2"/>
    <s v="Ahmedabad"/>
    <x v="5"/>
    <n v="9"/>
    <n v="1800"/>
    <n v="0.05"/>
    <n v="15390"/>
    <n v="9900"/>
    <n v="5490"/>
    <n v="15390"/>
    <n v="5490"/>
    <n v="0.35672514619883039"/>
    <s v="Oct-2025"/>
    <x v="0"/>
    <s v="High"/>
  </r>
  <r>
    <s v="ORD-00340"/>
    <x v="33"/>
    <s v="Customer 142"/>
    <x v="1"/>
    <x v="3"/>
    <x v="0"/>
    <s v="Chennai"/>
    <x v="0"/>
    <n v="2"/>
    <n v="700"/>
    <n v="0"/>
    <n v="1400"/>
    <n v="800"/>
    <n v="600"/>
    <n v="1400"/>
    <n v="600"/>
    <n v="0.42857142857142855"/>
    <s v="Oct-2025"/>
    <x v="0"/>
    <s v="High"/>
  </r>
  <r>
    <s v="ORD-00116"/>
    <x v="34"/>
    <s v="Customer 179"/>
    <x v="3"/>
    <x v="13"/>
    <x v="3"/>
    <s v="Delhi"/>
    <x v="1"/>
    <n v="8"/>
    <n v="120"/>
    <n v="0"/>
    <n v="960"/>
    <n v="440"/>
    <n v="520"/>
    <n v="960"/>
    <n v="520"/>
    <n v="0.54166666666666663"/>
    <s v="Oct-2025"/>
    <x v="0"/>
    <s v="High"/>
  </r>
  <r>
    <s v="ORD-00162"/>
    <x v="34"/>
    <s v="Customer 015"/>
    <x v="2"/>
    <x v="18"/>
    <x v="1"/>
    <s v="Bhubaneswar"/>
    <x v="4"/>
    <n v="7"/>
    <n v="350"/>
    <n v="0"/>
    <n v="2450"/>
    <n v="1190"/>
    <n v="1260"/>
    <n v="2450"/>
    <n v="1260"/>
    <n v="0.51428571428571423"/>
    <s v="Oct-2025"/>
    <x v="0"/>
    <s v="High"/>
  </r>
  <r>
    <s v="ORD-00658"/>
    <x v="34"/>
    <s v="Customer 132"/>
    <x v="3"/>
    <x v="12"/>
    <x v="2"/>
    <s v="Mumbai"/>
    <x v="1"/>
    <n v="7"/>
    <n v="150"/>
    <n v="0.1"/>
    <n v="945"/>
    <n v="525"/>
    <n v="420"/>
    <n v="945"/>
    <n v="420"/>
    <n v="0.44444444444444442"/>
    <s v="Oct-2025"/>
    <x v="0"/>
    <s v="High"/>
  </r>
  <r>
    <s v="ORD-00775"/>
    <x v="34"/>
    <s v="Customer 033"/>
    <x v="0"/>
    <x v="2"/>
    <x v="1"/>
    <s v="Bhubaneswar"/>
    <x v="3"/>
    <n v="5"/>
    <n v="1500"/>
    <n v="0"/>
    <n v="7500"/>
    <n v="4500"/>
    <n v="3000"/>
    <n v="7500"/>
    <n v="3000"/>
    <n v="0.4"/>
    <s v="Oct-2025"/>
    <x v="0"/>
    <s v="High"/>
  </r>
  <r>
    <s v="ORD-00443"/>
    <x v="35"/>
    <s v="Customer 133"/>
    <x v="2"/>
    <x v="7"/>
    <x v="1"/>
    <s v="Patna"/>
    <x v="5"/>
    <n v="7"/>
    <n v="500"/>
    <n v="0.1"/>
    <n v="3150"/>
    <n v="1960"/>
    <n v="1190"/>
    <n v="3150"/>
    <n v="1190"/>
    <n v="0.37777777777777777"/>
    <s v="Oct-2025"/>
    <x v="0"/>
    <s v="High"/>
  </r>
  <r>
    <s v="ORD-00408"/>
    <x v="36"/>
    <s v="Customer 099"/>
    <x v="0"/>
    <x v="2"/>
    <x v="3"/>
    <s v="Chandigarh"/>
    <x v="2"/>
    <n v="7"/>
    <n v="1500"/>
    <n v="0.05"/>
    <n v="9975"/>
    <n v="6300"/>
    <n v="3675"/>
    <n v="9975"/>
    <n v="3675"/>
    <n v="0.36842105263157893"/>
    <s v="Oct-2025"/>
    <x v="0"/>
    <s v="High"/>
  </r>
  <r>
    <s v="ORD-00472"/>
    <x v="36"/>
    <s v="Customer 182"/>
    <x v="0"/>
    <x v="0"/>
    <x v="2"/>
    <s v="Nashik"/>
    <x v="0"/>
    <n v="6"/>
    <n v="1800"/>
    <n v="0"/>
    <n v="10800"/>
    <n v="6600"/>
    <n v="4200"/>
    <n v="10800"/>
    <n v="4200"/>
    <n v="0.3888888888888889"/>
    <s v="Oct-2025"/>
    <x v="0"/>
    <s v="High"/>
  </r>
  <r>
    <s v="ORD-00862"/>
    <x v="37"/>
    <s v="Customer 135"/>
    <x v="0"/>
    <x v="0"/>
    <x v="2"/>
    <s v="Nashik"/>
    <x v="2"/>
    <n v="8"/>
    <n v="1800"/>
    <n v="0.05"/>
    <n v="13680"/>
    <n v="8800"/>
    <n v="4880"/>
    <n v="13680"/>
    <n v="4880"/>
    <n v="0.35672514619883039"/>
    <s v="Oct-2025"/>
    <x v="0"/>
    <s v="High"/>
  </r>
  <r>
    <s v="ORD-00480"/>
    <x v="38"/>
    <s v="Customer 121"/>
    <x v="3"/>
    <x v="15"/>
    <x v="3"/>
    <s v="Lucknow"/>
    <x v="4"/>
    <n v="8"/>
    <n v="450"/>
    <n v="0"/>
    <n v="3600"/>
    <n v="2000"/>
    <n v="1600"/>
    <n v="3600"/>
    <n v="1600"/>
    <n v="0.44444444444444442"/>
    <s v="Oct-2025"/>
    <x v="0"/>
    <s v="High"/>
  </r>
  <r>
    <s v="ORD-00634"/>
    <x v="39"/>
    <s v="Customer 098"/>
    <x v="1"/>
    <x v="10"/>
    <x v="0"/>
    <s v="Hyderabad"/>
    <x v="5"/>
    <n v="1"/>
    <n v="950"/>
    <n v="0.1"/>
    <n v="855"/>
    <n v="560"/>
    <n v="295"/>
    <n v="855"/>
    <n v="295"/>
    <n v="0.34502923976608185"/>
    <s v="Oct-2025"/>
    <x v="0"/>
    <s v="High"/>
  </r>
  <r>
    <s v="ORD-00984"/>
    <x v="39"/>
    <s v="Customer 128"/>
    <x v="1"/>
    <x v="3"/>
    <x v="0"/>
    <s v="Hyderabad"/>
    <x v="0"/>
    <n v="4"/>
    <n v="700"/>
    <n v="0"/>
    <n v="2800"/>
    <n v="1600"/>
    <n v="1200"/>
    <n v="2800"/>
    <n v="1200"/>
    <n v="0.42857142857142855"/>
    <s v="Oct-2025"/>
    <x v="0"/>
    <s v="High"/>
  </r>
  <r>
    <s v="ORD-00420"/>
    <x v="40"/>
    <s v="Customer 059"/>
    <x v="0"/>
    <x v="0"/>
    <x v="1"/>
    <s v="Kolkata"/>
    <x v="0"/>
    <n v="7"/>
    <n v="1800"/>
    <n v="0.1"/>
    <n v="11340"/>
    <n v="7700"/>
    <n v="3640"/>
    <n v="11340"/>
    <n v="3640"/>
    <n v="0.32098765432098764"/>
    <s v="Oct-2025"/>
    <x v="0"/>
    <s v="High"/>
  </r>
  <r>
    <s v="ORD-00509"/>
    <x v="40"/>
    <s v="Customer 079"/>
    <x v="2"/>
    <x v="4"/>
    <x v="2"/>
    <s v="Mumbai"/>
    <x v="0"/>
    <n v="2"/>
    <n v="2200"/>
    <n v="0"/>
    <n v="4400"/>
    <n v="2900"/>
    <n v="1500"/>
    <n v="4400"/>
    <n v="1500"/>
    <n v="0.34090909090909088"/>
    <s v="Oct-2025"/>
    <x v="0"/>
    <s v="High"/>
  </r>
  <r>
    <s v="ORD-00692"/>
    <x v="40"/>
    <s v="Customer 134"/>
    <x v="0"/>
    <x v="8"/>
    <x v="1"/>
    <s v="Patna"/>
    <x v="5"/>
    <n v="2"/>
    <n v="2200"/>
    <n v="0"/>
    <n v="4400"/>
    <n v="2800"/>
    <n v="1600"/>
    <n v="4400"/>
    <n v="1600"/>
    <n v="0.36363636363636365"/>
    <s v="Oct-2025"/>
    <x v="0"/>
    <s v="High"/>
  </r>
  <r>
    <s v="ORD-00884"/>
    <x v="40"/>
    <s v="Customer 137"/>
    <x v="2"/>
    <x v="4"/>
    <x v="3"/>
    <s v="Chandigarh"/>
    <x v="2"/>
    <n v="5"/>
    <n v="2200"/>
    <n v="0"/>
    <n v="11000"/>
    <n v="7250"/>
    <n v="3750"/>
    <n v="11000"/>
    <n v="3750"/>
    <n v="0.34090909090909088"/>
    <s v="Oct-2025"/>
    <x v="0"/>
    <s v="High"/>
  </r>
  <r>
    <s v="ORD-00985"/>
    <x v="40"/>
    <s v="Customer 108"/>
    <x v="2"/>
    <x v="18"/>
    <x v="3"/>
    <s v="Lucknow"/>
    <x v="3"/>
    <n v="4"/>
    <n v="350"/>
    <n v="0.05"/>
    <n v="1330"/>
    <n v="680"/>
    <n v="650"/>
    <n v="1330"/>
    <n v="650"/>
    <n v="0.48872180451127817"/>
    <s v="Oct-2025"/>
    <x v="0"/>
    <s v="High"/>
  </r>
  <r>
    <s v="ORD-00194"/>
    <x v="41"/>
    <s v="Customer 015"/>
    <x v="2"/>
    <x v="4"/>
    <x v="0"/>
    <s v="Chennai"/>
    <x v="4"/>
    <n v="5"/>
    <n v="2200"/>
    <n v="0.1"/>
    <n v="9900"/>
    <n v="7250"/>
    <n v="2650"/>
    <n v="9900"/>
    <n v="2650"/>
    <n v="0.26767676767676768"/>
    <s v="Oct-2025"/>
    <x v="0"/>
    <s v="Medium"/>
  </r>
  <r>
    <s v="ORD-00094"/>
    <x v="42"/>
    <s v="Customer 121"/>
    <x v="0"/>
    <x v="16"/>
    <x v="2"/>
    <s v="Nashik"/>
    <x v="1"/>
    <n v="9"/>
    <n v="1200"/>
    <n v="0"/>
    <n v="10800"/>
    <n v="6480"/>
    <n v="4320"/>
    <n v="10800"/>
    <n v="4320"/>
    <n v="0.4"/>
    <s v="Oct-2025"/>
    <x v="0"/>
    <s v="High"/>
  </r>
  <r>
    <s v="ORD-00120"/>
    <x v="42"/>
    <s v="Customer 068"/>
    <x v="3"/>
    <x v="12"/>
    <x v="1"/>
    <s v="Patna"/>
    <x v="0"/>
    <n v="8"/>
    <n v="150"/>
    <n v="0"/>
    <n v="1200"/>
    <n v="600"/>
    <n v="600"/>
    <n v="1200"/>
    <n v="600"/>
    <n v="0.5"/>
    <s v="Oct-2025"/>
    <x v="0"/>
    <s v="High"/>
  </r>
  <r>
    <s v="ORD-00451"/>
    <x v="42"/>
    <s v="Customer 118"/>
    <x v="1"/>
    <x v="3"/>
    <x v="0"/>
    <s v="Hyderabad"/>
    <x v="0"/>
    <n v="9"/>
    <n v="700"/>
    <n v="0"/>
    <n v="6300"/>
    <n v="3600"/>
    <n v="2700"/>
    <n v="6300"/>
    <n v="2700"/>
    <n v="0.42857142857142855"/>
    <s v="Oct-2025"/>
    <x v="0"/>
    <s v="High"/>
  </r>
  <r>
    <s v="ORD-00751"/>
    <x v="42"/>
    <s v="Customer 107"/>
    <x v="3"/>
    <x v="6"/>
    <x v="3"/>
    <s v="Delhi"/>
    <x v="0"/>
    <n v="4"/>
    <n v="180"/>
    <n v="0.15"/>
    <n v="612"/>
    <n v="360"/>
    <n v="252"/>
    <n v="612"/>
    <n v="252"/>
    <n v="0.41176470588235292"/>
    <s v="Oct-2025"/>
    <x v="0"/>
    <s v="High"/>
  </r>
  <r>
    <s v="ORD-00846"/>
    <x v="42"/>
    <s v="Customer 053"/>
    <x v="0"/>
    <x v="16"/>
    <x v="2"/>
    <s v="Nashik"/>
    <x v="3"/>
    <n v="10"/>
    <n v="1200"/>
    <n v="0"/>
    <n v="12000"/>
    <n v="7200"/>
    <n v="4800"/>
    <n v="12000"/>
    <n v="4800"/>
    <n v="0.4"/>
    <s v="Oct-2025"/>
    <x v="0"/>
    <s v="High"/>
  </r>
  <r>
    <s v="ORD-00855"/>
    <x v="42"/>
    <s v="Customer 095"/>
    <x v="0"/>
    <x v="0"/>
    <x v="1"/>
    <s v="Kolkata"/>
    <x v="5"/>
    <n v="5"/>
    <n v="1800"/>
    <n v="0"/>
    <n v="9000"/>
    <n v="5500"/>
    <n v="3500"/>
    <n v="9000"/>
    <n v="3500"/>
    <n v="0.3888888888888889"/>
    <s v="Oct-2025"/>
    <x v="0"/>
    <s v="High"/>
  </r>
  <r>
    <s v="ORD-00552"/>
    <x v="43"/>
    <s v="Customer 018"/>
    <x v="3"/>
    <x v="12"/>
    <x v="3"/>
    <s v="Lucknow"/>
    <x v="0"/>
    <n v="7"/>
    <n v="150"/>
    <n v="0"/>
    <n v="1050"/>
    <n v="525"/>
    <n v="525"/>
    <n v="1050"/>
    <n v="525"/>
    <n v="0.5"/>
    <s v="Oct-2025"/>
    <x v="0"/>
    <s v="High"/>
  </r>
  <r>
    <s v="ORD-00916"/>
    <x v="43"/>
    <s v="Customer 153"/>
    <x v="0"/>
    <x v="5"/>
    <x v="2"/>
    <s v="Nashik"/>
    <x v="4"/>
    <n v="5"/>
    <n v="650"/>
    <n v="0.1"/>
    <n v="2925"/>
    <n v="1900"/>
    <n v="1025"/>
    <n v="2925"/>
    <n v="1025"/>
    <n v="0.3504273504273504"/>
    <s v="Oct-2025"/>
    <x v="0"/>
    <s v="High"/>
  </r>
  <r>
    <s v="ORD-00037"/>
    <x v="44"/>
    <s v="Customer 017"/>
    <x v="0"/>
    <x v="2"/>
    <x v="1"/>
    <s v="Patna"/>
    <x v="0"/>
    <n v="4"/>
    <n v="1500"/>
    <n v="0"/>
    <n v="6000"/>
    <n v="3600"/>
    <n v="2400"/>
    <n v="6000"/>
    <n v="2400"/>
    <n v="0.4"/>
    <s v="Oct-2025"/>
    <x v="0"/>
    <s v="High"/>
  </r>
  <r>
    <s v="ORD-00457"/>
    <x v="44"/>
    <s v="Customer 076"/>
    <x v="0"/>
    <x v="8"/>
    <x v="1"/>
    <s v="Kolkata"/>
    <x v="5"/>
    <n v="3"/>
    <n v="2200"/>
    <n v="0"/>
    <n v="6600"/>
    <n v="4200"/>
    <n v="2400"/>
    <n v="6600"/>
    <n v="2400"/>
    <n v="0.36363636363636365"/>
    <s v="Oct-2025"/>
    <x v="0"/>
    <s v="High"/>
  </r>
  <r>
    <s v="ORD-00546"/>
    <x v="44"/>
    <s v="Customer 164"/>
    <x v="1"/>
    <x v="10"/>
    <x v="3"/>
    <s v="Chandigarh"/>
    <x v="5"/>
    <n v="10"/>
    <n v="950"/>
    <n v="0"/>
    <n v="9500"/>
    <n v="5600"/>
    <n v="3900"/>
    <n v="9500"/>
    <n v="3900"/>
    <n v="0.41052631578947368"/>
    <s v="Oct-2025"/>
    <x v="0"/>
    <s v="High"/>
  </r>
  <r>
    <s v="ORD-00798"/>
    <x v="44"/>
    <s v="Customer 190"/>
    <x v="0"/>
    <x v="0"/>
    <x v="3"/>
    <s v="Jaipur"/>
    <x v="1"/>
    <n v="6"/>
    <n v="1800"/>
    <n v="0"/>
    <n v="10800"/>
    <n v="6600"/>
    <n v="4200"/>
    <n v="10800"/>
    <n v="4200"/>
    <n v="0.3888888888888889"/>
    <s v="Oct-2025"/>
    <x v="0"/>
    <s v="High"/>
  </r>
  <r>
    <s v="ORD-00876"/>
    <x v="44"/>
    <s v="Customer 101"/>
    <x v="3"/>
    <x v="12"/>
    <x v="0"/>
    <s v="Chennai"/>
    <x v="2"/>
    <n v="9"/>
    <n v="150"/>
    <n v="0"/>
    <n v="1350"/>
    <n v="675"/>
    <n v="675"/>
    <n v="1350"/>
    <n v="675"/>
    <n v="0.5"/>
    <s v="Oct-2025"/>
    <x v="0"/>
    <s v="High"/>
  </r>
  <r>
    <s v="ORD-00713"/>
    <x v="45"/>
    <s v="Customer 036"/>
    <x v="3"/>
    <x v="13"/>
    <x v="0"/>
    <s v="Chennai"/>
    <x v="3"/>
    <n v="6"/>
    <n v="120"/>
    <n v="0"/>
    <n v="720"/>
    <n v="330"/>
    <n v="390"/>
    <n v="720"/>
    <n v="390"/>
    <n v="0.54166666666666663"/>
    <s v="Oct-2025"/>
    <x v="0"/>
    <s v="High"/>
  </r>
  <r>
    <s v="ORD-00083"/>
    <x v="46"/>
    <s v="Customer 173"/>
    <x v="1"/>
    <x v="3"/>
    <x v="2"/>
    <s v="Mumbai"/>
    <x v="5"/>
    <n v="9"/>
    <n v="700"/>
    <n v="0"/>
    <n v="6300"/>
    <n v="3600"/>
    <n v="2700"/>
    <n v="6300"/>
    <n v="2700"/>
    <n v="0.42857142857142855"/>
    <s v="Oct-2025"/>
    <x v="0"/>
    <s v="High"/>
  </r>
  <r>
    <s v="ORD-00774"/>
    <x v="46"/>
    <s v="Customer 038"/>
    <x v="3"/>
    <x v="13"/>
    <x v="0"/>
    <s v="Hyderabad"/>
    <x v="3"/>
    <n v="10"/>
    <n v="120"/>
    <n v="0"/>
    <n v="1200"/>
    <n v="550"/>
    <n v="650"/>
    <n v="1200"/>
    <n v="650"/>
    <n v="0.54166666666666663"/>
    <s v="Oct-2025"/>
    <x v="0"/>
    <s v="High"/>
  </r>
  <r>
    <s v="ORD-00851"/>
    <x v="46"/>
    <s v="Customer 130"/>
    <x v="2"/>
    <x v="19"/>
    <x v="0"/>
    <s v="Hyderabad"/>
    <x v="2"/>
    <n v="4"/>
    <n v="900"/>
    <n v="0"/>
    <n v="3600"/>
    <n v="2080"/>
    <n v="1520"/>
    <n v="3600"/>
    <n v="1520"/>
    <n v="0.42222222222222222"/>
    <s v="Oct-2025"/>
    <x v="0"/>
    <s v="High"/>
  </r>
  <r>
    <s v="ORD-00169"/>
    <x v="47"/>
    <s v="Customer 004"/>
    <x v="0"/>
    <x v="0"/>
    <x v="3"/>
    <s v="Delhi"/>
    <x v="3"/>
    <n v="2"/>
    <n v="1800"/>
    <n v="0"/>
    <n v="3600"/>
    <n v="2200"/>
    <n v="1400"/>
    <n v="3600"/>
    <n v="1400"/>
    <n v="0.3888888888888889"/>
    <s v="Oct-2025"/>
    <x v="0"/>
    <s v="High"/>
  </r>
  <r>
    <s v="ORD-00425"/>
    <x v="47"/>
    <s v="Customer 102"/>
    <x v="3"/>
    <x v="12"/>
    <x v="0"/>
    <s v="Chennai"/>
    <x v="1"/>
    <n v="1"/>
    <n v="150"/>
    <n v="0"/>
    <n v="150"/>
    <n v="75"/>
    <n v="75"/>
    <n v="150"/>
    <n v="75"/>
    <n v="0.5"/>
    <s v="Oct-2025"/>
    <x v="0"/>
    <s v="High"/>
  </r>
  <r>
    <s v="ORD-00974"/>
    <x v="47"/>
    <s v="Customer 091"/>
    <x v="2"/>
    <x v="7"/>
    <x v="0"/>
    <s v="Hyderabad"/>
    <x v="4"/>
    <n v="6"/>
    <n v="500"/>
    <n v="0"/>
    <n v="3000"/>
    <n v="1680"/>
    <n v="1320"/>
    <n v="3000"/>
    <n v="1320"/>
    <n v="0.44"/>
    <s v="Oct-2025"/>
    <x v="0"/>
    <s v="High"/>
  </r>
  <r>
    <s v="ORD-00064"/>
    <x v="48"/>
    <s v="Customer 151"/>
    <x v="1"/>
    <x v="10"/>
    <x v="2"/>
    <s v="Nashik"/>
    <x v="4"/>
    <n v="9"/>
    <n v="950"/>
    <n v="0.05"/>
    <n v="8122.5"/>
    <n v="5040"/>
    <n v="3082.5"/>
    <n v="8122.5"/>
    <n v="3082.5"/>
    <n v="0.37950138504155123"/>
    <s v="Oct-2025"/>
    <x v="0"/>
    <s v="High"/>
  </r>
  <r>
    <s v="ORD-00397"/>
    <x v="48"/>
    <s v="Customer 019"/>
    <x v="1"/>
    <x v="11"/>
    <x v="2"/>
    <s v="Mumbai"/>
    <x v="4"/>
    <n v="5"/>
    <n v="550"/>
    <n v="0"/>
    <n v="2750"/>
    <n v="1500"/>
    <n v="1250"/>
    <n v="2750"/>
    <n v="1250"/>
    <n v="0.45454545454545453"/>
    <s v="Oct-2025"/>
    <x v="0"/>
    <s v="High"/>
  </r>
  <r>
    <s v="ORD-00413"/>
    <x v="48"/>
    <s v="Customer 044"/>
    <x v="0"/>
    <x v="2"/>
    <x v="2"/>
    <s v="Mumbai"/>
    <x v="5"/>
    <n v="6"/>
    <n v="1500"/>
    <n v="0.1"/>
    <n v="8100"/>
    <n v="5400"/>
    <n v="2700"/>
    <n v="8100"/>
    <n v="2700"/>
    <n v="0.33333333333333331"/>
    <s v="Oct-2025"/>
    <x v="0"/>
    <s v="High"/>
  </r>
  <r>
    <s v="ORD-00398"/>
    <x v="49"/>
    <s v="Customer 052"/>
    <x v="1"/>
    <x v="11"/>
    <x v="0"/>
    <s v="Chennai"/>
    <x v="0"/>
    <n v="10"/>
    <n v="550"/>
    <n v="0.05"/>
    <n v="5225"/>
    <n v="3000"/>
    <n v="2225"/>
    <n v="5225"/>
    <n v="2225"/>
    <n v="0.42583732057416268"/>
    <s v="Oct-2025"/>
    <x v="0"/>
    <s v="High"/>
  </r>
  <r>
    <s v="ORD-00889"/>
    <x v="50"/>
    <s v="Customer 067"/>
    <x v="3"/>
    <x v="13"/>
    <x v="2"/>
    <s v="Pune"/>
    <x v="5"/>
    <n v="7"/>
    <n v="120"/>
    <n v="0"/>
    <n v="840"/>
    <n v="385"/>
    <n v="455"/>
    <n v="840"/>
    <n v="455"/>
    <n v="0.54166666666666663"/>
    <s v="Oct-2025"/>
    <x v="0"/>
    <s v="High"/>
  </r>
  <r>
    <s v="ORD-00966"/>
    <x v="51"/>
    <s v="Customer 118"/>
    <x v="3"/>
    <x v="14"/>
    <x v="3"/>
    <s v="Jaipur"/>
    <x v="0"/>
    <n v="7"/>
    <n v="280"/>
    <n v="0"/>
    <n v="1960"/>
    <n v="1050"/>
    <n v="910"/>
    <n v="1960"/>
    <n v="910"/>
    <n v="0.4642857142857143"/>
    <s v="Oct-2025"/>
    <x v="0"/>
    <s v="High"/>
  </r>
  <r>
    <s v="ORD-00070"/>
    <x v="52"/>
    <s v="Customer 148"/>
    <x v="0"/>
    <x v="0"/>
    <x v="2"/>
    <s v="Mumbai"/>
    <x v="0"/>
    <n v="2"/>
    <n v="1800"/>
    <n v="0.05"/>
    <n v="3420"/>
    <n v="2200"/>
    <n v="1220"/>
    <n v="3420"/>
    <n v="1220"/>
    <n v="0.35672514619883039"/>
    <s v="Oct-2025"/>
    <x v="0"/>
    <s v="High"/>
  </r>
  <r>
    <s v="ORD-00589"/>
    <x v="52"/>
    <s v="Customer 049"/>
    <x v="3"/>
    <x v="14"/>
    <x v="1"/>
    <s v="Patna"/>
    <x v="4"/>
    <n v="6"/>
    <n v="280"/>
    <n v="0.05"/>
    <n v="1596"/>
    <n v="900"/>
    <n v="696"/>
    <n v="1596"/>
    <n v="696"/>
    <n v="0.43609022556390975"/>
    <s v="Oct-2025"/>
    <x v="0"/>
    <s v="High"/>
  </r>
  <r>
    <s v="ORD-00952"/>
    <x v="52"/>
    <s v="Customer 009"/>
    <x v="3"/>
    <x v="14"/>
    <x v="0"/>
    <s v="Hyderabad"/>
    <x v="3"/>
    <n v="2"/>
    <n v="280"/>
    <n v="0.05"/>
    <n v="532"/>
    <n v="300"/>
    <n v="232"/>
    <n v="532"/>
    <n v="232"/>
    <n v="0.43609022556390975"/>
    <s v="Oct-2025"/>
    <x v="0"/>
    <s v="High"/>
  </r>
  <r>
    <s v="ORD-00452"/>
    <x v="53"/>
    <s v="Customer 031"/>
    <x v="2"/>
    <x v="7"/>
    <x v="3"/>
    <s v="Delhi"/>
    <x v="2"/>
    <n v="8"/>
    <n v="500"/>
    <n v="0.05"/>
    <n v="3800"/>
    <n v="2240"/>
    <n v="1560"/>
    <n v="3800"/>
    <n v="1560"/>
    <n v="0.41052631578947368"/>
    <s v="Oct-2025"/>
    <x v="0"/>
    <s v="High"/>
  </r>
  <r>
    <s v="ORD-00045"/>
    <x v="54"/>
    <s v="Customer 108"/>
    <x v="0"/>
    <x v="0"/>
    <x v="1"/>
    <s v="Kolkata"/>
    <x v="5"/>
    <n v="1"/>
    <n v="1800"/>
    <n v="0.1"/>
    <n v="1620"/>
    <n v="1100"/>
    <n v="520"/>
    <n v="1620"/>
    <n v="520"/>
    <n v="0.32098765432098764"/>
    <s v="Oct-2025"/>
    <x v="0"/>
    <s v="High"/>
  </r>
  <r>
    <s v="ORD-00243"/>
    <x v="54"/>
    <s v="Customer 167"/>
    <x v="0"/>
    <x v="2"/>
    <x v="1"/>
    <s v="Bhubaneswar"/>
    <x v="2"/>
    <n v="8"/>
    <n v="1500"/>
    <n v="0.1"/>
    <n v="10800"/>
    <n v="7200"/>
    <n v="3600"/>
    <n v="10800"/>
    <n v="3600"/>
    <n v="0.33333333333333331"/>
    <s v="Oct-2025"/>
    <x v="0"/>
    <s v="High"/>
  </r>
  <r>
    <s v="ORD-00172"/>
    <x v="55"/>
    <s v="Customer 123"/>
    <x v="2"/>
    <x v="19"/>
    <x v="2"/>
    <s v="Nashik"/>
    <x v="2"/>
    <n v="4"/>
    <n v="900"/>
    <n v="0.15"/>
    <n v="3060"/>
    <n v="2080"/>
    <n v="980"/>
    <n v="3060"/>
    <n v="980"/>
    <n v="0.3202614379084967"/>
    <s v="Oct-2025"/>
    <x v="0"/>
    <s v="High"/>
  </r>
  <r>
    <s v="ORD-00427"/>
    <x v="55"/>
    <s v="Customer 122"/>
    <x v="0"/>
    <x v="5"/>
    <x v="3"/>
    <s v="Jaipur"/>
    <x v="5"/>
    <n v="2"/>
    <n v="650"/>
    <n v="0"/>
    <n v="1300"/>
    <n v="760"/>
    <n v="540"/>
    <n v="1300"/>
    <n v="540"/>
    <n v="0.41538461538461541"/>
    <s v="Oct-2025"/>
    <x v="0"/>
    <s v="High"/>
  </r>
  <r>
    <s v="ORD-00492"/>
    <x v="55"/>
    <s v="Customer 063"/>
    <x v="2"/>
    <x v="18"/>
    <x v="1"/>
    <s v="Bhubaneswar"/>
    <x v="2"/>
    <n v="7"/>
    <n v="350"/>
    <n v="0"/>
    <n v="2450"/>
    <n v="1190"/>
    <n v="1260"/>
    <n v="2450"/>
    <n v="1260"/>
    <n v="0.51428571428571423"/>
    <s v="Oct-2025"/>
    <x v="0"/>
    <s v="High"/>
  </r>
  <r>
    <s v="ORD-00995"/>
    <x v="55"/>
    <s v="Customer 026"/>
    <x v="1"/>
    <x v="10"/>
    <x v="2"/>
    <s v="Pune"/>
    <x v="4"/>
    <n v="9"/>
    <n v="950"/>
    <n v="0.1"/>
    <n v="7695"/>
    <n v="5040"/>
    <n v="2655"/>
    <n v="7695"/>
    <n v="2655"/>
    <n v="0.34502923976608185"/>
    <s v="Oct-2025"/>
    <x v="0"/>
    <s v="High"/>
  </r>
  <r>
    <s v="ORD-00018"/>
    <x v="56"/>
    <s v="Customer 185"/>
    <x v="0"/>
    <x v="0"/>
    <x v="0"/>
    <s v="Hyderabad"/>
    <x v="5"/>
    <n v="2"/>
    <n v="1800"/>
    <n v="0.05"/>
    <n v="3420"/>
    <n v="2200"/>
    <n v="1220"/>
    <n v="3420"/>
    <n v="1220"/>
    <n v="0.35672514619883039"/>
    <s v="Nov-2025"/>
    <x v="0"/>
    <s v="High"/>
  </r>
  <r>
    <s v="ORD-00808"/>
    <x v="56"/>
    <s v="Customer 052"/>
    <x v="1"/>
    <x v="11"/>
    <x v="2"/>
    <s v="Mumbai"/>
    <x v="5"/>
    <n v="5"/>
    <n v="550"/>
    <n v="0"/>
    <n v="2750"/>
    <n v="1500"/>
    <n v="1250"/>
    <n v="2750"/>
    <n v="1250"/>
    <n v="0.45454545454545453"/>
    <s v="Nov-2025"/>
    <x v="0"/>
    <s v="High"/>
  </r>
  <r>
    <s v="ORD-00227"/>
    <x v="57"/>
    <s v="Customer 073"/>
    <x v="1"/>
    <x v="11"/>
    <x v="3"/>
    <s v="Jaipur"/>
    <x v="4"/>
    <n v="2"/>
    <n v="550"/>
    <n v="0.15"/>
    <n v="935"/>
    <n v="600"/>
    <n v="335"/>
    <n v="935"/>
    <n v="335"/>
    <n v="0.35828877005347592"/>
    <s v="Nov-2025"/>
    <x v="0"/>
    <s v="High"/>
  </r>
  <r>
    <s v="ORD-00522"/>
    <x v="57"/>
    <s v="Customer 022"/>
    <x v="1"/>
    <x v="1"/>
    <x v="2"/>
    <s v="Ahmedabad"/>
    <x v="1"/>
    <n v="8"/>
    <n v="600"/>
    <n v="0"/>
    <n v="4800"/>
    <n v="2640"/>
    <n v="2160"/>
    <n v="4800"/>
    <n v="2160"/>
    <n v="0.45"/>
    <s v="Nov-2025"/>
    <x v="0"/>
    <s v="High"/>
  </r>
  <r>
    <s v="ORD-00591"/>
    <x v="57"/>
    <s v="Customer 163"/>
    <x v="1"/>
    <x v="10"/>
    <x v="0"/>
    <s v="Kochi"/>
    <x v="4"/>
    <n v="7"/>
    <n v="950"/>
    <n v="0.05"/>
    <n v="6317.5"/>
    <n v="3920"/>
    <n v="2397.5"/>
    <n v="6317.5"/>
    <n v="2397.5"/>
    <n v="0.37950138504155123"/>
    <s v="Nov-2025"/>
    <x v="0"/>
    <s v="High"/>
  </r>
  <r>
    <s v="ORD-00609"/>
    <x v="57"/>
    <s v="Customer 124"/>
    <x v="3"/>
    <x v="15"/>
    <x v="0"/>
    <s v="Chennai"/>
    <x v="0"/>
    <n v="8"/>
    <n v="450"/>
    <n v="0.1"/>
    <n v="3240"/>
    <n v="2000"/>
    <n v="1240"/>
    <n v="3240"/>
    <n v="1240"/>
    <n v="0.38271604938271603"/>
    <s v="Nov-2025"/>
    <x v="0"/>
    <s v="High"/>
  </r>
  <r>
    <s v="ORD-00710"/>
    <x v="57"/>
    <s v="Customer 165"/>
    <x v="0"/>
    <x v="0"/>
    <x v="0"/>
    <s v="Hyderabad"/>
    <x v="4"/>
    <n v="5"/>
    <n v="1800"/>
    <n v="0.05"/>
    <n v="8550"/>
    <n v="5500"/>
    <n v="3050"/>
    <n v="8550"/>
    <n v="3050"/>
    <n v="0.35672514619883039"/>
    <s v="Nov-2025"/>
    <x v="0"/>
    <s v="High"/>
  </r>
  <r>
    <s v="ORD-00795"/>
    <x v="57"/>
    <s v="Customer 121"/>
    <x v="0"/>
    <x v="2"/>
    <x v="0"/>
    <s v="Bengaluru"/>
    <x v="2"/>
    <n v="5"/>
    <n v="1500"/>
    <n v="0"/>
    <n v="7500"/>
    <n v="4500"/>
    <n v="3000"/>
    <n v="7500"/>
    <n v="3000"/>
    <n v="0.4"/>
    <s v="Nov-2025"/>
    <x v="0"/>
    <s v="High"/>
  </r>
  <r>
    <s v="ORD-00196"/>
    <x v="58"/>
    <s v="Customer 072"/>
    <x v="0"/>
    <x v="2"/>
    <x v="2"/>
    <s v="Pune"/>
    <x v="5"/>
    <n v="8"/>
    <n v="1500"/>
    <n v="0"/>
    <n v="12000"/>
    <n v="7200"/>
    <n v="4800"/>
    <n v="12000"/>
    <n v="4800"/>
    <n v="0.4"/>
    <s v="Nov-2025"/>
    <x v="0"/>
    <s v="High"/>
  </r>
  <r>
    <s v="ORD-00372"/>
    <x v="58"/>
    <s v="Customer 069"/>
    <x v="1"/>
    <x v="3"/>
    <x v="0"/>
    <s v="Chennai"/>
    <x v="2"/>
    <n v="1"/>
    <n v="700"/>
    <n v="0"/>
    <n v="700"/>
    <n v="400"/>
    <n v="300"/>
    <n v="700"/>
    <n v="300"/>
    <n v="0.42857142857142855"/>
    <s v="Nov-2025"/>
    <x v="0"/>
    <s v="High"/>
  </r>
  <r>
    <s v="ORD-00534"/>
    <x v="58"/>
    <s v="Customer 071"/>
    <x v="1"/>
    <x v="11"/>
    <x v="3"/>
    <s v="Jaipur"/>
    <x v="0"/>
    <n v="6"/>
    <n v="550"/>
    <n v="0"/>
    <n v="3300"/>
    <n v="1800"/>
    <n v="1500"/>
    <n v="3300"/>
    <n v="1500"/>
    <n v="0.45454545454545453"/>
    <s v="Nov-2025"/>
    <x v="0"/>
    <s v="High"/>
  </r>
  <r>
    <s v="ORD-00683"/>
    <x v="58"/>
    <s v="Customer 087"/>
    <x v="2"/>
    <x v="19"/>
    <x v="2"/>
    <s v="Mumbai"/>
    <x v="3"/>
    <n v="6"/>
    <n v="900"/>
    <n v="0"/>
    <n v="5400"/>
    <n v="3120"/>
    <n v="2280"/>
    <n v="5400"/>
    <n v="2280"/>
    <n v="0.42222222222222222"/>
    <s v="Nov-2025"/>
    <x v="0"/>
    <s v="High"/>
  </r>
  <r>
    <s v="ORD-00848"/>
    <x v="58"/>
    <s v="Customer 029"/>
    <x v="2"/>
    <x v="17"/>
    <x v="0"/>
    <s v="Chennai"/>
    <x v="0"/>
    <n v="4"/>
    <n v="650"/>
    <n v="0.05"/>
    <n v="2470"/>
    <n v="1400"/>
    <n v="1070"/>
    <n v="2470"/>
    <n v="1070"/>
    <n v="0.4331983805668016"/>
    <s v="Nov-2025"/>
    <x v="0"/>
    <s v="High"/>
  </r>
  <r>
    <s v="ORD-00887"/>
    <x v="58"/>
    <s v="Customer 031"/>
    <x v="2"/>
    <x v="19"/>
    <x v="3"/>
    <s v="Delhi"/>
    <x v="0"/>
    <n v="6"/>
    <n v="900"/>
    <n v="0"/>
    <n v="5400"/>
    <n v="3120"/>
    <n v="2280"/>
    <n v="5400"/>
    <n v="2280"/>
    <n v="0.42222222222222222"/>
    <s v="Nov-2025"/>
    <x v="0"/>
    <s v="High"/>
  </r>
  <r>
    <s v="ORD-00166"/>
    <x v="59"/>
    <s v="Customer 177"/>
    <x v="2"/>
    <x v="17"/>
    <x v="3"/>
    <s v="Delhi"/>
    <x v="3"/>
    <n v="7"/>
    <n v="650"/>
    <n v="0.05"/>
    <n v="4322.5"/>
    <n v="2450"/>
    <n v="1872.5"/>
    <n v="4322.5"/>
    <n v="1872.5"/>
    <n v="0.4331983805668016"/>
    <s v="Nov-2025"/>
    <x v="0"/>
    <s v="High"/>
  </r>
  <r>
    <s v="ORD-00734"/>
    <x v="59"/>
    <s v="Customer 100"/>
    <x v="0"/>
    <x v="0"/>
    <x v="2"/>
    <s v="Pune"/>
    <x v="2"/>
    <n v="8"/>
    <n v="1800"/>
    <n v="0"/>
    <n v="14400"/>
    <n v="8800"/>
    <n v="5600"/>
    <n v="14400"/>
    <n v="5600"/>
    <n v="0.3888888888888889"/>
    <s v="Nov-2025"/>
    <x v="0"/>
    <s v="High"/>
  </r>
  <r>
    <s v="ORD-00787"/>
    <x v="59"/>
    <s v="Customer 132"/>
    <x v="3"/>
    <x v="12"/>
    <x v="1"/>
    <s v="Patna"/>
    <x v="3"/>
    <n v="4"/>
    <n v="150"/>
    <n v="0.1"/>
    <n v="540"/>
    <n v="300"/>
    <n v="240"/>
    <n v="540"/>
    <n v="240"/>
    <n v="0.44444444444444442"/>
    <s v="Nov-2025"/>
    <x v="0"/>
    <s v="High"/>
  </r>
  <r>
    <s v="ORD-00829"/>
    <x v="60"/>
    <s v="Customer 076"/>
    <x v="3"/>
    <x v="15"/>
    <x v="0"/>
    <s v="Hyderabad"/>
    <x v="5"/>
    <n v="6"/>
    <n v="450"/>
    <n v="0.15"/>
    <n v="2295"/>
    <n v="1500"/>
    <n v="795"/>
    <n v="2295"/>
    <n v="795"/>
    <n v="0.34640522875816993"/>
    <s v="Nov-2025"/>
    <x v="0"/>
    <s v="High"/>
  </r>
  <r>
    <s v="ORD-00529"/>
    <x v="61"/>
    <s v="Customer 061"/>
    <x v="2"/>
    <x v="7"/>
    <x v="2"/>
    <s v="Mumbai"/>
    <x v="5"/>
    <n v="10"/>
    <n v="500"/>
    <n v="0"/>
    <n v="5000"/>
    <n v="2800"/>
    <n v="2200"/>
    <n v="5000"/>
    <n v="2200"/>
    <n v="0.44"/>
    <s v="Nov-2025"/>
    <x v="0"/>
    <s v="High"/>
  </r>
  <r>
    <s v="ORD-00758"/>
    <x v="61"/>
    <s v="Customer 154"/>
    <x v="0"/>
    <x v="5"/>
    <x v="3"/>
    <s v="Delhi"/>
    <x v="3"/>
    <n v="4"/>
    <n v="650"/>
    <n v="0"/>
    <n v="2600"/>
    <n v="1520"/>
    <n v="1080"/>
    <n v="2600"/>
    <n v="1080"/>
    <n v="0.41538461538461541"/>
    <s v="Nov-2025"/>
    <x v="0"/>
    <s v="High"/>
  </r>
  <r>
    <s v="ORD-00244"/>
    <x v="62"/>
    <s v="Customer 175"/>
    <x v="2"/>
    <x v="18"/>
    <x v="1"/>
    <s v="Bhubaneswar"/>
    <x v="4"/>
    <n v="1"/>
    <n v="350"/>
    <n v="0"/>
    <n v="350"/>
    <n v="170"/>
    <n v="180"/>
    <n v="350"/>
    <n v="180"/>
    <n v="0.51428571428571423"/>
    <s v="Nov-2025"/>
    <x v="0"/>
    <s v="High"/>
  </r>
  <r>
    <s v="ORD-00491"/>
    <x v="62"/>
    <s v="Customer 129"/>
    <x v="1"/>
    <x v="3"/>
    <x v="2"/>
    <s v="Nashik"/>
    <x v="0"/>
    <n v="4"/>
    <n v="700"/>
    <n v="0"/>
    <n v="2800"/>
    <n v="1600"/>
    <n v="1200"/>
    <n v="2800"/>
    <n v="1200"/>
    <n v="0.42857142857142855"/>
    <s v="Nov-2025"/>
    <x v="0"/>
    <s v="High"/>
  </r>
  <r>
    <s v="ORD-00695"/>
    <x v="62"/>
    <s v="Customer 005"/>
    <x v="3"/>
    <x v="13"/>
    <x v="1"/>
    <s v="Kolkata"/>
    <x v="0"/>
    <n v="3"/>
    <n v="120"/>
    <n v="0.05"/>
    <n v="342"/>
    <n v="165"/>
    <n v="177"/>
    <n v="342"/>
    <n v="177"/>
    <n v="0.51754385964912286"/>
    <s v="Nov-2025"/>
    <x v="0"/>
    <s v="High"/>
  </r>
  <r>
    <s v="ORD-00764"/>
    <x v="62"/>
    <s v="Customer 011"/>
    <x v="3"/>
    <x v="15"/>
    <x v="2"/>
    <s v="Nashik"/>
    <x v="3"/>
    <n v="5"/>
    <n v="450"/>
    <n v="0.1"/>
    <n v="2025"/>
    <n v="1250"/>
    <n v="775"/>
    <n v="2025"/>
    <n v="775"/>
    <n v="0.38271604938271603"/>
    <s v="Nov-2025"/>
    <x v="0"/>
    <s v="High"/>
  </r>
  <r>
    <s v="ORD-00940"/>
    <x v="62"/>
    <s v="Customer 004"/>
    <x v="1"/>
    <x v="10"/>
    <x v="1"/>
    <s v="Ranchi"/>
    <x v="0"/>
    <n v="2"/>
    <n v="950"/>
    <n v="0.05"/>
    <n v="1805"/>
    <n v="1120"/>
    <n v="685"/>
    <n v="1805"/>
    <n v="685"/>
    <n v="0.37950138504155123"/>
    <s v="Nov-2025"/>
    <x v="0"/>
    <s v="High"/>
  </r>
  <r>
    <s v="ORD-00579"/>
    <x v="63"/>
    <s v="Customer 113"/>
    <x v="1"/>
    <x v="11"/>
    <x v="2"/>
    <s v="Ahmedabad"/>
    <x v="3"/>
    <n v="9"/>
    <n v="550"/>
    <n v="0"/>
    <n v="4950"/>
    <n v="2700"/>
    <n v="2250"/>
    <n v="4950"/>
    <n v="2250"/>
    <n v="0.45454545454545453"/>
    <s v="Nov-2025"/>
    <x v="0"/>
    <s v="High"/>
  </r>
  <r>
    <s v="ORD-00660"/>
    <x v="63"/>
    <s v="Customer 044"/>
    <x v="0"/>
    <x v="16"/>
    <x v="3"/>
    <s v="Lucknow"/>
    <x v="1"/>
    <n v="10"/>
    <n v="1200"/>
    <n v="0"/>
    <n v="12000"/>
    <n v="7200"/>
    <n v="4800"/>
    <n v="12000"/>
    <n v="4800"/>
    <n v="0.4"/>
    <s v="Nov-2025"/>
    <x v="0"/>
    <s v="High"/>
  </r>
  <r>
    <s v="ORD-00723"/>
    <x v="63"/>
    <s v="Customer 062"/>
    <x v="1"/>
    <x v="1"/>
    <x v="3"/>
    <s v="Delhi"/>
    <x v="2"/>
    <n v="7"/>
    <n v="600"/>
    <n v="0"/>
    <n v="4200"/>
    <n v="2310"/>
    <n v="1890"/>
    <n v="4200"/>
    <n v="1890"/>
    <n v="0.45"/>
    <s v="Nov-2025"/>
    <x v="0"/>
    <s v="High"/>
  </r>
  <r>
    <s v="ORD-00299"/>
    <x v="64"/>
    <s v="Customer 004"/>
    <x v="1"/>
    <x v="1"/>
    <x v="1"/>
    <s v="Kolkata"/>
    <x v="5"/>
    <n v="4"/>
    <n v="600"/>
    <n v="0"/>
    <n v="2400"/>
    <n v="1320"/>
    <n v="1080"/>
    <n v="2400"/>
    <n v="1080"/>
    <n v="0.45"/>
    <s v="Nov-2025"/>
    <x v="0"/>
    <s v="High"/>
  </r>
  <r>
    <s v="ORD-00763"/>
    <x v="64"/>
    <s v="Customer 048"/>
    <x v="3"/>
    <x v="15"/>
    <x v="3"/>
    <s v="Jaipur"/>
    <x v="3"/>
    <n v="5"/>
    <n v="450"/>
    <n v="0"/>
    <n v="2250"/>
    <n v="1250"/>
    <n v="1000"/>
    <n v="2250"/>
    <n v="1000"/>
    <n v="0.44444444444444442"/>
    <s v="Nov-2025"/>
    <x v="0"/>
    <s v="High"/>
  </r>
  <r>
    <s v="ORD-00084"/>
    <x v="65"/>
    <s v="Customer 039"/>
    <x v="0"/>
    <x v="5"/>
    <x v="2"/>
    <s v="Ahmedabad"/>
    <x v="2"/>
    <n v="2"/>
    <n v="650"/>
    <n v="0"/>
    <n v="1300"/>
    <n v="760"/>
    <n v="540"/>
    <n v="1300"/>
    <n v="540"/>
    <n v="0.41538461538461541"/>
    <s v="Nov-2025"/>
    <x v="0"/>
    <s v="High"/>
  </r>
  <r>
    <s v="ORD-00242"/>
    <x v="65"/>
    <s v="Customer 152"/>
    <x v="0"/>
    <x v="16"/>
    <x v="1"/>
    <s v="Bhubaneswar"/>
    <x v="4"/>
    <n v="9"/>
    <n v="1200"/>
    <n v="0.1"/>
    <n v="9720"/>
    <n v="6480"/>
    <n v="3240"/>
    <n v="9720"/>
    <n v="3240"/>
    <n v="0.33333333333333331"/>
    <s v="Nov-2025"/>
    <x v="0"/>
    <s v="High"/>
  </r>
  <r>
    <s v="ORD-00326"/>
    <x v="65"/>
    <s v="Customer 055"/>
    <x v="0"/>
    <x v="8"/>
    <x v="1"/>
    <s v="Kolkata"/>
    <x v="4"/>
    <n v="4"/>
    <n v="2200"/>
    <n v="0"/>
    <n v="8800"/>
    <n v="5600"/>
    <n v="3200"/>
    <n v="8800"/>
    <n v="3200"/>
    <n v="0.36363636363636365"/>
    <s v="Nov-2025"/>
    <x v="0"/>
    <s v="High"/>
  </r>
  <r>
    <s v="ORD-00393"/>
    <x v="65"/>
    <s v="Customer 003"/>
    <x v="1"/>
    <x v="1"/>
    <x v="3"/>
    <s v="Lucknow"/>
    <x v="1"/>
    <n v="6"/>
    <n v="600"/>
    <n v="0"/>
    <n v="3600"/>
    <n v="1980"/>
    <n v="1620"/>
    <n v="3600"/>
    <n v="1620"/>
    <n v="0.45"/>
    <s v="Nov-2025"/>
    <x v="0"/>
    <s v="High"/>
  </r>
  <r>
    <s v="ORD-00899"/>
    <x v="65"/>
    <s v="Customer 074"/>
    <x v="2"/>
    <x v="17"/>
    <x v="3"/>
    <s v="Jaipur"/>
    <x v="4"/>
    <n v="8"/>
    <n v="650"/>
    <n v="0.05"/>
    <n v="4940"/>
    <n v="2800"/>
    <n v="2140"/>
    <n v="4940"/>
    <n v="2140"/>
    <n v="0.4331983805668016"/>
    <s v="Nov-2025"/>
    <x v="0"/>
    <s v="High"/>
  </r>
  <r>
    <s v="ORD-00153"/>
    <x v="66"/>
    <s v="Customer 040"/>
    <x v="2"/>
    <x v="18"/>
    <x v="3"/>
    <s v="Delhi"/>
    <x v="4"/>
    <n v="10"/>
    <n v="350"/>
    <n v="0.05"/>
    <n v="3325"/>
    <n v="1700"/>
    <n v="1625"/>
    <n v="3325"/>
    <n v="1625"/>
    <n v="0.48872180451127817"/>
    <s v="Nov-2025"/>
    <x v="0"/>
    <s v="High"/>
  </r>
  <r>
    <s v="ORD-00202"/>
    <x v="66"/>
    <s v="Customer 103"/>
    <x v="0"/>
    <x v="0"/>
    <x v="2"/>
    <s v="Nashik"/>
    <x v="4"/>
    <n v="6"/>
    <n v="1800"/>
    <n v="0.05"/>
    <n v="10260"/>
    <n v="6600"/>
    <n v="3660"/>
    <n v="10260"/>
    <n v="3660"/>
    <n v="0.35672514619883039"/>
    <s v="Nov-2025"/>
    <x v="0"/>
    <s v="High"/>
  </r>
  <r>
    <s v="ORD-00861"/>
    <x v="66"/>
    <s v="Customer 091"/>
    <x v="2"/>
    <x v="4"/>
    <x v="1"/>
    <s v="Bhubaneswar"/>
    <x v="5"/>
    <n v="5"/>
    <n v="2200"/>
    <n v="0"/>
    <n v="11000"/>
    <n v="7250"/>
    <n v="3750"/>
    <n v="11000"/>
    <n v="3750"/>
    <n v="0.34090909090909088"/>
    <s v="Nov-2025"/>
    <x v="0"/>
    <s v="High"/>
  </r>
  <r>
    <s v="ORD-00977"/>
    <x v="66"/>
    <s v="Customer 167"/>
    <x v="0"/>
    <x v="8"/>
    <x v="3"/>
    <s v="Lucknow"/>
    <x v="2"/>
    <n v="7"/>
    <n v="2200"/>
    <n v="0"/>
    <n v="15400"/>
    <n v="9800"/>
    <n v="5600"/>
    <n v="15400"/>
    <n v="5600"/>
    <n v="0.36363636363636365"/>
    <s v="Nov-2025"/>
    <x v="0"/>
    <s v="High"/>
  </r>
  <r>
    <s v="ORD-00184"/>
    <x v="67"/>
    <s v="Customer 063"/>
    <x v="0"/>
    <x v="2"/>
    <x v="0"/>
    <s v="Kochi"/>
    <x v="0"/>
    <n v="6"/>
    <n v="1500"/>
    <n v="0"/>
    <n v="9000"/>
    <n v="5400"/>
    <n v="3600"/>
    <n v="9000"/>
    <n v="3600"/>
    <n v="0.4"/>
    <s v="Nov-2025"/>
    <x v="0"/>
    <s v="High"/>
  </r>
  <r>
    <s v="ORD-00434"/>
    <x v="67"/>
    <s v="Customer 036"/>
    <x v="0"/>
    <x v="16"/>
    <x v="3"/>
    <s v="Delhi"/>
    <x v="5"/>
    <n v="6"/>
    <n v="1200"/>
    <n v="0.05"/>
    <n v="6840"/>
    <n v="4320"/>
    <n v="2520"/>
    <n v="6840"/>
    <n v="2520"/>
    <n v="0.36842105263157893"/>
    <s v="Nov-2025"/>
    <x v="0"/>
    <s v="High"/>
  </r>
  <r>
    <s v="ORD-00471"/>
    <x v="67"/>
    <s v="Customer 166"/>
    <x v="1"/>
    <x v="9"/>
    <x v="2"/>
    <s v="Nashik"/>
    <x v="1"/>
    <n v="2"/>
    <n v="350"/>
    <n v="0"/>
    <n v="700"/>
    <n v="360"/>
    <n v="340"/>
    <n v="700"/>
    <n v="340"/>
    <n v="0.48571428571428571"/>
    <s v="Nov-2025"/>
    <x v="0"/>
    <s v="High"/>
  </r>
  <r>
    <s v="ORD-00145"/>
    <x v="68"/>
    <s v="Customer 070"/>
    <x v="3"/>
    <x v="13"/>
    <x v="3"/>
    <s v="Delhi"/>
    <x v="2"/>
    <n v="2"/>
    <n v="120"/>
    <n v="0"/>
    <n v="240"/>
    <n v="110"/>
    <n v="130"/>
    <n v="240"/>
    <n v="130"/>
    <n v="0.54166666666666663"/>
    <s v="Nov-2025"/>
    <x v="0"/>
    <s v="High"/>
  </r>
  <r>
    <s v="ORD-00189"/>
    <x v="68"/>
    <s v="Customer 116"/>
    <x v="3"/>
    <x v="14"/>
    <x v="2"/>
    <s v="Nashik"/>
    <x v="2"/>
    <n v="7"/>
    <n v="280"/>
    <n v="0.1"/>
    <n v="1764"/>
    <n v="1050"/>
    <n v="714"/>
    <n v="1764"/>
    <n v="714"/>
    <n v="0.40476190476190477"/>
    <s v="Nov-2025"/>
    <x v="0"/>
    <s v="High"/>
  </r>
  <r>
    <s v="ORD-00688"/>
    <x v="68"/>
    <s v="Customer 142"/>
    <x v="0"/>
    <x v="16"/>
    <x v="2"/>
    <s v="Pune"/>
    <x v="2"/>
    <n v="9"/>
    <n v="1200"/>
    <n v="0"/>
    <n v="10800"/>
    <n v="6480"/>
    <n v="4320"/>
    <n v="10800"/>
    <n v="4320"/>
    <n v="0.4"/>
    <s v="Nov-2025"/>
    <x v="0"/>
    <s v="High"/>
  </r>
  <r>
    <s v="ORD-00869"/>
    <x v="68"/>
    <s v="Customer 103"/>
    <x v="1"/>
    <x v="3"/>
    <x v="1"/>
    <s v="Patna"/>
    <x v="4"/>
    <n v="5"/>
    <n v="700"/>
    <n v="0"/>
    <n v="3500"/>
    <n v="2000"/>
    <n v="1500"/>
    <n v="3500"/>
    <n v="1500"/>
    <n v="0.42857142857142855"/>
    <s v="Nov-2025"/>
    <x v="0"/>
    <s v="High"/>
  </r>
  <r>
    <s v="ORD-00198"/>
    <x v="69"/>
    <s v="Customer 121"/>
    <x v="1"/>
    <x v="3"/>
    <x v="3"/>
    <s v="Lucknow"/>
    <x v="1"/>
    <n v="8"/>
    <n v="700"/>
    <n v="0"/>
    <n v="5600"/>
    <n v="3200"/>
    <n v="2400"/>
    <n v="5600"/>
    <n v="2400"/>
    <n v="0.42857142857142855"/>
    <s v="Nov-2025"/>
    <x v="0"/>
    <s v="High"/>
  </r>
  <r>
    <s v="ORD-00911"/>
    <x v="69"/>
    <s v="Customer 194"/>
    <x v="0"/>
    <x v="5"/>
    <x v="0"/>
    <s v="Chennai"/>
    <x v="1"/>
    <n v="8"/>
    <n v="650"/>
    <n v="0"/>
    <n v="5200"/>
    <n v="3040"/>
    <n v="2160"/>
    <n v="5200"/>
    <n v="2160"/>
    <n v="0.41538461538461541"/>
    <s v="Nov-2025"/>
    <x v="0"/>
    <s v="High"/>
  </r>
  <r>
    <s v="ORD-00238"/>
    <x v="70"/>
    <s v="Customer 132"/>
    <x v="3"/>
    <x v="13"/>
    <x v="1"/>
    <s v="Bhubaneswar"/>
    <x v="2"/>
    <n v="2"/>
    <n v="120"/>
    <n v="0"/>
    <n v="240"/>
    <n v="110"/>
    <n v="130"/>
    <n v="240"/>
    <n v="130"/>
    <n v="0.54166666666666663"/>
    <s v="Nov-2025"/>
    <x v="0"/>
    <s v="High"/>
  </r>
  <r>
    <s v="ORD-00553"/>
    <x v="70"/>
    <s v="Customer 188"/>
    <x v="3"/>
    <x v="14"/>
    <x v="2"/>
    <s v="Mumbai"/>
    <x v="2"/>
    <n v="1"/>
    <n v="280"/>
    <n v="0"/>
    <n v="280"/>
    <n v="150"/>
    <n v="130"/>
    <n v="280"/>
    <n v="130"/>
    <n v="0.4642857142857143"/>
    <s v="Nov-2025"/>
    <x v="0"/>
    <s v="High"/>
  </r>
  <r>
    <s v="ORD-00834"/>
    <x v="70"/>
    <s v="Customer 180"/>
    <x v="1"/>
    <x v="11"/>
    <x v="0"/>
    <s v="Bengaluru"/>
    <x v="2"/>
    <n v="9"/>
    <n v="550"/>
    <n v="0.15"/>
    <n v="4207.5"/>
    <n v="2700"/>
    <n v="1507.5"/>
    <n v="4207.5"/>
    <n v="1507.5"/>
    <n v="0.35828877005347592"/>
    <s v="Nov-2025"/>
    <x v="0"/>
    <s v="High"/>
  </r>
  <r>
    <s v="ORD-00828"/>
    <x v="71"/>
    <s v="Customer 070"/>
    <x v="0"/>
    <x v="2"/>
    <x v="3"/>
    <s v="Lucknow"/>
    <x v="2"/>
    <n v="2"/>
    <n v="1500"/>
    <n v="0.1"/>
    <n v="2700"/>
    <n v="1800"/>
    <n v="900"/>
    <n v="2700"/>
    <n v="900"/>
    <n v="0.33333333333333331"/>
    <s v="Nov-2025"/>
    <x v="0"/>
    <s v="High"/>
  </r>
  <r>
    <s v="ORD-00278"/>
    <x v="72"/>
    <s v="Customer 145"/>
    <x v="2"/>
    <x v="17"/>
    <x v="1"/>
    <s v="Patna"/>
    <x v="0"/>
    <n v="6"/>
    <n v="650"/>
    <n v="0.05"/>
    <n v="3705"/>
    <n v="2100"/>
    <n v="1605"/>
    <n v="3705"/>
    <n v="1605"/>
    <n v="0.4331983805668016"/>
    <s v="Nov-2025"/>
    <x v="0"/>
    <s v="High"/>
  </r>
  <r>
    <s v="ORD-00401"/>
    <x v="72"/>
    <s v="Customer 185"/>
    <x v="2"/>
    <x v="17"/>
    <x v="0"/>
    <s v="Chennai"/>
    <x v="4"/>
    <n v="9"/>
    <n v="650"/>
    <n v="0.05"/>
    <n v="5557.5"/>
    <n v="3150"/>
    <n v="2407.5"/>
    <n v="5557.5"/>
    <n v="2407.5"/>
    <n v="0.4331983805668016"/>
    <s v="Nov-2025"/>
    <x v="0"/>
    <s v="High"/>
  </r>
  <r>
    <s v="ORD-00467"/>
    <x v="72"/>
    <s v="Customer 014"/>
    <x v="0"/>
    <x v="8"/>
    <x v="2"/>
    <s v="Mumbai"/>
    <x v="3"/>
    <n v="4"/>
    <n v="2200"/>
    <n v="0.05"/>
    <n v="8360"/>
    <n v="5600"/>
    <n v="2760"/>
    <n v="8360"/>
    <n v="2760"/>
    <n v="0.33014354066985646"/>
    <s v="Nov-2025"/>
    <x v="0"/>
    <s v="High"/>
  </r>
  <r>
    <s v="ORD-00800"/>
    <x v="73"/>
    <s v="Customer 185"/>
    <x v="1"/>
    <x v="3"/>
    <x v="0"/>
    <s v="Hyderabad"/>
    <x v="5"/>
    <n v="7"/>
    <n v="700"/>
    <n v="0.1"/>
    <n v="4410"/>
    <n v="2800"/>
    <n v="1610"/>
    <n v="4410"/>
    <n v="1610"/>
    <n v="0.36507936507936506"/>
    <s v="Nov-2025"/>
    <x v="0"/>
    <s v="High"/>
  </r>
  <r>
    <s v="ORD-00012"/>
    <x v="74"/>
    <s v="Customer 136"/>
    <x v="2"/>
    <x v="19"/>
    <x v="1"/>
    <s v="Ranchi"/>
    <x v="3"/>
    <n v="8"/>
    <n v="900"/>
    <n v="0"/>
    <n v="7200"/>
    <n v="4160"/>
    <n v="3040"/>
    <n v="7200"/>
    <n v="3040"/>
    <n v="0.42222222222222222"/>
    <s v="Nov-2025"/>
    <x v="0"/>
    <s v="High"/>
  </r>
  <r>
    <s v="ORD-00317"/>
    <x v="74"/>
    <s v="Customer 152"/>
    <x v="0"/>
    <x v="16"/>
    <x v="2"/>
    <s v="Nashik"/>
    <x v="5"/>
    <n v="6"/>
    <n v="1200"/>
    <n v="0.05"/>
    <n v="6840"/>
    <n v="4320"/>
    <n v="2520"/>
    <n v="6840"/>
    <n v="2520"/>
    <n v="0.36842105263157893"/>
    <s v="Nov-2025"/>
    <x v="0"/>
    <s v="High"/>
  </r>
  <r>
    <s v="ORD-00994"/>
    <x v="74"/>
    <s v="Customer 149"/>
    <x v="0"/>
    <x v="0"/>
    <x v="2"/>
    <s v="Pune"/>
    <x v="0"/>
    <n v="7"/>
    <n v="1800"/>
    <n v="0"/>
    <n v="12600"/>
    <n v="7700"/>
    <n v="4900"/>
    <n v="12600"/>
    <n v="4900"/>
    <n v="0.3888888888888889"/>
    <s v="Nov-2025"/>
    <x v="0"/>
    <s v="High"/>
  </r>
  <r>
    <s v="ORD-00078"/>
    <x v="75"/>
    <s v="Customer 115"/>
    <x v="2"/>
    <x v="4"/>
    <x v="1"/>
    <s v="Kolkata"/>
    <x v="5"/>
    <n v="3"/>
    <n v="2200"/>
    <n v="0.1"/>
    <n v="5940"/>
    <n v="4350"/>
    <n v="1590"/>
    <n v="5940"/>
    <n v="1590"/>
    <n v="0.26767676767676768"/>
    <s v="Nov-2025"/>
    <x v="0"/>
    <s v="Medium"/>
  </r>
  <r>
    <s v="ORD-00160"/>
    <x v="75"/>
    <s v="Customer 116"/>
    <x v="1"/>
    <x v="3"/>
    <x v="1"/>
    <s v="Ranchi"/>
    <x v="3"/>
    <n v="2"/>
    <n v="700"/>
    <n v="0"/>
    <n v="1400"/>
    <n v="800"/>
    <n v="600"/>
    <n v="1400"/>
    <n v="600"/>
    <n v="0.42857142857142855"/>
    <s v="Nov-2025"/>
    <x v="0"/>
    <s v="High"/>
  </r>
  <r>
    <s v="ORD-00260"/>
    <x v="75"/>
    <s v="Customer 173"/>
    <x v="2"/>
    <x v="17"/>
    <x v="1"/>
    <s v="Patna"/>
    <x v="3"/>
    <n v="1"/>
    <n v="650"/>
    <n v="0"/>
    <n v="650"/>
    <n v="350"/>
    <n v="300"/>
    <n v="650"/>
    <n v="300"/>
    <n v="0.46153846153846156"/>
    <s v="Nov-2025"/>
    <x v="0"/>
    <s v="High"/>
  </r>
  <r>
    <s v="ORD-00551"/>
    <x v="75"/>
    <s v="Customer 077"/>
    <x v="2"/>
    <x v="19"/>
    <x v="1"/>
    <s v="Ranchi"/>
    <x v="4"/>
    <n v="10"/>
    <n v="900"/>
    <n v="0"/>
    <n v="9000"/>
    <n v="5200"/>
    <n v="3800"/>
    <n v="9000"/>
    <n v="3800"/>
    <n v="0.42222222222222222"/>
    <s v="Nov-2025"/>
    <x v="0"/>
    <s v="High"/>
  </r>
  <r>
    <s v="ORD-00715"/>
    <x v="75"/>
    <s v="Customer 199"/>
    <x v="2"/>
    <x v="7"/>
    <x v="2"/>
    <s v="Pune"/>
    <x v="5"/>
    <n v="9"/>
    <n v="500"/>
    <n v="0"/>
    <n v="4500"/>
    <n v="2520"/>
    <n v="1980"/>
    <n v="4500"/>
    <n v="1980"/>
    <n v="0.44"/>
    <s v="Nov-2025"/>
    <x v="0"/>
    <s v="High"/>
  </r>
  <r>
    <s v="ORD-00822"/>
    <x v="75"/>
    <s v="Customer 172"/>
    <x v="0"/>
    <x v="8"/>
    <x v="3"/>
    <s v="Jaipur"/>
    <x v="1"/>
    <n v="2"/>
    <n v="2200"/>
    <n v="0.05"/>
    <n v="4180"/>
    <n v="2800"/>
    <n v="1380"/>
    <n v="4180"/>
    <n v="1380"/>
    <n v="0.33014354066985646"/>
    <s v="Nov-2025"/>
    <x v="0"/>
    <s v="High"/>
  </r>
  <r>
    <s v="ORD-00268"/>
    <x v="76"/>
    <s v="Customer 137"/>
    <x v="0"/>
    <x v="0"/>
    <x v="3"/>
    <s v="Delhi"/>
    <x v="3"/>
    <n v="8"/>
    <n v="1800"/>
    <n v="0"/>
    <n v="14400"/>
    <n v="8800"/>
    <n v="5600"/>
    <n v="14400"/>
    <n v="5600"/>
    <n v="0.3888888888888889"/>
    <s v="Nov-2025"/>
    <x v="0"/>
    <s v="High"/>
  </r>
  <r>
    <s v="ORD-00729"/>
    <x v="76"/>
    <s v="Customer 063"/>
    <x v="2"/>
    <x v="19"/>
    <x v="3"/>
    <s v="Delhi"/>
    <x v="4"/>
    <n v="1"/>
    <n v="900"/>
    <n v="0"/>
    <n v="900"/>
    <n v="520"/>
    <n v="380"/>
    <n v="900"/>
    <n v="380"/>
    <n v="0.42222222222222222"/>
    <s v="Nov-2025"/>
    <x v="0"/>
    <s v="High"/>
  </r>
  <r>
    <s v="ORD-00951"/>
    <x v="76"/>
    <s v="Customer 124"/>
    <x v="1"/>
    <x v="1"/>
    <x v="2"/>
    <s v="Nashik"/>
    <x v="3"/>
    <n v="10"/>
    <n v="600"/>
    <n v="0.15"/>
    <n v="5100"/>
    <n v="3300"/>
    <n v="1800"/>
    <n v="5100"/>
    <n v="1800"/>
    <n v="0.35294117647058826"/>
    <s v="Nov-2025"/>
    <x v="0"/>
    <s v="High"/>
  </r>
  <r>
    <s v="ORD-00131"/>
    <x v="77"/>
    <s v="Customer 105"/>
    <x v="1"/>
    <x v="1"/>
    <x v="3"/>
    <s v="Delhi"/>
    <x v="4"/>
    <n v="1"/>
    <n v="600"/>
    <n v="0"/>
    <n v="600"/>
    <n v="330"/>
    <n v="270"/>
    <n v="600"/>
    <n v="270"/>
    <n v="0.45"/>
    <s v="Nov-2025"/>
    <x v="0"/>
    <s v="High"/>
  </r>
  <r>
    <s v="ORD-00214"/>
    <x v="77"/>
    <s v="Customer 130"/>
    <x v="3"/>
    <x v="12"/>
    <x v="2"/>
    <s v="Nashik"/>
    <x v="1"/>
    <n v="8"/>
    <n v="150"/>
    <n v="0.05"/>
    <n v="1140"/>
    <n v="600"/>
    <n v="540"/>
    <n v="1140"/>
    <n v="540"/>
    <n v="0.47368421052631576"/>
    <s v="Nov-2025"/>
    <x v="0"/>
    <s v="High"/>
  </r>
  <r>
    <s v="ORD-00295"/>
    <x v="78"/>
    <s v="Customer 090"/>
    <x v="1"/>
    <x v="3"/>
    <x v="3"/>
    <s v="Delhi"/>
    <x v="2"/>
    <n v="9"/>
    <n v="700"/>
    <n v="0.05"/>
    <n v="5985"/>
    <n v="3600"/>
    <n v="2385"/>
    <n v="5985"/>
    <n v="2385"/>
    <n v="0.39849624060150374"/>
    <s v="Nov-2025"/>
    <x v="0"/>
    <s v="High"/>
  </r>
  <r>
    <s v="ORD-00320"/>
    <x v="78"/>
    <s v="Customer 076"/>
    <x v="1"/>
    <x v="9"/>
    <x v="1"/>
    <s v="Ranchi"/>
    <x v="1"/>
    <n v="3"/>
    <n v="350"/>
    <n v="0.05"/>
    <n v="997.5"/>
    <n v="540"/>
    <n v="457.5"/>
    <n v="997.5"/>
    <n v="457.5"/>
    <n v="0.45864661654135336"/>
    <s v="Nov-2025"/>
    <x v="0"/>
    <s v="High"/>
  </r>
  <r>
    <s v="ORD-00346"/>
    <x v="78"/>
    <s v="Customer 169"/>
    <x v="0"/>
    <x v="8"/>
    <x v="1"/>
    <s v="Bhubaneswar"/>
    <x v="5"/>
    <n v="9"/>
    <n v="2200"/>
    <n v="0"/>
    <n v="19800"/>
    <n v="12600"/>
    <n v="7200"/>
    <n v="19800"/>
    <n v="7200"/>
    <n v="0.36363636363636365"/>
    <s v="Nov-2025"/>
    <x v="0"/>
    <s v="High"/>
  </r>
  <r>
    <s v="ORD-00495"/>
    <x v="79"/>
    <s v="Customer 076"/>
    <x v="1"/>
    <x v="3"/>
    <x v="0"/>
    <s v="Hyderabad"/>
    <x v="3"/>
    <n v="9"/>
    <n v="700"/>
    <n v="0.1"/>
    <n v="5670"/>
    <n v="3600"/>
    <n v="2070"/>
    <n v="5670"/>
    <n v="2070"/>
    <n v="0.36507936507936506"/>
    <s v="Nov-2025"/>
    <x v="0"/>
    <s v="High"/>
  </r>
  <r>
    <s v="ORD-00740"/>
    <x v="79"/>
    <s v="Customer 038"/>
    <x v="2"/>
    <x v="7"/>
    <x v="3"/>
    <s v="Lucknow"/>
    <x v="1"/>
    <n v="10"/>
    <n v="500"/>
    <n v="0"/>
    <n v="5000"/>
    <n v="2800"/>
    <n v="2200"/>
    <n v="5000"/>
    <n v="2200"/>
    <n v="0.44"/>
    <s v="Nov-2025"/>
    <x v="0"/>
    <s v="High"/>
  </r>
  <r>
    <s v="ORD-00825"/>
    <x v="80"/>
    <s v="Customer 001"/>
    <x v="0"/>
    <x v="8"/>
    <x v="2"/>
    <s v="Pune"/>
    <x v="4"/>
    <n v="7"/>
    <n v="2200"/>
    <n v="0"/>
    <n v="15400"/>
    <n v="9800"/>
    <n v="5600"/>
    <n v="15400"/>
    <n v="5600"/>
    <n v="0.36363636363636365"/>
    <s v="Nov-2025"/>
    <x v="0"/>
    <s v="High"/>
  </r>
  <r>
    <s v="ORD-00830"/>
    <x v="80"/>
    <s v="Customer 017"/>
    <x v="3"/>
    <x v="14"/>
    <x v="1"/>
    <s v="Bhubaneswar"/>
    <x v="0"/>
    <n v="4"/>
    <n v="280"/>
    <n v="0"/>
    <n v="1120"/>
    <n v="600"/>
    <n v="520"/>
    <n v="1120"/>
    <n v="520"/>
    <n v="0.4642857142857143"/>
    <s v="Nov-2025"/>
    <x v="0"/>
    <s v="High"/>
  </r>
  <r>
    <s v="ORD-00626"/>
    <x v="81"/>
    <s v="Customer 066"/>
    <x v="2"/>
    <x v="18"/>
    <x v="0"/>
    <s v="Bengaluru"/>
    <x v="0"/>
    <n v="2"/>
    <n v="350"/>
    <n v="0"/>
    <n v="700"/>
    <n v="340"/>
    <n v="360"/>
    <n v="700"/>
    <n v="360"/>
    <n v="0.51428571428571423"/>
    <s v="Nov-2025"/>
    <x v="0"/>
    <s v="High"/>
  </r>
  <r>
    <s v="ORD-00901"/>
    <x v="81"/>
    <s v="Customer 141"/>
    <x v="1"/>
    <x v="3"/>
    <x v="0"/>
    <s v="Kochi"/>
    <x v="5"/>
    <n v="7"/>
    <n v="700"/>
    <n v="0"/>
    <n v="4900"/>
    <n v="2800"/>
    <n v="2100"/>
    <n v="4900"/>
    <n v="2100"/>
    <n v="0.42857142857142855"/>
    <s v="Nov-2025"/>
    <x v="0"/>
    <s v="High"/>
  </r>
  <r>
    <s v="ORD-00076"/>
    <x v="82"/>
    <s v="Customer 136"/>
    <x v="3"/>
    <x v="12"/>
    <x v="2"/>
    <s v="Ahmedabad"/>
    <x v="2"/>
    <n v="10"/>
    <n v="150"/>
    <n v="0"/>
    <n v="1500"/>
    <n v="750"/>
    <n v="750"/>
    <n v="1500"/>
    <n v="750"/>
    <n v="0.5"/>
    <s v="Nov-2025"/>
    <x v="0"/>
    <s v="High"/>
  </r>
  <r>
    <s v="ORD-00308"/>
    <x v="82"/>
    <s v="Customer 004"/>
    <x v="3"/>
    <x v="14"/>
    <x v="3"/>
    <s v="Chandigarh"/>
    <x v="1"/>
    <n v="5"/>
    <n v="280"/>
    <n v="0.05"/>
    <n v="1330"/>
    <n v="750"/>
    <n v="580"/>
    <n v="1330"/>
    <n v="580"/>
    <n v="0.43609022556390975"/>
    <s v="Nov-2025"/>
    <x v="0"/>
    <s v="High"/>
  </r>
  <r>
    <s v="ORD-00430"/>
    <x v="82"/>
    <s v="Customer 190"/>
    <x v="0"/>
    <x v="0"/>
    <x v="1"/>
    <s v="Ranchi"/>
    <x v="4"/>
    <n v="8"/>
    <n v="1800"/>
    <n v="0.05"/>
    <n v="13680"/>
    <n v="8800"/>
    <n v="4880"/>
    <n v="13680"/>
    <n v="4880"/>
    <n v="0.35672514619883039"/>
    <s v="Nov-2025"/>
    <x v="0"/>
    <s v="High"/>
  </r>
  <r>
    <s v="ORD-00686"/>
    <x v="82"/>
    <s v="Customer 040"/>
    <x v="1"/>
    <x v="3"/>
    <x v="2"/>
    <s v="Mumbai"/>
    <x v="5"/>
    <n v="9"/>
    <n v="700"/>
    <n v="0.1"/>
    <n v="5670"/>
    <n v="3600"/>
    <n v="2070"/>
    <n v="5670"/>
    <n v="2070"/>
    <n v="0.36507936507936506"/>
    <s v="Nov-2025"/>
    <x v="0"/>
    <s v="High"/>
  </r>
  <r>
    <s v="ORD-00856"/>
    <x v="82"/>
    <s v="Customer 186"/>
    <x v="3"/>
    <x v="15"/>
    <x v="2"/>
    <s v="Pune"/>
    <x v="1"/>
    <n v="6"/>
    <n v="450"/>
    <n v="0.05"/>
    <n v="2565"/>
    <n v="1500"/>
    <n v="1065"/>
    <n v="2565"/>
    <n v="1065"/>
    <n v="0.41520467836257308"/>
    <s v="Nov-2025"/>
    <x v="0"/>
    <s v="High"/>
  </r>
  <r>
    <s v="ORD-00969"/>
    <x v="82"/>
    <s v="Customer 098"/>
    <x v="0"/>
    <x v="0"/>
    <x v="0"/>
    <s v="Chennai"/>
    <x v="5"/>
    <n v="10"/>
    <n v="1800"/>
    <n v="0"/>
    <n v="18000"/>
    <n v="11000"/>
    <n v="7000"/>
    <n v="18000"/>
    <n v="7000"/>
    <n v="0.3888888888888889"/>
    <s v="Nov-2025"/>
    <x v="0"/>
    <s v="High"/>
  </r>
  <r>
    <s v="ORD-00382"/>
    <x v="83"/>
    <s v="Customer 117"/>
    <x v="2"/>
    <x v="7"/>
    <x v="1"/>
    <s v="Bhubaneswar"/>
    <x v="2"/>
    <n v="3"/>
    <n v="500"/>
    <n v="0"/>
    <n v="1500"/>
    <n v="840"/>
    <n v="660"/>
    <n v="1500"/>
    <n v="660"/>
    <n v="0.44"/>
    <s v="Nov-2025"/>
    <x v="0"/>
    <s v="High"/>
  </r>
  <r>
    <s v="ORD-00179"/>
    <x v="84"/>
    <s v="Customer 097"/>
    <x v="2"/>
    <x v="19"/>
    <x v="3"/>
    <s v="Chandigarh"/>
    <x v="3"/>
    <n v="3"/>
    <n v="900"/>
    <n v="0.1"/>
    <n v="2430"/>
    <n v="1560"/>
    <n v="870"/>
    <n v="2430"/>
    <n v="870"/>
    <n v="0.35802469135802467"/>
    <s v="Dec-2025"/>
    <x v="0"/>
    <s v="High"/>
  </r>
  <r>
    <s v="ORD-00271"/>
    <x v="84"/>
    <s v="Customer 014"/>
    <x v="0"/>
    <x v="8"/>
    <x v="0"/>
    <s v="Hyderabad"/>
    <x v="5"/>
    <n v="3"/>
    <n v="2200"/>
    <n v="0"/>
    <n v="6600"/>
    <n v="4200"/>
    <n v="2400"/>
    <n v="6600"/>
    <n v="2400"/>
    <n v="0.36363636363636365"/>
    <s v="Dec-2025"/>
    <x v="0"/>
    <s v="High"/>
  </r>
  <r>
    <s v="ORD-00949"/>
    <x v="84"/>
    <s v="Customer 167"/>
    <x v="3"/>
    <x v="13"/>
    <x v="2"/>
    <s v="Mumbai"/>
    <x v="1"/>
    <n v="2"/>
    <n v="120"/>
    <n v="0"/>
    <n v="240"/>
    <n v="110"/>
    <n v="130"/>
    <n v="240"/>
    <n v="130"/>
    <n v="0.54166666666666663"/>
    <s v="Dec-2025"/>
    <x v="0"/>
    <s v="High"/>
  </r>
  <r>
    <s v="ORD-00980"/>
    <x v="84"/>
    <s v="Customer 070"/>
    <x v="1"/>
    <x v="3"/>
    <x v="3"/>
    <s v="Chandigarh"/>
    <x v="3"/>
    <n v="9"/>
    <n v="700"/>
    <n v="0.05"/>
    <n v="5985"/>
    <n v="3600"/>
    <n v="2385"/>
    <n v="5985"/>
    <n v="2385"/>
    <n v="0.39849624060150374"/>
    <s v="Dec-2025"/>
    <x v="0"/>
    <s v="High"/>
  </r>
  <r>
    <s v="ORD-00428"/>
    <x v="85"/>
    <s v="Customer 008"/>
    <x v="2"/>
    <x v="17"/>
    <x v="3"/>
    <s v="Jaipur"/>
    <x v="0"/>
    <n v="3"/>
    <n v="650"/>
    <n v="0"/>
    <n v="1950"/>
    <n v="1050"/>
    <n v="900"/>
    <n v="1950"/>
    <n v="900"/>
    <n v="0.46153846153846156"/>
    <s v="Dec-2025"/>
    <x v="0"/>
    <s v="High"/>
  </r>
  <r>
    <s v="ORD-00535"/>
    <x v="85"/>
    <s v="Customer 174"/>
    <x v="3"/>
    <x v="12"/>
    <x v="3"/>
    <s v="Jaipur"/>
    <x v="1"/>
    <n v="2"/>
    <n v="150"/>
    <n v="0.05"/>
    <n v="285"/>
    <n v="150"/>
    <n v="135"/>
    <n v="285"/>
    <n v="135"/>
    <n v="0.47368421052631576"/>
    <s v="Dec-2025"/>
    <x v="0"/>
    <s v="High"/>
  </r>
  <r>
    <s v="ORD-00970"/>
    <x v="85"/>
    <s v="Customer 114"/>
    <x v="3"/>
    <x v="12"/>
    <x v="2"/>
    <s v="Ahmedabad"/>
    <x v="0"/>
    <n v="1"/>
    <n v="150"/>
    <n v="0.05"/>
    <n v="142.5"/>
    <n v="75"/>
    <n v="67.5"/>
    <n v="142.5"/>
    <n v="67.5"/>
    <n v="0.47368421052631576"/>
    <s v="Dec-2025"/>
    <x v="0"/>
    <s v="High"/>
  </r>
  <r>
    <s v="ORD-00999"/>
    <x v="85"/>
    <s v="Customer 164"/>
    <x v="0"/>
    <x v="16"/>
    <x v="2"/>
    <s v="Pune"/>
    <x v="5"/>
    <n v="1"/>
    <n v="1200"/>
    <n v="0"/>
    <n v="1200"/>
    <n v="720"/>
    <n v="480"/>
    <n v="1200"/>
    <n v="480"/>
    <n v="0.4"/>
    <s v="Dec-2025"/>
    <x v="0"/>
    <s v="High"/>
  </r>
  <r>
    <s v="ORD-00051"/>
    <x v="86"/>
    <s v="Customer 190"/>
    <x v="1"/>
    <x v="11"/>
    <x v="2"/>
    <s v="Pune"/>
    <x v="0"/>
    <n v="5"/>
    <n v="550"/>
    <n v="0"/>
    <n v="2750"/>
    <n v="1500"/>
    <n v="1250"/>
    <n v="2750"/>
    <n v="1250"/>
    <n v="0.45454545454545453"/>
    <s v="Dec-2025"/>
    <x v="0"/>
    <s v="High"/>
  </r>
  <r>
    <s v="ORD-00110"/>
    <x v="86"/>
    <s v="Customer 095"/>
    <x v="0"/>
    <x v="5"/>
    <x v="0"/>
    <s v="Chennai"/>
    <x v="4"/>
    <n v="8"/>
    <n v="650"/>
    <n v="0.05"/>
    <n v="4940"/>
    <n v="3040"/>
    <n v="1900"/>
    <n v="4940"/>
    <n v="1900"/>
    <n v="0.38461538461538464"/>
    <s v="Dec-2025"/>
    <x v="0"/>
    <s v="High"/>
  </r>
  <r>
    <s v="ORD-00561"/>
    <x v="86"/>
    <s v="Customer 082"/>
    <x v="1"/>
    <x v="11"/>
    <x v="3"/>
    <s v="Lucknow"/>
    <x v="5"/>
    <n v="2"/>
    <n v="550"/>
    <n v="0"/>
    <n v="1100"/>
    <n v="600"/>
    <n v="500"/>
    <n v="1100"/>
    <n v="500"/>
    <n v="0.45454545454545453"/>
    <s v="Dec-2025"/>
    <x v="0"/>
    <s v="High"/>
  </r>
  <r>
    <s v="ORD-00676"/>
    <x v="86"/>
    <s v="Customer 173"/>
    <x v="2"/>
    <x v="18"/>
    <x v="3"/>
    <s v="Chandigarh"/>
    <x v="5"/>
    <n v="6"/>
    <n v="350"/>
    <n v="0.05"/>
    <n v="1995"/>
    <n v="1020"/>
    <n v="975"/>
    <n v="1995"/>
    <n v="975"/>
    <n v="0.48872180451127817"/>
    <s v="Dec-2025"/>
    <x v="0"/>
    <s v="High"/>
  </r>
  <r>
    <s v="ORD-00263"/>
    <x v="87"/>
    <s v="Customer 014"/>
    <x v="1"/>
    <x v="11"/>
    <x v="3"/>
    <s v="Delhi"/>
    <x v="4"/>
    <n v="6"/>
    <n v="550"/>
    <n v="0"/>
    <n v="3300"/>
    <n v="1800"/>
    <n v="1500"/>
    <n v="3300"/>
    <n v="1500"/>
    <n v="0.45454545454545453"/>
    <s v="Dec-2025"/>
    <x v="0"/>
    <s v="High"/>
  </r>
  <r>
    <s v="ORD-00810"/>
    <x v="87"/>
    <s v="Customer 006"/>
    <x v="1"/>
    <x v="3"/>
    <x v="2"/>
    <s v="Ahmedabad"/>
    <x v="4"/>
    <n v="10"/>
    <n v="700"/>
    <n v="0"/>
    <n v="7000"/>
    <n v="4000"/>
    <n v="3000"/>
    <n v="7000"/>
    <n v="3000"/>
    <n v="0.42857142857142855"/>
    <s v="Dec-2025"/>
    <x v="0"/>
    <s v="High"/>
  </r>
  <r>
    <s v="ORD-00060"/>
    <x v="88"/>
    <s v="Customer 152"/>
    <x v="3"/>
    <x v="15"/>
    <x v="2"/>
    <s v="Nashik"/>
    <x v="1"/>
    <n v="4"/>
    <n v="450"/>
    <n v="0"/>
    <n v="1800"/>
    <n v="1000"/>
    <n v="800"/>
    <n v="1800"/>
    <n v="800"/>
    <n v="0.44444444444444442"/>
    <s v="Dec-2025"/>
    <x v="0"/>
    <s v="High"/>
  </r>
  <r>
    <s v="ORD-00631"/>
    <x v="88"/>
    <s v="Customer 161"/>
    <x v="1"/>
    <x v="1"/>
    <x v="3"/>
    <s v="Jaipur"/>
    <x v="5"/>
    <n v="4"/>
    <n v="600"/>
    <n v="0.05"/>
    <n v="2280"/>
    <n v="1320"/>
    <n v="960"/>
    <n v="2280"/>
    <n v="960"/>
    <n v="0.42105263157894735"/>
    <s v="Dec-2025"/>
    <x v="0"/>
    <s v="High"/>
  </r>
  <r>
    <s v="ORD-00036"/>
    <x v="89"/>
    <s v="Customer 028"/>
    <x v="2"/>
    <x v="18"/>
    <x v="3"/>
    <s v="Chandigarh"/>
    <x v="4"/>
    <n v="2"/>
    <n v="350"/>
    <n v="0"/>
    <n v="700"/>
    <n v="340"/>
    <n v="360"/>
    <n v="700"/>
    <n v="360"/>
    <n v="0.51428571428571423"/>
    <s v="Dec-2025"/>
    <x v="0"/>
    <s v="High"/>
  </r>
  <r>
    <s v="ORD-00721"/>
    <x v="89"/>
    <s v="Customer 018"/>
    <x v="2"/>
    <x v="17"/>
    <x v="0"/>
    <s v="Bengaluru"/>
    <x v="4"/>
    <n v="6"/>
    <n v="650"/>
    <n v="0.05"/>
    <n v="3705"/>
    <n v="2100"/>
    <n v="1605"/>
    <n v="3705"/>
    <n v="1605"/>
    <n v="0.4331983805668016"/>
    <s v="Dec-2025"/>
    <x v="0"/>
    <s v="High"/>
  </r>
  <r>
    <s v="ORD-00738"/>
    <x v="89"/>
    <s v="Customer 023"/>
    <x v="0"/>
    <x v="16"/>
    <x v="3"/>
    <s v="Lucknow"/>
    <x v="2"/>
    <n v="2"/>
    <n v="1200"/>
    <n v="0"/>
    <n v="2400"/>
    <n v="1440"/>
    <n v="960"/>
    <n v="2400"/>
    <n v="960"/>
    <n v="0.4"/>
    <s v="Dec-2025"/>
    <x v="0"/>
    <s v="High"/>
  </r>
  <r>
    <s v="ORD-00741"/>
    <x v="89"/>
    <s v="Customer 169"/>
    <x v="3"/>
    <x v="15"/>
    <x v="0"/>
    <s v="Chennai"/>
    <x v="4"/>
    <n v="7"/>
    <n v="450"/>
    <n v="0.05"/>
    <n v="2992.5"/>
    <n v="1750"/>
    <n v="1242.5"/>
    <n v="2992.5"/>
    <n v="1242.5"/>
    <n v="0.41520467836257308"/>
    <s v="Dec-2025"/>
    <x v="0"/>
    <s v="High"/>
  </r>
  <r>
    <s v="ORD-00026"/>
    <x v="90"/>
    <s v="Customer 198"/>
    <x v="3"/>
    <x v="6"/>
    <x v="0"/>
    <s v="Hyderabad"/>
    <x v="1"/>
    <n v="8"/>
    <n v="180"/>
    <n v="0.05"/>
    <n v="1368"/>
    <n v="720"/>
    <n v="648"/>
    <n v="1368"/>
    <n v="648"/>
    <n v="0.47368421052631576"/>
    <s v="Dec-2025"/>
    <x v="0"/>
    <s v="High"/>
  </r>
  <r>
    <s v="ORD-00228"/>
    <x v="90"/>
    <s v="Customer 125"/>
    <x v="3"/>
    <x v="14"/>
    <x v="2"/>
    <s v="Mumbai"/>
    <x v="1"/>
    <n v="9"/>
    <n v="280"/>
    <n v="0"/>
    <n v="2520"/>
    <n v="1350"/>
    <n v="1170"/>
    <n v="2520"/>
    <n v="1170"/>
    <n v="0.4642857142857143"/>
    <s v="Dec-2025"/>
    <x v="0"/>
    <s v="High"/>
  </r>
  <r>
    <s v="ORD-00031"/>
    <x v="91"/>
    <s v="Customer 147"/>
    <x v="2"/>
    <x v="7"/>
    <x v="1"/>
    <s v="Patna"/>
    <x v="3"/>
    <n v="7"/>
    <n v="500"/>
    <n v="0"/>
    <n v="3500"/>
    <n v="1960"/>
    <n v="1540"/>
    <n v="3500"/>
    <n v="1540"/>
    <n v="0.44"/>
    <s v="Dec-2025"/>
    <x v="0"/>
    <s v="High"/>
  </r>
  <r>
    <s v="ORD-00081"/>
    <x v="91"/>
    <s v="Customer 129"/>
    <x v="2"/>
    <x v="18"/>
    <x v="2"/>
    <s v="Mumbai"/>
    <x v="5"/>
    <n v="1"/>
    <n v="350"/>
    <n v="0.05"/>
    <n v="332.5"/>
    <n v="170"/>
    <n v="162.5"/>
    <n v="332.5"/>
    <n v="162.5"/>
    <n v="0.48872180451127817"/>
    <s v="Dec-2025"/>
    <x v="0"/>
    <s v="High"/>
  </r>
  <r>
    <s v="ORD-00442"/>
    <x v="91"/>
    <s v="Customer 076"/>
    <x v="0"/>
    <x v="8"/>
    <x v="2"/>
    <s v="Ahmedabad"/>
    <x v="2"/>
    <n v="8"/>
    <n v="2200"/>
    <n v="0.05"/>
    <n v="16720"/>
    <n v="11200"/>
    <n v="5520"/>
    <n v="16720"/>
    <n v="5520"/>
    <n v="0.33014354066985646"/>
    <s v="Dec-2025"/>
    <x v="0"/>
    <s v="High"/>
  </r>
  <r>
    <s v="ORD-00850"/>
    <x v="91"/>
    <s v="Customer 035"/>
    <x v="0"/>
    <x v="8"/>
    <x v="0"/>
    <s v="Chennai"/>
    <x v="0"/>
    <n v="2"/>
    <n v="2200"/>
    <n v="0.1"/>
    <n v="3960"/>
    <n v="2800"/>
    <n v="1160"/>
    <n v="3960"/>
    <n v="1160"/>
    <n v="0.29292929292929293"/>
    <s v="Dec-2025"/>
    <x v="0"/>
    <s v="Medium"/>
  </r>
  <r>
    <s v="ORD-00410"/>
    <x v="92"/>
    <s v="Customer 109"/>
    <x v="2"/>
    <x v="19"/>
    <x v="2"/>
    <s v="Pune"/>
    <x v="5"/>
    <n v="6"/>
    <n v="900"/>
    <n v="0.1"/>
    <n v="4860"/>
    <n v="3120"/>
    <n v="1740"/>
    <n v="4860"/>
    <n v="1740"/>
    <n v="0.35802469135802467"/>
    <s v="Dec-2025"/>
    <x v="0"/>
    <s v="High"/>
  </r>
  <r>
    <s v="ORD-00816"/>
    <x v="92"/>
    <s v="Customer 019"/>
    <x v="2"/>
    <x v="4"/>
    <x v="2"/>
    <s v="Mumbai"/>
    <x v="4"/>
    <n v="2"/>
    <n v="2200"/>
    <n v="0"/>
    <n v="4400"/>
    <n v="2900"/>
    <n v="1500"/>
    <n v="4400"/>
    <n v="1500"/>
    <n v="0.34090909090909088"/>
    <s v="Dec-2025"/>
    <x v="0"/>
    <s v="High"/>
  </r>
  <r>
    <s v="ORD-00935"/>
    <x v="93"/>
    <s v="Customer 165"/>
    <x v="1"/>
    <x v="1"/>
    <x v="3"/>
    <s v="Lucknow"/>
    <x v="5"/>
    <n v="3"/>
    <n v="600"/>
    <n v="0"/>
    <n v="1800"/>
    <n v="990"/>
    <n v="810"/>
    <n v="1800"/>
    <n v="810"/>
    <n v="0.45"/>
    <s v="Dec-2025"/>
    <x v="0"/>
    <s v="High"/>
  </r>
  <r>
    <s v="ORD-00001"/>
    <x v="94"/>
    <s v="Customer 122"/>
    <x v="3"/>
    <x v="14"/>
    <x v="0"/>
    <s v="Chennai"/>
    <x v="3"/>
    <n v="8"/>
    <n v="280"/>
    <n v="0.05"/>
    <n v="2128"/>
    <n v="1200"/>
    <n v="928"/>
    <n v="2128"/>
    <n v="928"/>
    <n v="0.43609022556390975"/>
    <s v="Dec-2025"/>
    <x v="0"/>
    <s v="High"/>
  </r>
  <r>
    <s v="ORD-00086"/>
    <x v="94"/>
    <s v="Customer 166"/>
    <x v="0"/>
    <x v="2"/>
    <x v="2"/>
    <s v="Pune"/>
    <x v="0"/>
    <n v="2"/>
    <n v="1500"/>
    <n v="0.1"/>
    <n v="2700"/>
    <n v="1800"/>
    <n v="900"/>
    <n v="2700"/>
    <n v="900"/>
    <n v="0.33333333333333331"/>
    <s v="Dec-2025"/>
    <x v="0"/>
    <s v="High"/>
  </r>
  <r>
    <s v="ORD-00584"/>
    <x v="94"/>
    <s v="Customer 186"/>
    <x v="1"/>
    <x v="10"/>
    <x v="2"/>
    <s v="Pune"/>
    <x v="5"/>
    <n v="10"/>
    <n v="950"/>
    <n v="0.1"/>
    <n v="8550"/>
    <n v="5600"/>
    <n v="2950"/>
    <n v="8550"/>
    <n v="2950"/>
    <n v="0.34502923976608185"/>
    <s v="Dec-2025"/>
    <x v="0"/>
    <s v="High"/>
  </r>
  <r>
    <s v="ORD-00596"/>
    <x v="94"/>
    <s v="Customer 125"/>
    <x v="0"/>
    <x v="2"/>
    <x v="3"/>
    <s v="Chandigarh"/>
    <x v="4"/>
    <n v="7"/>
    <n v="1500"/>
    <n v="0.1"/>
    <n v="9450"/>
    <n v="6300"/>
    <n v="3150"/>
    <n v="9450"/>
    <n v="3150"/>
    <n v="0.33333333333333331"/>
    <s v="Dec-2025"/>
    <x v="0"/>
    <s v="High"/>
  </r>
  <r>
    <s v="ORD-00032"/>
    <x v="95"/>
    <s v="Customer 084"/>
    <x v="2"/>
    <x v="19"/>
    <x v="1"/>
    <s v="Ranchi"/>
    <x v="1"/>
    <n v="1"/>
    <n v="900"/>
    <n v="0"/>
    <n v="900"/>
    <n v="520"/>
    <n v="380"/>
    <n v="900"/>
    <n v="380"/>
    <n v="0.42222222222222222"/>
    <s v="Dec-2025"/>
    <x v="0"/>
    <s v="High"/>
  </r>
  <r>
    <s v="ORD-00174"/>
    <x v="96"/>
    <s v="Customer 184"/>
    <x v="3"/>
    <x v="6"/>
    <x v="1"/>
    <s v="Bhubaneswar"/>
    <x v="3"/>
    <n v="5"/>
    <n v="180"/>
    <n v="0"/>
    <n v="900"/>
    <n v="450"/>
    <n v="450"/>
    <n v="900"/>
    <n v="450"/>
    <n v="0.5"/>
    <s v="Dec-2025"/>
    <x v="0"/>
    <s v="High"/>
  </r>
  <r>
    <s v="ORD-00742"/>
    <x v="96"/>
    <s v="Customer 001"/>
    <x v="2"/>
    <x v="18"/>
    <x v="3"/>
    <s v="Chandigarh"/>
    <x v="5"/>
    <n v="2"/>
    <n v="350"/>
    <n v="0.1"/>
    <n v="630"/>
    <n v="340"/>
    <n v="290"/>
    <n v="630"/>
    <n v="290"/>
    <n v="0.46031746031746029"/>
    <s v="Dec-2025"/>
    <x v="0"/>
    <s v="High"/>
  </r>
  <r>
    <s v="ORD-00866"/>
    <x v="96"/>
    <s v="Customer 003"/>
    <x v="1"/>
    <x v="11"/>
    <x v="0"/>
    <s v="Bengaluru"/>
    <x v="1"/>
    <n v="5"/>
    <n v="550"/>
    <n v="0"/>
    <n v="2750"/>
    <n v="1500"/>
    <n v="1250"/>
    <n v="2750"/>
    <n v="1250"/>
    <n v="0.45454545454545453"/>
    <s v="Dec-2025"/>
    <x v="0"/>
    <s v="High"/>
  </r>
  <r>
    <s v="ORD-00913"/>
    <x v="96"/>
    <s v="Customer 027"/>
    <x v="0"/>
    <x v="2"/>
    <x v="0"/>
    <s v="Kochi"/>
    <x v="3"/>
    <n v="7"/>
    <n v="1500"/>
    <n v="0"/>
    <n v="10500"/>
    <n v="6300"/>
    <n v="4200"/>
    <n v="10500"/>
    <n v="4200"/>
    <n v="0.4"/>
    <s v="Dec-2025"/>
    <x v="0"/>
    <s v="High"/>
  </r>
  <r>
    <s v="ORD-00201"/>
    <x v="97"/>
    <s v="Customer 119"/>
    <x v="2"/>
    <x v="17"/>
    <x v="3"/>
    <s v="Jaipur"/>
    <x v="0"/>
    <n v="2"/>
    <n v="650"/>
    <n v="0.1"/>
    <n v="1170"/>
    <n v="700"/>
    <n v="470"/>
    <n v="1170"/>
    <n v="470"/>
    <n v="0.40170940170940173"/>
    <s v="Dec-2025"/>
    <x v="0"/>
    <s v="High"/>
  </r>
  <r>
    <s v="ORD-00253"/>
    <x v="97"/>
    <s v="Customer 190"/>
    <x v="2"/>
    <x v="7"/>
    <x v="0"/>
    <s v="Chennai"/>
    <x v="1"/>
    <n v="9"/>
    <n v="500"/>
    <n v="0"/>
    <n v="4500"/>
    <n v="2520"/>
    <n v="1980"/>
    <n v="4500"/>
    <n v="1980"/>
    <n v="0.44"/>
    <s v="Dec-2025"/>
    <x v="0"/>
    <s v="High"/>
  </r>
  <r>
    <s v="ORD-00550"/>
    <x v="97"/>
    <s v="Customer 015"/>
    <x v="0"/>
    <x v="16"/>
    <x v="2"/>
    <s v="Pune"/>
    <x v="5"/>
    <n v="9"/>
    <n v="1200"/>
    <n v="0.05"/>
    <n v="10260"/>
    <n v="6480"/>
    <n v="3780"/>
    <n v="10260"/>
    <n v="3780"/>
    <n v="0.36842105263157893"/>
    <s v="Dec-2025"/>
    <x v="0"/>
    <s v="High"/>
  </r>
  <r>
    <s v="ORD-00485"/>
    <x v="98"/>
    <s v="Customer 089"/>
    <x v="3"/>
    <x v="15"/>
    <x v="3"/>
    <s v="Jaipur"/>
    <x v="4"/>
    <n v="1"/>
    <n v="450"/>
    <n v="0.1"/>
    <n v="405"/>
    <n v="250"/>
    <n v="155"/>
    <n v="405"/>
    <n v="155"/>
    <n v="0.38271604938271603"/>
    <s v="Dec-2025"/>
    <x v="0"/>
    <s v="High"/>
  </r>
  <r>
    <s v="ORD-00511"/>
    <x v="98"/>
    <s v="Customer 096"/>
    <x v="1"/>
    <x v="1"/>
    <x v="0"/>
    <s v="Kochi"/>
    <x v="3"/>
    <n v="4"/>
    <n v="600"/>
    <n v="0"/>
    <n v="2400"/>
    <n v="1320"/>
    <n v="1080"/>
    <n v="2400"/>
    <n v="1080"/>
    <n v="0.45"/>
    <s v="Dec-2025"/>
    <x v="0"/>
    <s v="High"/>
  </r>
  <r>
    <s v="ORD-00163"/>
    <x v="99"/>
    <s v="Customer 126"/>
    <x v="3"/>
    <x v="6"/>
    <x v="2"/>
    <s v="Pune"/>
    <x v="2"/>
    <n v="1"/>
    <n v="180"/>
    <n v="0.1"/>
    <n v="162"/>
    <n v="90"/>
    <n v="72"/>
    <n v="162"/>
    <n v="72"/>
    <n v="0.44444444444444442"/>
    <s v="Dec-2025"/>
    <x v="0"/>
    <s v="High"/>
  </r>
  <r>
    <s v="ORD-00583"/>
    <x v="99"/>
    <s v="Customer 076"/>
    <x v="0"/>
    <x v="16"/>
    <x v="2"/>
    <s v="Ahmedabad"/>
    <x v="2"/>
    <n v="3"/>
    <n v="1200"/>
    <n v="0.05"/>
    <n v="3420"/>
    <n v="2160"/>
    <n v="1260"/>
    <n v="3420"/>
    <n v="1260"/>
    <n v="0.36842105263157893"/>
    <s v="Dec-2025"/>
    <x v="0"/>
    <s v="High"/>
  </r>
  <r>
    <s v="ORD-00598"/>
    <x v="99"/>
    <s v="Customer 004"/>
    <x v="3"/>
    <x v="14"/>
    <x v="0"/>
    <s v="Bengaluru"/>
    <x v="5"/>
    <n v="6"/>
    <n v="280"/>
    <n v="0.1"/>
    <n v="1512"/>
    <n v="900"/>
    <n v="612"/>
    <n v="1512"/>
    <n v="612"/>
    <n v="0.40476190476190477"/>
    <s v="Dec-2025"/>
    <x v="0"/>
    <s v="High"/>
  </r>
  <r>
    <s v="ORD-00248"/>
    <x v="100"/>
    <s v="Customer 036"/>
    <x v="2"/>
    <x v="4"/>
    <x v="3"/>
    <s v="Jaipur"/>
    <x v="5"/>
    <n v="10"/>
    <n v="2200"/>
    <n v="0.1"/>
    <n v="19800"/>
    <n v="14500"/>
    <n v="5300"/>
    <n v="19800"/>
    <n v="5300"/>
    <n v="0.26767676767676768"/>
    <s v="Dec-2025"/>
    <x v="0"/>
    <s v="Medium"/>
  </r>
  <r>
    <s v="ORD-00359"/>
    <x v="100"/>
    <s v="Customer 012"/>
    <x v="3"/>
    <x v="12"/>
    <x v="0"/>
    <s v="Kochi"/>
    <x v="5"/>
    <n v="8"/>
    <n v="150"/>
    <n v="0.1"/>
    <n v="1080"/>
    <n v="600"/>
    <n v="480"/>
    <n v="1080"/>
    <n v="480"/>
    <n v="0.44444444444444442"/>
    <s v="Dec-2025"/>
    <x v="0"/>
    <s v="High"/>
  </r>
  <r>
    <s v="ORD-00739"/>
    <x v="100"/>
    <s v="Customer 055"/>
    <x v="0"/>
    <x v="8"/>
    <x v="0"/>
    <s v="Hyderabad"/>
    <x v="3"/>
    <n v="1"/>
    <n v="2200"/>
    <n v="0"/>
    <n v="2200"/>
    <n v="1400"/>
    <n v="800"/>
    <n v="2200"/>
    <n v="800"/>
    <n v="0.36363636363636365"/>
    <s v="Dec-2025"/>
    <x v="0"/>
    <s v="High"/>
  </r>
  <r>
    <s v="ORD-00873"/>
    <x v="100"/>
    <s v="Customer 116"/>
    <x v="3"/>
    <x v="14"/>
    <x v="1"/>
    <s v="Patna"/>
    <x v="5"/>
    <n v="6"/>
    <n v="280"/>
    <n v="0.05"/>
    <n v="1596"/>
    <n v="900"/>
    <n v="696"/>
    <n v="1596"/>
    <n v="696"/>
    <n v="0.43609022556390975"/>
    <s v="Dec-2025"/>
    <x v="0"/>
    <s v="High"/>
  </r>
  <r>
    <s v="ORD-00776"/>
    <x v="101"/>
    <s v="Customer 180"/>
    <x v="1"/>
    <x v="1"/>
    <x v="2"/>
    <s v="Ahmedabad"/>
    <x v="2"/>
    <n v="10"/>
    <n v="600"/>
    <n v="0"/>
    <n v="6000"/>
    <n v="3300"/>
    <n v="2700"/>
    <n v="6000"/>
    <n v="2700"/>
    <n v="0.45"/>
    <s v="Dec-2025"/>
    <x v="0"/>
    <s v="High"/>
  </r>
  <r>
    <s v="ORD-00100"/>
    <x v="102"/>
    <s v="Customer 111"/>
    <x v="1"/>
    <x v="1"/>
    <x v="3"/>
    <s v="Lucknow"/>
    <x v="1"/>
    <n v="9"/>
    <n v="600"/>
    <n v="0.05"/>
    <n v="5130"/>
    <n v="2970"/>
    <n v="2160"/>
    <n v="5130"/>
    <n v="2160"/>
    <n v="0.42105263157894735"/>
    <s v="Dec-2025"/>
    <x v="0"/>
    <s v="High"/>
  </r>
  <r>
    <s v="ORD-00123"/>
    <x v="102"/>
    <s v="Customer 104"/>
    <x v="2"/>
    <x v="4"/>
    <x v="3"/>
    <s v="Delhi"/>
    <x v="0"/>
    <n v="8"/>
    <n v="2200"/>
    <n v="0.05"/>
    <n v="16720"/>
    <n v="11600"/>
    <n v="5120"/>
    <n v="16720"/>
    <n v="5120"/>
    <n v="0.30622009569377989"/>
    <s v="Dec-2025"/>
    <x v="0"/>
    <s v="High"/>
  </r>
  <r>
    <s v="ORD-00275"/>
    <x v="103"/>
    <s v="Customer 082"/>
    <x v="0"/>
    <x v="2"/>
    <x v="3"/>
    <s v="Jaipur"/>
    <x v="3"/>
    <n v="4"/>
    <n v="1500"/>
    <n v="0.1"/>
    <n v="5400"/>
    <n v="3600"/>
    <n v="1800"/>
    <n v="5400"/>
    <n v="1800"/>
    <n v="0.33333333333333331"/>
    <s v="Dec-2025"/>
    <x v="0"/>
    <s v="High"/>
  </r>
  <r>
    <s v="ORD-00023"/>
    <x v="104"/>
    <s v="Customer 101"/>
    <x v="0"/>
    <x v="16"/>
    <x v="1"/>
    <s v="Ranchi"/>
    <x v="4"/>
    <n v="7"/>
    <n v="1200"/>
    <n v="0.05"/>
    <n v="7980"/>
    <n v="5040"/>
    <n v="2940"/>
    <n v="7980"/>
    <n v="2940"/>
    <n v="0.36842105263157893"/>
    <s v="Dec-2025"/>
    <x v="0"/>
    <s v="High"/>
  </r>
  <r>
    <s v="ORD-00134"/>
    <x v="104"/>
    <s v="Customer 114"/>
    <x v="0"/>
    <x v="0"/>
    <x v="0"/>
    <s v="Hyderabad"/>
    <x v="1"/>
    <n v="2"/>
    <n v="1800"/>
    <n v="0.05"/>
    <n v="3420"/>
    <n v="2200"/>
    <n v="1220"/>
    <n v="3420"/>
    <n v="1220"/>
    <n v="0.35672514619883039"/>
    <s v="Dec-2025"/>
    <x v="0"/>
    <s v="High"/>
  </r>
  <r>
    <s v="ORD-00276"/>
    <x v="104"/>
    <s v="Customer 105"/>
    <x v="3"/>
    <x v="12"/>
    <x v="2"/>
    <s v="Pune"/>
    <x v="4"/>
    <n v="10"/>
    <n v="150"/>
    <n v="0.1"/>
    <n v="1350"/>
    <n v="750"/>
    <n v="600"/>
    <n v="1350"/>
    <n v="600"/>
    <n v="0.44444444444444442"/>
    <s v="Dec-2025"/>
    <x v="0"/>
    <s v="High"/>
  </r>
  <r>
    <s v="ORD-00177"/>
    <x v="105"/>
    <s v="Customer 040"/>
    <x v="0"/>
    <x v="8"/>
    <x v="1"/>
    <s v="Kolkata"/>
    <x v="5"/>
    <n v="5"/>
    <n v="2200"/>
    <n v="0.15"/>
    <n v="9350"/>
    <n v="7000"/>
    <n v="2350"/>
    <n v="9350"/>
    <n v="2350"/>
    <n v="0.25133689839572193"/>
    <s v="Dec-2025"/>
    <x v="0"/>
    <s v="Medium"/>
  </r>
  <r>
    <s v="ORD-00463"/>
    <x v="105"/>
    <s v="Customer 016"/>
    <x v="1"/>
    <x v="10"/>
    <x v="1"/>
    <s v="Patna"/>
    <x v="3"/>
    <n v="8"/>
    <n v="950"/>
    <n v="0.1"/>
    <n v="6840"/>
    <n v="4480"/>
    <n v="2360"/>
    <n v="6840"/>
    <n v="2360"/>
    <n v="0.34502923976608185"/>
    <s v="Dec-2025"/>
    <x v="0"/>
    <s v="High"/>
  </r>
  <r>
    <s v="ORD-00487"/>
    <x v="105"/>
    <s v="Customer 107"/>
    <x v="1"/>
    <x v="3"/>
    <x v="0"/>
    <s v="Kochi"/>
    <x v="5"/>
    <n v="6"/>
    <n v="700"/>
    <n v="0"/>
    <n v="4200"/>
    <n v="2400"/>
    <n v="1800"/>
    <n v="4200"/>
    <n v="1800"/>
    <n v="0.42857142857142855"/>
    <s v="Dec-2025"/>
    <x v="0"/>
    <s v="High"/>
  </r>
  <r>
    <s v="ORD-00880"/>
    <x v="105"/>
    <s v="Customer 153"/>
    <x v="0"/>
    <x v="8"/>
    <x v="3"/>
    <s v="Delhi"/>
    <x v="1"/>
    <n v="9"/>
    <n v="2200"/>
    <n v="0"/>
    <n v="19800"/>
    <n v="12600"/>
    <n v="7200"/>
    <n v="19800"/>
    <n v="7200"/>
    <n v="0.36363636363636365"/>
    <s v="Dec-2025"/>
    <x v="0"/>
    <s v="High"/>
  </r>
  <r>
    <s v="ORD-00440"/>
    <x v="106"/>
    <s v="Customer 087"/>
    <x v="3"/>
    <x v="6"/>
    <x v="3"/>
    <s v="Delhi"/>
    <x v="2"/>
    <n v="10"/>
    <n v="180"/>
    <n v="0.1"/>
    <n v="1620"/>
    <n v="900"/>
    <n v="720"/>
    <n v="1620"/>
    <n v="720"/>
    <n v="0.44444444444444442"/>
    <s v="Dec-2025"/>
    <x v="0"/>
    <s v="High"/>
  </r>
  <r>
    <s v="ORD-00562"/>
    <x v="106"/>
    <s v="Customer 143"/>
    <x v="1"/>
    <x v="10"/>
    <x v="1"/>
    <s v="Patna"/>
    <x v="4"/>
    <n v="1"/>
    <n v="950"/>
    <n v="0.05"/>
    <n v="902.5"/>
    <n v="560"/>
    <n v="342.5"/>
    <n v="902.5"/>
    <n v="342.5"/>
    <n v="0.37950138504155123"/>
    <s v="Dec-2025"/>
    <x v="0"/>
    <s v="High"/>
  </r>
  <r>
    <s v="ORD-00712"/>
    <x v="106"/>
    <s v="Customer 151"/>
    <x v="3"/>
    <x v="14"/>
    <x v="2"/>
    <s v="Nashik"/>
    <x v="2"/>
    <n v="1"/>
    <n v="280"/>
    <n v="0"/>
    <n v="280"/>
    <n v="150"/>
    <n v="130"/>
    <n v="280"/>
    <n v="130"/>
    <n v="0.4642857142857143"/>
    <s v="Dec-2025"/>
    <x v="0"/>
    <s v="High"/>
  </r>
  <r>
    <s v="ORD-00978"/>
    <x v="106"/>
    <s v="Customer 163"/>
    <x v="2"/>
    <x v="19"/>
    <x v="0"/>
    <s v="Hyderabad"/>
    <x v="2"/>
    <n v="6"/>
    <n v="900"/>
    <n v="0.15"/>
    <n v="4590"/>
    <n v="3120"/>
    <n v="1470"/>
    <n v="4590"/>
    <n v="1470"/>
    <n v="0.3202614379084967"/>
    <s v="Dec-2025"/>
    <x v="0"/>
    <s v="High"/>
  </r>
  <r>
    <s v="ORD-00210"/>
    <x v="107"/>
    <s v="Customer 098"/>
    <x v="2"/>
    <x v="17"/>
    <x v="2"/>
    <s v="Nashik"/>
    <x v="0"/>
    <n v="9"/>
    <n v="650"/>
    <n v="0"/>
    <n v="5850"/>
    <n v="3150"/>
    <n v="2700"/>
    <n v="5850"/>
    <n v="2700"/>
    <n v="0.46153846153846156"/>
    <s v="Dec-2025"/>
    <x v="0"/>
    <s v="High"/>
  </r>
  <r>
    <s v="ORD-00338"/>
    <x v="107"/>
    <s v="Customer 181"/>
    <x v="1"/>
    <x v="11"/>
    <x v="0"/>
    <s v="Hyderabad"/>
    <x v="1"/>
    <n v="5"/>
    <n v="550"/>
    <n v="0"/>
    <n v="2750"/>
    <n v="1500"/>
    <n v="1250"/>
    <n v="2750"/>
    <n v="1250"/>
    <n v="0.45454545454545453"/>
    <s v="Dec-2025"/>
    <x v="0"/>
    <s v="High"/>
  </r>
  <r>
    <s v="ORD-00504"/>
    <x v="107"/>
    <s v="Customer 160"/>
    <x v="1"/>
    <x v="11"/>
    <x v="0"/>
    <s v="Bengaluru"/>
    <x v="2"/>
    <n v="3"/>
    <n v="550"/>
    <n v="0.05"/>
    <n v="1567.5"/>
    <n v="900"/>
    <n v="667.5"/>
    <n v="1567.5"/>
    <n v="667.5"/>
    <n v="0.42583732057416268"/>
    <s v="Dec-2025"/>
    <x v="0"/>
    <s v="High"/>
  </r>
  <r>
    <s v="ORD-00106"/>
    <x v="108"/>
    <s v="Customer 068"/>
    <x v="1"/>
    <x v="3"/>
    <x v="2"/>
    <s v="Ahmedabad"/>
    <x v="3"/>
    <n v="5"/>
    <n v="700"/>
    <n v="0"/>
    <n v="3500"/>
    <n v="2000"/>
    <n v="1500"/>
    <n v="3500"/>
    <n v="1500"/>
    <n v="0.42857142857142855"/>
    <s v="Dec-2025"/>
    <x v="0"/>
    <s v="High"/>
  </r>
  <r>
    <s v="ORD-00755"/>
    <x v="108"/>
    <s v="Customer 007"/>
    <x v="3"/>
    <x v="13"/>
    <x v="0"/>
    <s v="Kochi"/>
    <x v="1"/>
    <n v="4"/>
    <n v="120"/>
    <n v="0.1"/>
    <n v="432"/>
    <n v="220"/>
    <n v="212"/>
    <n v="432"/>
    <n v="212"/>
    <n v="0.49074074074074076"/>
    <s v="Dec-2025"/>
    <x v="0"/>
    <s v="High"/>
  </r>
  <r>
    <s v="ORD-00815"/>
    <x v="108"/>
    <s v="Customer 191"/>
    <x v="1"/>
    <x v="11"/>
    <x v="2"/>
    <s v="Mumbai"/>
    <x v="2"/>
    <n v="2"/>
    <n v="550"/>
    <n v="0.1"/>
    <n v="990"/>
    <n v="600"/>
    <n v="390"/>
    <n v="990"/>
    <n v="390"/>
    <n v="0.39393939393939392"/>
    <s v="Dec-2025"/>
    <x v="0"/>
    <s v="High"/>
  </r>
  <r>
    <s v="ORD-00098"/>
    <x v="109"/>
    <s v="Customer 028"/>
    <x v="0"/>
    <x v="16"/>
    <x v="3"/>
    <s v="Lucknow"/>
    <x v="2"/>
    <n v="3"/>
    <n v="1200"/>
    <n v="0"/>
    <n v="3600"/>
    <n v="2160"/>
    <n v="1440"/>
    <n v="3600"/>
    <n v="1440"/>
    <n v="0.4"/>
    <s v="Dec-2025"/>
    <x v="0"/>
    <s v="High"/>
  </r>
  <r>
    <s v="ORD-00284"/>
    <x v="109"/>
    <s v="Customer 190"/>
    <x v="0"/>
    <x v="8"/>
    <x v="3"/>
    <s v="Chandigarh"/>
    <x v="2"/>
    <n v="9"/>
    <n v="2200"/>
    <n v="0.05"/>
    <n v="18810"/>
    <n v="12600"/>
    <n v="6210"/>
    <n v="18810"/>
    <n v="6210"/>
    <n v="0.33014354066985646"/>
    <s v="Dec-2025"/>
    <x v="0"/>
    <s v="High"/>
  </r>
  <r>
    <s v="ORD-00400"/>
    <x v="109"/>
    <s v="Customer 159"/>
    <x v="3"/>
    <x v="14"/>
    <x v="0"/>
    <s v="Chennai"/>
    <x v="1"/>
    <n v="8"/>
    <n v="280"/>
    <n v="0"/>
    <n v="2240"/>
    <n v="1200"/>
    <n v="1040"/>
    <n v="2240"/>
    <n v="1040"/>
    <n v="0.4642857142857143"/>
    <s v="Dec-2025"/>
    <x v="0"/>
    <s v="High"/>
  </r>
  <r>
    <s v="ORD-00541"/>
    <x v="109"/>
    <s v="Customer 057"/>
    <x v="2"/>
    <x v="4"/>
    <x v="2"/>
    <s v="Pune"/>
    <x v="5"/>
    <n v="1"/>
    <n v="2200"/>
    <n v="0.05"/>
    <n v="2090"/>
    <n v="1450"/>
    <n v="640"/>
    <n v="2090"/>
    <n v="640"/>
    <n v="0.30622009569377989"/>
    <s v="Dec-2025"/>
    <x v="0"/>
    <s v="High"/>
  </r>
  <r>
    <s v="ORD-00311"/>
    <x v="110"/>
    <s v="Customer 138"/>
    <x v="0"/>
    <x v="8"/>
    <x v="0"/>
    <s v="Chennai"/>
    <x v="1"/>
    <n v="7"/>
    <n v="2200"/>
    <n v="0.1"/>
    <n v="13860"/>
    <n v="9800"/>
    <n v="4060"/>
    <n v="13860"/>
    <n v="4060"/>
    <n v="0.29292929292929293"/>
    <s v="Dec-2025"/>
    <x v="0"/>
    <s v="Medium"/>
  </r>
  <r>
    <s v="ORD-00747"/>
    <x v="110"/>
    <s v="Customer 097"/>
    <x v="1"/>
    <x v="3"/>
    <x v="2"/>
    <s v="Pune"/>
    <x v="4"/>
    <n v="9"/>
    <n v="700"/>
    <n v="0"/>
    <n v="6300"/>
    <n v="3600"/>
    <n v="2700"/>
    <n v="6300"/>
    <n v="2700"/>
    <n v="0.42857142857142855"/>
    <s v="Dec-2025"/>
    <x v="0"/>
    <s v="High"/>
  </r>
  <r>
    <s v="ORD-00065"/>
    <x v="111"/>
    <s v="Customer 133"/>
    <x v="0"/>
    <x v="2"/>
    <x v="3"/>
    <s v="Jaipur"/>
    <x v="3"/>
    <n v="7"/>
    <n v="1500"/>
    <n v="0.15"/>
    <n v="8925"/>
    <n v="6300"/>
    <n v="2625"/>
    <n v="8925"/>
    <n v="2625"/>
    <n v="0.29411764705882354"/>
    <s v="Dec-2025"/>
    <x v="0"/>
    <s v="Medium"/>
  </r>
  <r>
    <s v="ORD-00368"/>
    <x v="111"/>
    <s v="Customer 030"/>
    <x v="3"/>
    <x v="15"/>
    <x v="2"/>
    <s v="Nashik"/>
    <x v="0"/>
    <n v="9"/>
    <n v="450"/>
    <n v="0"/>
    <n v="4050"/>
    <n v="2250"/>
    <n v="1800"/>
    <n v="4050"/>
    <n v="1800"/>
    <n v="0.44444444444444442"/>
    <s v="Dec-2025"/>
    <x v="0"/>
    <s v="High"/>
  </r>
  <r>
    <s v="ORD-00498"/>
    <x v="111"/>
    <s v="Customer 138"/>
    <x v="0"/>
    <x v="5"/>
    <x v="3"/>
    <s v="Delhi"/>
    <x v="0"/>
    <n v="10"/>
    <n v="650"/>
    <n v="0.1"/>
    <n v="5850"/>
    <n v="3800"/>
    <n v="2050"/>
    <n v="5850"/>
    <n v="2050"/>
    <n v="0.3504273504273504"/>
    <s v="Dec-2025"/>
    <x v="0"/>
    <s v="High"/>
  </r>
  <r>
    <s v="ORD-00669"/>
    <x v="111"/>
    <s v="Customer 084"/>
    <x v="0"/>
    <x v="2"/>
    <x v="2"/>
    <s v="Nashik"/>
    <x v="0"/>
    <n v="3"/>
    <n v="1500"/>
    <n v="0"/>
    <n v="4500"/>
    <n v="2700"/>
    <n v="1800"/>
    <n v="4500"/>
    <n v="1800"/>
    <n v="0.4"/>
    <s v="Dec-2025"/>
    <x v="0"/>
    <s v="High"/>
  </r>
  <r>
    <s v="ORD-00632"/>
    <x v="112"/>
    <s v="Customer 144"/>
    <x v="1"/>
    <x v="9"/>
    <x v="3"/>
    <s v="Lucknow"/>
    <x v="3"/>
    <n v="7"/>
    <n v="350"/>
    <n v="0"/>
    <n v="2450"/>
    <n v="1260"/>
    <n v="1190"/>
    <n v="2450"/>
    <n v="1190"/>
    <n v="0.48571428571428571"/>
    <s v="Jan-2026"/>
    <x v="1"/>
    <s v="High"/>
  </r>
  <r>
    <s v="ORD-00843"/>
    <x v="112"/>
    <s v="Customer 176"/>
    <x v="0"/>
    <x v="2"/>
    <x v="3"/>
    <s v="Lucknow"/>
    <x v="0"/>
    <n v="10"/>
    <n v="1500"/>
    <n v="0"/>
    <n v="15000"/>
    <n v="9000"/>
    <n v="6000"/>
    <n v="15000"/>
    <n v="6000"/>
    <n v="0.4"/>
    <s v="Jan-2026"/>
    <x v="1"/>
    <s v="High"/>
  </r>
  <r>
    <s v="ORD-00270"/>
    <x v="113"/>
    <s v="Customer 166"/>
    <x v="1"/>
    <x v="11"/>
    <x v="2"/>
    <s v="Nashik"/>
    <x v="2"/>
    <n v="4"/>
    <n v="550"/>
    <n v="0"/>
    <n v="2200"/>
    <n v="1200"/>
    <n v="1000"/>
    <n v="2200"/>
    <n v="1000"/>
    <n v="0.45454545454545453"/>
    <s v="Jan-2026"/>
    <x v="1"/>
    <s v="High"/>
  </r>
  <r>
    <s v="ORD-00337"/>
    <x v="113"/>
    <s v="Customer 001"/>
    <x v="3"/>
    <x v="12"/>
    <x v="0"/>
    <s v="Chennai"/>
    <x v="3"/>
    <n v="6"/>
    <n v="150"/>
    <n v="0.1"/>
    <n v="810"/>
    <n v="450"/>
    <n v="360"/>
    <n v="810"/>
    <n v="360"/>
    <n v="0.44444444444444442"/>
    <s v="Jan-2026"/>
    <x v="1"/>
    <s v="High"/>
  </r>
  <r>
    <s v="ORD-00375"/>
    <x v="114"/>
    <s v="Customer 037"/>
    <x v="3"/>
    <x v="14"/>
    <x v="0"/>
    <s v="Bengaluru"/>
    <x v="2"/>
    <n v="10"/>
    <n v="280"/>
    <n v="0.1"/>
    <n v="2520"/>
    <n v="1500"/>
    <n v="1020"/>
    <n v="2520"/>
    <n v="1020"/>
    <n v="0.40476190476190477"/>
    <s v="Jan-2026"/>
    <x v="1"/>
    <s v="High"/>
  </r>
  <r>
    <s v="ORD-00464"/>
    <x v="115"/>
    <s v="Customer 053"/>
    <x v="1"/>
    <x v="1"/>
    <x v="1"/>
    <s v="Ranchi"/>
    <x v="3"/>
    <n v="1"/>
    <n v="600"/>
    <n v="0.05"/>
    <n v="570"/>
    <n v="330"/>
    <n v="240"/>
    <n v="570"/>
    <n v="240"/>
    <n v="0.42105263157894735"/>
    <s v="Jan-2026"/>
    <x v="1"/>
    <s v="High"/>
  </r>
  <r>
    <s v="ORD-00690"/>
    <x v="115"/>
    <s v="Customer 089"/>
    <x v="0"/>
    <x v="0"/>
    <x v="3"/>
    <s v="Delhi"/>
    <x v="2"/>
    <n v="4"/>
    <n v="1800"/>
    <n v="0"/>
    <n v="7200"/>
    <n v="4400"/>
    <n v="2800"/>
    <n v="7200"/>
    <n v="2800"/>
    <n v="0.3888888888888889"/>
    <s v="Jan-2026"/>
    <x v="1"/>
    <s v="High"/>
  </r>
  <r>
    <s v="ORD-00730"/>
    <x v="115"/>
    <s v="Customer 157"/>
    <x v="0"/>
    <x v="0"/>
    <x v="3"/>
    <s v="Jaipur"/>
    <x v="3"/>
    <n v="6"/>
    <n v="1800"/>
    <n v="0.15"/>
    <n v="9180"/>
    <n v="6600"/>
    <n v="2580"/>
    <n v="9180"/>
    <n v="2580"/>
    <n v="0.28104575163398693"/>
    <s v="Jan-2026"/>
    <x v="1"/>
    <s v="Medium"/>
  </r>
  <r>
    <s v="ORD-00743"/>
    <x v="115"/>
    <s v="Customer 188"/>
    <x v="3"/>
    <x v="13"/>
    <x v="0"/>
    <s v="Hyderabad"/>
    <x v="4"/>
    <n v="2"/>
    <n v="120"/>
    <n v="0.05"/>
    <n v="228"/>
    <n v="110"/>
    <n v="118"/>
    <n v="228"/>
    <n v="118"/>
    <n v="0.51754385964912286"/>
    <s v="Jan-2026"/>
    <x v="1"/>
    <s v="High"/>
  </r>
  <r>
    <s v="ORD-00358"/>
    <x v="116"/>
    <s v="Customer 046"/>
    <x v="3"/>
    <x v="6"/>
    <x v="0"/>
    <s v="Bengaluru"/>
    <x v="5"/>
    <n v="3"/>
    <n v="180"/>
    <n v="0.05"/>
    <n v="513"/>
    <n v="270"/>
    <n v="243"/>
    <n v="513"/>
    <n v="243"/>
    <n v="0.47368421052631576"/>
    <s v="Jan-2026"/>
    <x v="1"/>
    <s v="High"/>
  </r>
  <r>
    <s v="ORD-00745"/>
    <x v="116"/>
    <s v="Customer 036"/>
    <x v="3"/>
    <x v="15"/>
    <x v="1"/>
    <s v="Kolkata"/>
    <x v="2"/>
    <n v="2"/>
    <n v="450"/>
    <n v="0.05"/>
    <n v="855"/>
    <n v="500"/>
    <n v="355"/>
    <n v="855"/>
    <n v="355"/>
    <n v="0.41520467836257308"/>
    <s v="Jan-2026"/>
    <x v="1"/>
    <s v="High"/>
  </r>
  <r>
    <s v="ORD-00837"/>
    <x v="117"/>
    <s v="Customer 173"/>
    <x v="1"/>
    <x v="9"/>
    <x v="2"/>
    <s v="Mumbai"/>
    <x v="3"/>
    <n v="8"/>
    <n v="350"/>
    <n v="0"/>
    <n v="2800"/>
    <n v="1440"/>
    <n v="1360"/>
    <n v="2800"/>
    <n v="1360"/>
    <n v="0.48571428571428571"/>
    <s v="Jan-2026"/>
    <x v="1"/>
    <s v="High"/>
  </r>
  <r>
    <s v="ORD-00048"/>
    <x v="118"/>
    <s v="Customer 058"/>
    <x v="0"/>
    <x v="2"/>
    <x v="3"/>
    <s v="Delhi"/>
    <x v="2"/>
    <n v="7"/>
    <n v="1500"/>
    <n v="0"/>
    <n v="10500"/>
    <n v="6300"/>
    <n v="4200"/>
    <n v="10500"/>
    <n v="4200"/>
    <n v="0.4"/>
    <s v="Jan-2026"/>
    <x v="1"/>
    <s v="High"/>
  </r>
  <r>
    <s v="ORD-00437"/>
    <x v="118"/>
    <s v="Customer 160"/>
    <x v="0"/>
    <x v="5"/>
    <x v="3"/>
    <s v="Chandigarh"/>
    <x v="4"/>
    <n v="7"/>
    <n v="650"/>
    <n v="0.1"/>
    <n v="4095"/>
    <n v="2660"/>
    <n v="1435"/>
    <n v="4095"/>
    <n v="1435"/>
    <n v="0.3504273504273504"/>
    <s v="Jan-2026"/>
    <x v="1"/>
    <s v="High"/>
  </r>
  <r>
    <s v="ORD-00637"/>
    <x v="118"/>
    <s v="Customer 172"/>
    <x v="3"/>
    <x v="13"/>
    <x v="2"/>
    <s v="Mumbai"/>
    <x v="3"/>
    <n v="9"/>
    <n v="120"/>
    <n v="0"/>
    <n v="1080"/>
    <n v="495"/>
    <n v="585"/>
    <n v="1080"/>
    <n v="585"/>
    <n v="0.54166666666666663"/>
    <s v="Jan-2026"/>
    <x v="1"/>
    <s v="High"/>
  </r>
  <r>
    <s v="ORD-00691"/>
    <x v="118"/>
    <s v="Customer 042"/>
    <x v="1"/>
    <x v="3"/>
    <x v="2"/>
    <s v="Ahmedabad"/>
    <x v="3"/>
    <n v="6"/>
    <n v="700"/>
    <n v="0.1"/>
    <n v="3780"/>
    <n v="2400"/>
    <n v="1380"/>
    <n v="3780"/>
    <n v="1380"/>
    <n v="0.36507936507936506"/>
    <s v="Jan-2026"/>
    <x v="1"/>
    <s v="High"/>
  </r>
  <r>
    <s v="ORD-00863"/>
    <x v="118"/>
    <s v="Customer 087"/>
    <x v="3"/>
    <x v="15"/>
    <x v="3"/>
    <s v="Jaipur"/>
    <x v="2"/>
    <n v="2"/>
    <n v="450"/>
    <n v="0.05"/>
    <n v="855"/>
    <n v="500"/>
    <n v="355"/>
    <n v="855"/>
    <n v="355"/>
    <n v="0.41520467836257308"/>
    <s v="Jan-2026"/>
    <x v="1"/>
    <s v="High"/>
  </r>
  <r>
    <s v="ORD-00002"/>
    <x v="119"/>
    <s v="Customer 150"/>
    <x v="0"/>
    <x v="0"/>
    <x v="1"/>
    <s v="Kolkata"/>
    <x v="5"/>
    <n v="4"/>
    <n v="1800"/>
    <n v="0"/>
    <n v="7200"/>
    <n v="4400"/>
    <n v="2800"/>
    <n v="7200"/>
    <n v="2800"/>
    <n v="0.3888888888888889"/>
    <s v="Jan-2026"/>
    <x v="1"/>
    <s v="High"/>
  </r>
  <r>
    <s v="ORD-00005"/>
    <x v="119"/>
    <s v="Customer 051"/>
    <x v="0"/>
    <x v="0"/>
    <x v="1"/>
    <s v="Patna"/>
    <x v="5"/>
    <n v="4"/>
    <n v="1800"/>
    <n v="0.05"/>
    <n v="6840"/>
    <n v="4400"/>
    <n v="2440"/>
    <n v="6840"/>
    <n v="2440"/>
    <n v="0.35672514619883039"/>
    <s v="Jan-2026"/>
    <x v="1"/>
    <s v="High"/>
  </r>
  <r>
    <s v="ORD-00015"/>
    <x v="119"/>
    <s v="Customer 001"/>
    <x v="1"/>
    <x v="3"/>
    <x v="0"/>
    <s v="Bengaluru"/>
    <x v="5"/>
    <n v="3"/>
    <n v="700"/>
    <n v="0"/>
    <n v="2100"/>
    <n v="1200"/>
    <n v="900"/>
    <n v="2100"/>
    <n v="900"/>
    <n v="0.42857142857142855"/>
    <s v="Jan-2026"/>
    <x v="1"/>
    <s v="High"/>
  </r>
  <r>
    <s v="ORD-00297"/>
    <x v="120"/>
    <s v="Customer 020"/>
    <x v="2"/>
    <x v="18"/>
    <x v="2"/>
    <s v="Pune"/>
    <x v="2"/>
    <n v="4"/>
    <n v="350"/>
    <n v="0"/>
    <n v="1400"/>
    <n v="680"/>
    <n v="720"/>
    <n v="1400"/>
    <n v="720"/>
    <n v="0.51428571428571423"/>
    <s v="Jan-2026"/>
    <x v="1"/>
    <s v="High"/>
  </r>
  <r>
    <s v="ORD-00718"/>
    <x v="120"/>
    <s v="Customer 085"/>
    <x v="1"/>
    <x v="3"/>
    <x v="2"/>
    <s v="Ahmedabad"/>
    <x v="2"/>
    <n v="10"/>
    <n v="700"/>
    <n v="0"/>
    <n v="7000"/>
    <n v="4000"/>
    <n v="3000"/>
    <n v="7000"/>
    <n v="3000"/>
    <n v="0.42857142857142855"/>
    <s v="Jan-2026"/>
    <x v="1"/>
    <s v="High"/>
  </r>
  <r>
    <s v="ORD-00088"/>
    <x v="121"/>
    <s v="Customer 029"/>
    <x v="1"/>
    <x v="1"/>
    <x v="3"/>
    <s v="Lucknow"/>
    <x v="0"/>
    <n v="10"/>
    <n v="600"/>
    <n v="0.1"/>
    <n v="5400"/>
    <n v="3300"/>
    <n v="2100"/>
    <n v="5400"/>
    <n v="2100"/>
    <n v="0.3888888888888889"/>
    <s v="Jan-2026"/>
    <x v="1"/>
    <s v="High"/>
  </r>
  <r>
    <s v="ORD-00332"/>
    <x v="121"/>
    <s v="Customer 189"/>
    <x v="3"/>
    <x v="6"/>
    <x v="1"/>
    <s v="Bhubaneswar"/>
    <x v="0"/>
    <n v="10"/>
    <n v="180"/>
    <n v="0"/>
    <n v="1800"/>
    <n v="900"/>
    <n v="900"/>
    <n v="1800"/>
    <n v="900"/>
    <n v="0.5"/>
    <s v="Jan-2026"/>
    <x v="1"/>
    <s v="High"/>
  </r>
  <r>
    <s v="ORD-00422"/>
    <x v="121"/>
    <s v="Customer 056"/>
    <x v="3"/>
    <x v="13"/>
    <x v="1"/>
    <s v="Bhubaneswar"/>
    <x v="0"/>
    <n v="8"/>
    <n v="120"/>
    <n v="0.1"/>
    <n v="864"/>
    <n v="440"/>
    <n v="424"/>
    <n v="864"/>
    <n v="424"/>
    <n v="0.49074074074074076"/>
    <s v="Jan-2026"/>
    <x v="1"/>
    <s v="High"/>
  </r>
  <r>
    <s v="ORD-00490"/>
    <x v="121"/>
    <s v="Customer 092"/>
    <x v="3"/>
    <x v="13"/>
    <x v="2"/>
    <s v="Mumbai"/>
    <x v="5"/>
    <n v="6"/>
    <n v="120"/>
    <n v="0"/>
    <n v="720"/>
    <n v="330"/>
    <n v="390"/>
    <n v="720"/>
    <n v="390"/>
    <n v="0.54166666666666663"/>
    <s v="Jan-2026"/>
    <x v="1"/>
    <s v="High"/>
  </r>
  <r>
    <s v="ORD-00842"/>
    <x v="121"/>
    <s v="Customer 018"/>
    <x v="3"/>
    <x v="6"/>
    <x v="1"/>
    <s v="Kolkata"/>
    <x v="1"/>
    <n v="6"/>
    <n v="180"/>
    <n v="0.1"/>
    <n v="972"/>
    <n v="540"/>
    <n v="432"/>
    <n v="972"/>
    <n v="432"/>
    <n v="0.44444444444444442"/>
    <s v="Jan-2026"/>
    <x v="1"/>
    <s v="High"/>
  </r>
  <r>
    <s v="ORD-00497"/>
    <x v="122"/>
    <s v="Customer 108"/>
    <x v="0"/>
    <x v="2"/>
    <x v="2"/>
    <s v="Nashik"/>
    <x v="2"/>
    <n v="8"/>
    <n v="1500"/>
    <n v="0.1"/>
    <n v="10800"/>
    <n v="7200"/>
    <n v="3600"/>
    <n v="10800"/>
    <n v="3600"/>
    <n v="0.33333333333333331"/>
    <s v="Jan-2026"/>
    <x v="1"/>
    <s v="High"/>
  </r>
  <r>
    <s v="ORD-00419"/>
    <x v="123"/>
    <s v="Customer 111"/>
    <x v="1"/>
    <x v="1"/>
    <x v="2"/>
    <s v="Pune"/>
    <x v="3"/>
    <n v="5"/>
    <n v="600"/>
    <n v="0.05"/>
    <n v="2850"/>
    <n v="1650"/>
    <n v="1200"/>
    <n v="2850"/>
    <n v="1200"/>
    <n v="0.42105263157894735"/>
    <s v="Jan-2026"/>
    <x v="1"/>
    <s v="High"/>
  </r>
  <r>
    <s v="ORD-00663"/>
    <x v="123"/>
    <s v="Customer 171"/>
    <x v="3"/>
    <x v="12"/>
    <x v="0"/>
    <s v="Bengaluru"/>
    <x v="2"/>
    <n v="6"/>
    <n v="150"/>
    <n v="0"/>
    <n v="900"/>
    <n v="450"/>
    <n v="450"/>
    <n v="900"/>
    <n v="450"/>
    <n v="0.5"/>
    <s v="Jan-2026"/>
    <x v="1"/>
    <s v="High"/>
  </r>
  <r>
    <s v="ORD-00685"/>
    <x v="123"/>
    <s v="Customer 050"/>
    <x v="1"/>
    <x v="9"/>
    <x v="1"/>
    <s v="Patna"/>
    <x v="0"/>
    <n v="8"/>
    <n v="350"/>
    <n v="0"/>
    <n v="2800"/>
    <n v="1440"/>
    <n v="1360"/>
    <n v="2800"/>
    <n v="1360"/>
    <n v="0.48571428571428571"/>
    <s v="Jan-2026"/>
    <x v="1"/>
    <s v="High"/>
  </r>
  <r>
    <s v="ORD-00943"/>
    <x v="123"/>
    <s v="Customer 156"/>
    <x v="0"/>
    <x v="2"/>
    <x v="3"/>
    <s v="Jaipur"/>
    <x v="1"/>
    <n v="7"/>
    <n v="1500"/>
    <n v="0.05"/>
    <n v="9975"/>
    <n v="6300"/>
    <n v="3675"/>
    <n v="9975"/>
    <n v="3675"/>
    <n v="0.36842105263157893"/>
    <s v="Jan-2026"/>
    <x v="1"/>
    <s v="High"/>
  </r>
  <r>
    <s v="ORD-00353"/>
    <x v="124"/>
    <s v="Customer 124"/>
    <x v="3"/>
    <x v="6"/>
    <x v="3"/>
    <s v="Delhi"/>
    <x v="2"/>
    <n v="6"/>
    <n v="180"/>
    <n v="0"/>
    <n v="1080"/>
    <n v="540"/>
    <n v="540"/>
    <n v="1080"/>
    <n v="540"/>
    <n v="0.5"/>
    <s v="Jan-2026"/>
    <x v="1"/>
    <s v="High"/>
  </r>
  <r>
    <s v="ORD-00937"/>
    <x v="124"/>
    <s v="Customer 157"/>
    <x v="1"/>
    <x v="9"/>
    <x v="0"/>
    <s v="Chennai"/>
    <x v="3"/>
    <n v="8"/>
    <n v="350"/>
    <n v="0.15"/>
    <n v="2380"/>
    <n v="1440"/>
    <n v="940"/>
    <n v="2380"/>
    <n v="940"/>
    <n v="0.3949579831932773"/>
    <s v="Jan-2026"/>
    <x v="1"/>
    <s v="High"/>
  </r>
  <r>
    <s v="ORD-00021"/>
    <x v="125"/>
    <s v="Customer 062"/>
    <x v="2"/>
    <x v="19"/>
    <x v="0"/>
    <s v="Chennai"/>
    <x v="5"/>
    <n v="6"/>
    <n v="900"/>
    <n v="0.05"/>
    <n v="5130"/>
    <n v="3120"/>
    <n v="2010"/>
    <n v="5130"/>
    <n v="2010"/>
    <n v="0.391812865497076"/>
    <s v="Jan-2026"/>
    <x v="1"/>
    <s v="High"/>
  </r>
  <r>
    <s v="ORD-00111"/>
    <x v="125"/>
    <s v="Customer 162"/>
    <x v="2"/>
    <x v="4"/>
    <x v="1"/>
    <s v="Bhubaneswar"/>
    <x v="0"/>
    <n v="5"/>
    <n v="2200"/>
    <n v="0.05"/>
    <n v="10450"/>
    <n v="7250"/>
    <n v="3200"/>
    <n v="10450"/>
    <n v="3200"/>
    <n v="0.30622009569377989"/>
    <s v="Jan-2026"/>
    <x v="1"/>
    <s v="High"/>
  </r>
  <r>
    <s v="ORD-00617"/>
    <x v="125"/>
    <s v="Customer 106"/>
    <x v="3"/>
    <x v="13"/>
    <x v="1"/>
    <s v="Kolkata"/>
    <x v="0"/>
    <n v="2"/>
    <n v="120"/>
    <n v="0"/>
    <n v="240"/>
    <n v="110"/>
    <n v="130"/>
    <n v="240"/>
    <n v="130"/>
    <n v="0.54166666666666663"/>
    <s v="Jan-2026"/>
    <x v="1"/>
    <s v="High"/>
  </r>
  <r>
    <s v="ORD-00748"/>
    <x v="125"/>
    <s v="Customer 068"/>
    <x v="0"/>
    <x v="5"/>
    <x v="3"/>
    <s v="Chandigarh"/>
    <x v="4"/>
    <n v="9"/>
    <n v="650"/>
    <n v="0"/>
    <n v="5850"/>
    <n v="3420"/>
    <n v="2430"/>
    <n v="5850"/>
    <n v="2430"/>
    <n v="0.41538461538461541"/>
    <s v="Jan-2026"/>
    <x v="1"/>
    <s v="High"/>
  </r>
  <r>
    <s v="ORD-00477"/>
    <x v="126"/>
    <s v="Customer 164"/>
    <x v="0"/>
    <x v="8"/>
    <x v="0"/>
    <s v="Bengaluru"/>
    <x v="4"/>
    <n v="9"/>
    <n v="2200"/>
    <n v="0.05"/>
    <n v="18810"/>
    <n v="12600"/>
    <n v="6210"/>
    <n v="18810"/>
    <n v="6210"/>
    <n v="0.33014354066985646"/>
    <s v="Jan-2026"/>
    <x v="1"/>
    <s v="High"/>
  </r>
  <r>
    <s v="ORD-00501"/>
    <x v="127"/>
    <s v="Customer 129"/>
    <x v="3"/>
    <x v="13"/>
    <x v="2"/>
    <s v="Mumbai"/>
    <x v="2"/>
    <n v="2"/>
    <n v="120"/>
    <n v="0"/>
    <n v="240"/>
    <n v="110"/>
    <n v="130"/>
    <n v="240"/>
    <n v="130"/>
    <n v="0.54166666666666663"/>
    <s v="Jan-2026"/>
    <x v="1"/>
    <s v="High"/>
  </r>
  <r>
    <s v="ORD-00593"/>
    <x v="127"/>
    <s v="Customer 198"/>
    <x v="3"/>
    <x v="15"/>
    <x v="3"/>
    <s v="Delhi"/>
    <x v="2"/>
    <n v="3"/>
    <n v="450"/>
    <n v="0"/>
    <n v="1350"/>
    <n v="750"/>
    <n v="600"/>
    <n v="1350"/>
    <n v="600"/>
    <n v="0.44444444444444442"/>
    <s v="Jan-2026"/>
    <x v="1"/>
    <s v="High"/>
  </r>
  <r>
    <s v="ORD-00809"/>
    <x v="127"/>
    <s v="Customer 078"/>
    <x v="2"/>
    <x v="18"/>
    <x v="0"/>
    <s v="Chennai"/>
    <x v="4"/>
    <n v="4"/>
    <n v="350"/>
    <n v="0.05"/>
    <n v="1330"/>
    <n v="680"/>
    <n v="650"/>
    <n v="1330"/>
    <n v="650"/>
    <n v="0.48872180451127817"/>
    <s v="Jan-2026"/>
    <x v="1"/>
    <s v="High"/>
  </r>
  <r>
    <s v="ORD-00833"/>
    <x v="127"/>
    <s v="Customer 155"/>
    <x v="3"/>
    <x v="12"/>
    <x v="2"/>
    <s v="Ahmedabad"/>
    <x v="1"/>
    <n v="4"/>
    <n v="150"/>
    <n v="0.05"/>
    <n v="570"/>
    <n v="300"/>
    <n v="270"/>
    <n v="570"/>
    <n v="270"/>
    <n v="0.47368421052631576"/>
    <s v="Jan-2026"/>
    <x v="1"/>
    <s v="High"/>
  </r>
  <r>
    <s v="ORD-00043"/>
    <x v="128"/>
    <s v="Customer 115"/>
    <x v="0"/>
    <x v="8"/>
    <x v="2"/>
    <s v="Ahmedabad"/>
    <x v="0"/>
    <n v="1"/>
    <n v="2200"/>
    <n v="0"/>
    <n v="2200"/>
    <n v="1400"/>
    <n v="800"/>
    <n v="2200"/>
    <n v="800"/>
    <n v="0.36363636363636365"/>
    <s v="Jan-2026"/>
    <x v="1"/>
    <s v="High"/>
  </r>
  <r>
    <s v="ORD-00573"/>
    <x v="128"/>
    <s v="Customer 025"/>
    <x v="0"/>
    <x v="0"/>
    <x v="2"/>
    <s v="Nashik"/>
    <x v="2"/>
    <n v="8"/>
    <n v="1800"/>
    <n v="0.05"/>
    <n v="13680"/>
    <n v="8800"/>
    <n v="4880"/>
    <n v="13680"/>
    <n v="4880"/>
    <n v="0.35672514619883039"/>
    <s v="Jan-2026"/>
    <x v="1"/>
    <s v="High"/>
  </r>
  <r>
    <s v="ORD-00017"/>
    <x v="129"/>
    <s v="Customer 171"/>
    <x v="3"/>
    <x v="12"/>
    <x v="3"/>
    <s v="Delhi"/>
    <x v="5"/>
    <n v="7"/>
    <n v="150"/>
    <n v="0.05"/>
    <n v="997.5"/>
    <n v="525"/>
    <n v="472.5"/>
    <n v="997.5"/>
    <n v="472.5"/>
    <n v="0.47368421052631576"/>
    <s v="Jan-2026"/>
    <x v="1"/>
    <s v="High"/>
  </r>
  <r>
    <s v="ORD-00074"/>
    <x v="129"/>
    <s v="Customer 159"/>
    <x v="1"/>
    <x v="11"/>
    <x v="3"/>
    <s v="Lucknow"/>
    <x v="4"/>
    <n v="9"/>
    <n v="550"/>
    <n v="0"/>
    <n v="4950"/>
    <n v="2700"/>
    <n v="2250"/>
    <n v="4950"/>
    <n v="2250"/>
    <n v="0.45454545454545453"/>
    <s v="Jan-2026"/>
    <x v="1"/>
    <s v="High"/>
  </r>
  <r>
    <s v="ORD-00259"/>
    <x v="129"/>
    <s v="Customer 086"/>
    <x v="0"/>
    <x v="16"/>
    <x v="1"/>
    <s v="Bhubaneswar"/>
    <x v="0"/>
    <n v="7"/>
    <n v="1200"/>
    <n v="0"/>
    <n v="8400"/>
    <n v="5040"/>
    <n v="3360"/>
    <n v="8400"/>
    <n v="3360"/>
    <n v="0.4"/>
    <s v="Jan-2026"/>
    <x v="1"/>
    <s v="High"/>
  </r>
  <r>
    <s v="ORD-00254"/>
    <x v="130"/>
    <s v="Customer 030"/>
    <x v="3"/>
    <x v="12"/>
    <x v="2"/>
    <s v="Ahmedabad"/>
    <x v="5"/>
    <n v="8"/>
    <n v="150"/>
    <n v="0.1"/>
    <n v="1080"/>
    <n v="600"/>
    <n v="480"/>
    <n v="1080"/>
    <n v="480"/>
    <n v="0.44444444444444442"/>
    <s v="Jan-2026"/>
    <x v="1"/>
    <s v="High"/>
  </r>
  <r>
    <s v="ORD-00539"/>
    <x v="130"/>
    <s v="Customer 174"/>
    <x v="0"/>
    <x v="16"/>
    <x v="3"/>
    <s v="Delhi"/>
    <x v="1"/>
    <n v="4"/>
    <n v="1200"/>
    <n v="0.1"/>
    <n v="4320"/>
    <n v="2880"/>
    <n v="1440"/>
    <n v="4320"/>
    <n v="1440"/>
    <n v="0.33333333333333331"/>
    <s v="Jan-2026"/>
    <x v="1"/>
    <s v="High"/>
  </r>
  <r>
    <s v="ORD-00619"/>
    <x v="130"/>
    <s v="Customer 016"/>
    <x v="3"/>
    <x v="13"/>
    <x v="3"/>
    <s v="Chandigarh"/>
    <x v="1"/>
    <n v="8"/>
    <n v="120"/>
    <n v="0.05"/>
    <n v="912"/>
    <n v="440"/>
    <n v="472"/>
    <n v="912"/>
    <n v="472"/>
    <n v="0.51754385964912286"/>
    <s v="Jan-2026"/>
    <x v="1"/>
    <s v="High"/>
  </r>
  <r>
    <s v="ORD-00703"/>
    <x v="130"/>
    <s v="Customer 111"/>
    <x v="0"/>
    <x v="8"/>
    <x v="0"/>
    <s v="Hyderabad"/>
    <x v="1"/>
    <n v="3"/>
    <n v="2200"/>
    <n v="0.1"/>
    <n v="5940"/>
    <n v="4200"/>
    <n v="1740"/>
    <n v="5940"/>
    <n v="1740"/>
    <n v="0.29292929292929293"/>
    <s v="Jan-2026"/>
    <x v="1"/>
    <s v="Medium"/>
  </r>
  <r>
    <s v="ORD-00077"/>
    <x v="131"/>
    <s v="Customer 161"/>
    <x v="0"/>
    <x v="8"/>
    <x v="1"/>
    <s v="Kolkata"/>
    <x v="5"/>
    <n v="9"/>
    <n v="2200"/>
    <n v="0"/>
    <n v="19800"/>
    <n v="12600"/>
    <n v="7200"/>
    <n v="19800"/>
    <n v="7200"/>
    <n v="0.36363636363636365"/>
    <s v="Jan-2026"/>
    <x v="1"/>
    <s v="High"/>
  </r>
  <r>
    <s v="ORD-00478"/>
    <x v="131"/>
    <s v="Customer 074"/>
    <x v="2"/>
    <x v="17"/>
    <x v="1"/>
    <s v="Ranchi"/>
    <x v="2"/>
    <n v="6"/>
    <n v="650"/>
    <n v="0.15"/>
    <n v="3315"/>
    <n v="2100"/>
    <n v="1215"/>
    <n v="3315"/>
    <n v="1215"/>
    <n v="0.36651583710407237"/>
    <s v="Jan-2026"/>
    <x v="1"/>
    <s v="High"/>
  </r>
  <r>
    <s v="ORD-00725"/>
    <x v="132"/>
    <s v="Customer 151"/>
    <x v="1"/>
    <x v="3"/>
    <x v="0"/>
    <s v="Bengaluru"/>
    <x v="1"/>
    <n v="10"/>
    <n v="700"/>
    <n v="0.1"/>
    <n v="6300"/>
    <n v="4000"/>
    <n v="2300"/>
    <n v="6300"/>
    <n v="2300"/>
    <n v="0.36507936507936506"/>
    <s v="Jan-2026"/>
    <x v="1"/>
    <s v="High"/>
  </r>
  <r>
    <s v="ORD-00891"/>
    <x v="132"/>
    <s v="Customer 085"/>
    <x v="2"/>
    <x v="19"/>
    <x v="1"/>
    <s v="Bhubaneswar"/>
    <x v="0"/>
    <n v="7"/>
    <n v="900"/>
    <n v="0.1"/>
    <n v="5670"/>
    <n v="3640"/>
    <n v="2030"/>
    <n v="5670"/>
    <n v="2030"/>
    <n v="0.35802469135802467"/>
    <s v="Jan-2026"/>
    <x v="1"/>
    <s v="High"/>
  </r>
  <r>
    <s v="ORD-00941"/>
    <x v="132"/>
    <s v="Customer 097"/>
    <x v="3"/>
    <x v="6"/>
    <x v="2"/>
    <s v="Nashik"/>
    <x v="3"/>
    <n v="3"/>
    <n v="180"/>
    <n v="0"/>
    <n v="540"/>
    <n v="270"/>
    <n v="270"/>
    <n v="540"/>
    <n v="270"/>
    <n v="0.5"/>
    <s v="Jan-2026"/>
    <x v="1"/>
    <s v="High"/>
  </r>
  <r>
    <s v="ORD-00403"/>
    <x v="133"/>
    <s v="Customer 137"/>
    <x v="3"/>
    <x v="14"/>
    <x v="1"/>
    <s v="Kolkata"/>
    <x v="3"/>
    <n v="9"/>
    <n v="280"/>
    <n v="0"/>
    <n v="2520"/>
    <n v="1350"/>
    <n v="1170"/>
    <n v="2520"/>
    <n v="1170"/>
    <n v="0.4642857142857143"/>
    <s v="Jan-2026"/>
    <x v="1"/>
    <s v="High"/>
  </r>
  <r>
    <s v="ORD-00847"/>
    <x v="133"/>
    <s v="Customer 137"/>
    <x v="3"/>
    <x v="12"/>
    <x v="3"/>
    <s v="Delhi"/>
    <x v="5"/>
    <n v="10"/>
    <n v="150"/>
    <n v="0.05"/>
    <n v="1425"/>
    <n v="750"/>
    <n v="675"/>
    <n v="1425"/>
    <n v="675"/>
    <n v="0.47368421052631576"/>
    <s v="Jan-2026"/>
    <x v="1"/>
    <s v="High"/>
  </r>
  <r>
    <s v="ORD-00845"/>
    <x v="134"/>
    <s v="Customer 024"/>
    <x v="1"/>
    <x v="3"/>
    <x v="2"/>
    <s v="Nashik"/>
    <x v="5"/>
    <n v="5"/>
    <n v="700"/>
    <n v="0"/>
    <n v="3500"/>
    <n v="2000"/>
    <n v="1500"/>
    <n v="3500"/>
    <n v="1500"/>
    <n v="0.42857142857142855"/>
    <s v="Jan-2026"/>
    <x v="1"/>
    <s v="High"/>
  </r>
  <r>
    <s v="ORD-00347"/>
    <x v="135"/>
    <s v="Customer 069"/>
    <x v="2"/>
    <x v="4"/>
    <x v="0"/>
    <s v="Chennai"/>
    <x v="0"/>
    <n v="2"/>
    <n v="2200"/>
    <n v="0.05"/>
    <n v="4180"/>
    <n v="2900"/>
    <n v="1280"/>
    <n v="4180"/>
    <n v="1280"/>
    <n v="0.30622009569377989"/>
    <s v="Jan-2026"/>
    <x v="1"/>
    <s v="High"/>
  </r>
  <r>
    <s v="ORD-00029"/>
    <x v="136"/>
    <s v="Customer 159"/>
    <x v="1"/>
    <x v="9"/>
    <x v="1"/>
    <s v="Kolkata"/>
    <x v="1"/>
    <n v="9"/>
    <n v="350"/>
    <n v="0"/>
    <n v="3150"/>
    <n v="1620"/>
    <n v="1530"/>
    <n v="3150"/>
    <n v="1530"/>
    <n v="0.48571428571428571"/>
    <s v="Jan-2026"/>
    <x v="1"/>
    <s v="High"/>
  </r>
  <r>
    <s v="ORD-00090"/>
    <x v="136"/>
    <s v="Customer 183"/>
    <x v="3"/>
    <x v="15"/>
    <x v="0"/>
    <s v="Kochi"/>
    <x v="3"/>
    <n v="3"/>
    <n v="450"/>
    <n v="0.05"/>
    <n v="1282.5"/>
    <n v="750"/>
    <n v="532.5"/>
    <n v="1282.5"/>
    <n v="532.5"/>
    <n v="0.41520467836257308"/>
    <s v="Jan-2026"/>
    <x v="1"/>
    <s v="High"/>
  </r>
  <r>
    <s v="ORD-00289"/>
    <x v="136"/>
    <s v="Customer 086"/>
    <x v="1"/>
    <x v="10"/>
    <x v="3"/>
    <s v="Chandigarh"/>
    <x v="1"/>
    <n v="8"/>
    <n v="950"/>
    <n v="0.05"/>
    <n v="7220"/>
    <n v="4480"/>
    <n v="2740"/>
    <n v="7220"/>
    <n v="2740"/>
    <n v="0.37950138504155123"/>
    <s v="Jan-2026"/>
    <x v="1"/>
    <s v="High"/>
  </r>
  <r>
    <s v="ORD-00462"/>
    <x v="136"/>
    <s v="Customer 002"/>
    <x v="2"/>
    <x v="18"/>
    <x v="0"/>
    <s v="Hyderabad"/>
    <x v="1"/>
    <n v="9"/>
    <n v="350"/>
    <n v="0"/>
    <n v="3150"/>
    <n v="1530"/>
    <n v="1620"/>
    <n v="3150"/>
    <n v="1620"/>
    <n v="0.51428571428571423"/>
    <s v="Jan-2026"/>
    <x v="1"/>
    <s v="High"/>
  </r>
  <r>
    <s v="ORD-00481"/>
    <x v="136"/>
    <s v="Customer 111"/>
    <x v="0"/>
    <x v="8"/>
    <x v="2"/>
    <s v="Ahmedabad"/>
    <x v="0"/>
    <n v="7"/>
    <n v="2200"/>
    <n v="0"/>
    <n v="15400"/>
    <n v="9800"/>
    <n v="5600"/>
    <n v="15400"/>
    <n v="5600"/>
    <n v="0.36363636363636365"/>
    <s v="Jan-2026"/>
    <x v="1"/>
    <s v="High"/>
  </r>
  <r>
    <s v="ORD-00924"/>
    <x v="136"/>
    <s v="Customer 190"/>
    <x v="3"/>
    <x v="15"/>
    <x v="2"/>
    <s v="Nashik"/>
    <x v="1"/>
    <n v="8"/>
    <n v="450"/>
    <n v="0.05"/>
    <n v="3420"/>
    <n v="2000"/>
    <n v="1420"/>
    <n v="3420"/>
    <n v="1420"/>
    <n v="0.41520467836257308"/>
    <s v="Jan-2026"/>
    <x v="1"/>
    <s v="High"/>
  </r>
  <r>
    <s v="ORD-00115"/>
    <x v="137"/>
    <s v="Customer 145"/>
    <x v="2"/>
    <x v="7"/>
    <x v="3"/>
    <s v="Delhi"/>
    <x v="4"/>
    <n v="7"/>
    <n v="500"/>
    <n v="0"/>
    <n v="3500"/>
    <n v="1960"/>
    <n v="1540"/>
    <n v="3500"/>
    <n v="1540"/>
    <n v="0.44"/>
    <s v="Jan-2026"/>
    <x v="1"/>
    <s v="High"/>
  </r>
  <r>
    <s v="ORD-00233"/>
    <x v="137"/>
    <s v="Customer 012"/>
    <x v="2"/>
    <x v="17"/>
    <x v="3"/>
    <s v="Chandigarh"/>
    <x v="5"/>
    <n v="5"/>
    <n v="650"/>
    <n v="0.1"/>
    <n v="2925"/>
    <n v="1750"/>
    <n v="1175"/>
    <n v="2925"/>
    <n v="1175"/>
    <n v="0.40170940170940173"/>
    <s v="Jan-2026"/>
    <x v="1"/>
    <s v="High"/>
  </r>
  <r>
    <s v="ORD-00286"/>
    <x v="137"/>
    <s v="Customer 059"/>
    <x v="0"/>
    <x v="16"/>
    <x v="0"/>
    <s v="Bengaluru"/>
    <x v="1"/>
    <n v="8"/>
    <n v="1200"/>
    <n v="0.05"/>
    <n v="9120"/>
    <n v="5760"/>
    <n v="3360"/>
    <n v="9120"/>
    <n v="3360"/>
    <n v="0.36842105263157893"/>
    <s v="Jan-2026"/>
    <x v="1"/>
    <s v="High"/>
  </r>
  <r>
    <s v="ORD-00360"/>
    <x v="137"/>
    <s v="Customer 091"/>
    <x v="3"/>
    <x v="14"/>
    <x v="3"/>
    <s v="Lucknow"/>
    <x v="1"/>
    <n v="10"/>
    <n v="280"/>
    <n v="0.05"/>
    <n v="2660"/>
    <n v="1500"/>
    <n v="1160"/>
    <n v="2660"/>
    <n v="1160"/>
    <n v="0.43609022556390975"/>
    <s v="Jan-2026"/>
    <x v="1"/>
    <s v="High"/>
  </r>
  <r>
    <s v="ORD-00050"/>
    <x v="138"/>
    <s v="Customer 144"/>
    <x v="2"/>
    <x v="7"/>
    <x v="3"/>
    <s v="Delhi"/>
    <x v="3"/>
    <n v="7"/>
    <n v="500"/>
    <n v="0"/>
    <n v="3500"/>
    <n v="1960"/>
    <n v="1540"/>
    <n v="3500"/>
    <n v="1540"/>
    <n v="0.44"/>
    <s v="Feb-2026"/>
    <x v="1"/>
    <s v="High"/>
  </r>
  <r>
    <s v="ORD-00200"/>
    <x v="138"/>
    <s v="Customer 150"/>
    <x v="3"/>
    <x v="6"/>
    <x v="2"/>
    <s v="Pune"/>
    <x v="2"/>
    <n v="1"/>
    <n v="180"/>
    <n v="0.1"/>
    <n v="162"/>
    <n v="90"/>
    <n v="72"/>
    <n v="162"/>
    <n v="72"/>
    <n v="0.44444444444444442"/>
    <s v="Feb-2026"/>
    <x v="1"/>
    <s v="High"/>
  </r>
  <r>
    <s v="ORD-00314"/>
    <x v="138"/>
    <s v="Customer 120"/>
    <x v="1"/>
    <x v="3"/>
    <x v="1"/>
    <s v="Ranchi"/>
    <x v="1"/>
    <n v="7"/>
    <n v="700"/>
    <n v="0"/>
    <n v="4900"/>
    <n v="2800"/>
    <n v="2100"/>
    <n v="4900"/>
    <n v="2100"/>
    <n v="0.42857142857142855"/>
    <s v="Feb-2026"/>
    <x v="1"/>
    <s v="High"/>
  </r>
  <r>
    <s v="ORD-00384"/>
    <x v="138"/>
    <s v="Customer 048"/>
    <x v="3"/>
    <x v="13"/>
    <x v="1"/>
    <s v="Bhubaneswar"/>
    <x v="0"/>
    <n v="1"/>
    <n v="120"/>
    <n v="0.1"/>
    <n v="108"/>
    <n v="55"/>
    <n v="53"/>
    <n v="108"/>
    <n v="53"/>
    <n v="0.49074074074074076"/>
    <s v="Feb-2026"/>
    <x v="1"/>
    <s v="High"/>
  </r>
  <r>
    <s v="ORD-00647"/>
    <x v="138"/>
    <s v="Customer 102"/>
    <x v="1"/>
    <x v="3"/>
    <x v="0"/>
    <s v="Bengaluru"/>
    <x v="1"/>
    <n v="4"/>
    <n v="700"/>
    <n v="0"/>
    <n v="2800"/>
    <n v="1600"/>
    <n v="1200"/>
    <n v="2800"/>
    <n v="1200"/>
    <n v="0.42857142857142855"/>
    <s v="Feb-2026"/>
    <x v="1"/>
    <s v="High"/>
  </r>
  <r>
    <s v="ORD-00859"/>
    <x v="138"/>
    <s v="Customer 138"/>
    <x v="1"/>
    <x v="9"/>
    <x v="2"/>
    <s v="Mumbai"/>
    <x v="5"/>
    <n v="9"/>
    <n v="350"/>
    <n v="0"/>
    <n v="3150"/>
    <n v="1620"/>
    <n v="1530"/>
    <n v="3150"/>
    <n v="1530"/>
    <n v="0.48571428571428571"/>
    <s v="Feb-2026"/>
    <x v="1"/>
    <s v="High"/>
  </r>
  <r>
    <s v="ORD-00334"/>
    <x v="139"/>
    <s v="Customer 190"/>
    <x v="3"/>
    <x v="13"/>
    <x v="3"/>
    <s v="Lucknow"/>
    <x v="4"/>
    <n v="10"/>
    <n v="120"/>
    <n v="0"/>
    <n v="1200"/>
    <n v="550"/>
    <n v="650"/>
    <n v="1200"/>
    <n v="650"/>
    <n v="0.54166666666666663"/>
    <s v="Feb-2026"/>
    <x v="1"/>
    <s v="High"/>
  </r>
  <r>
    <s v="ORD-00370"/>
    <x v="139"/>
    <s v="Customer 165"/>
    <x v="3"/>
    <x v="12"/>
    <x v="1"/>
    <s v="Kolkata"/>
    <x v="0"/>
    <n v="8"/>
    <n v="150"/>
    <n v="0"/>
    <n v="1200"/>
    <n v="600"/>
    <n v="600"/>
    <n v="1200"/>
    <n v="600"/>
    <n v="0.5"/>
    <s v="Feb-2026"/>
    <x v="1"/>
    <s v="High"/>
  </r>
  <r>
    <s v="ORD-00429"/>
    <x v="139"/>
    <s v="Customer 070"/>
    <x v="2"/>
    <x v="4"/>
    <x v="2"/>
    <s v="Mumbai"/>
    <x v="4"/>
    <n v="2"/>
    <n v="2200"/>
    <n v="0.1"/>
    <n v="3960"/>
    <n v="2900"/>
    <n v="1060"/>
    <n v="3960"/>
    <n v="1060"/>
    <n v="0.26767676767676768"/>
    <s v="Feb-2026"/>
    <x v="1"/>
    <s v="Medium"/>
  </r>
  <r>
    <s v="ORD-00560"/>
    <x v="139"/>
    <s v="Customer 189"/>
    <x v="1"/>
    <x v="3"/>
    <x v="3"/>
    <s v="Lucknow"/>
    <x v="2"/>
    <n v="7"/>
    <n v="700"/>
    <n v="0"/>
    <n v="4900"/>
    <n v="2800"/>
    <n v="2100"/>
    <n v="4900"/>
    <n v="2100"/>
    <n v="0.42857142857142855"/>
    <s v="Feb-2026"/>
    <x v="1"/>
    <s v="High"/>
  </r>
  <r>
    <s v="ORD-00844"/>
    <x v="139"/>
    <s v="Customer 002"/>
    <x v="1"/>
    <x v="11"/>
    <x v="1"/>
    <s v="Bhubaneswar"/>
    <x v="1"/>
    <n v="6"/>
    <n v="550"/>
    <n v="0"/>
    <n v="3300"/>
    <n v="1800"/>
    <n v="1500"/>
    <n v="3300"/>
    <n v="1500"/>
    <n v="0.45454545454545453"/>
    <s v="Feb-2026"/>
    <x v="1"/>
    <s v="High"/>
  </r>
  <r>
    <s v="ORD-00117"/>
    <x v="140"/>
    <s v="Customer 033"/>
    <x v="2"/>
    <x v="18"/>
    <x v="1"/>
    <s v="Bhubaneswar"/>
    <x v="0"/>
    <n v="4"/>
    <n v="350"/>
    <n v="0.1"/>
    <n v="1260"/>
    <n v="680"/>
    <n v="580"/>
    <n v="1260"/>
    <n v="580"/>
    <n v="0.46031746031746029"/>
    <s v="Feb-2026"/>
    <x v="1"/>
    <s v="High"/>
  </r>
  <r>
    <s v="ORD-00330"/>
    <x v="141"/>
    <s v="Customer 013"/>
    <x v="2"/>
    <x v="19"/>
    <x v="0"/>
    <s v="Bengaluru"/>
    <x v="2"/>
    <n v="7"/>
    <n v="900"/>
    <n v="0"/>
    <n v="6300"/>
    <n v="3640"/>
    <n v="2660"/>
    <n v="6300"/>
    <n v="2660"/>
    <n v="0.42222222222222222"/>
    <s v="Feb-2026"/>
    <x v="1"/>
    <s v="High"/>
  </r>
  <r>
    <s v="ORD-00119"/>
    <x v="142"/>
    <s v="Customer 047"/>
    <x v="1"/>
    <x v="10"/>
    <x v="0"/>
    <s v="Hyderabad"/>
    <x v="0"/>
    <n v="1"/>
    <n v="950"/>
    <n v="0"/>
    <n v="950"/>
    <n v="560"/>
    <n v="390"/>
    <n v="950"/>
    <n v="390"/>
    <n v="0.41052631578947368"/>
    <s v="Feb-2026"/>
    <x v="1"/>
    <s v="High"/>
  </r>
  <r>
    <s v="ORD-00239"/>
    <x v="142"/>
    <s v="Customer 071"/>
    <x v="0"/>
    <x v="0"/>
    <x v="0"/>
    <s v="Chennai"/>
    <x v="4"/>
    <n v="10"/>
    <n v="1800"/>
    <n v="0.1"/>
    <n v="16200"/>
    <n v="11000"/>
    <n v="5200"/>
    <n v="16200"/>
    <n v="5200"/>
    <n v="0.32098765432098764"/>
    <s v="Feb-2026"/>
    <x v="1"/>
    <s v="High"/>
  </r>
  <r>
    <s v="ORD-00512"/>
    <x v="142"/>
    <s v="Customer 124"/>
    <x v="3"/>
    <x v="13"/>
    <x v="3"/>
    <s v="Chandigarh"/>
    <x v="2"/>
    <n v="1"/>
    <n v="120"/>
    <n v="0"/>
    <n v="120"/>
    <n v="55"/>
    <n v="65"/>
    <n v="120"/>
    <n v="65"/>
    <n v="0.54166666666666663"/>
    <s v="Feb-2026"/>
    <x v="1"/>
    <s v="High"/>
  </r>
  <r>
    <s v="ORD-00628"/>
    <x v="142"/>
    <s v="Customer 057"/>
    <x v="3"/>
    <x v="13"/>
    <x v="2"/>
    <s v="Nashik"/>
    <x v="1"/>
    <n v="4"/>
    <n v="120"/>
    <n v="0"/>
    <n v="480"/>
    <n v="220"/>
    <n v="260"/>
    <n v="480"/>
    <n v="260"/>
    <n v="0.54166666666666663"/>
    <s v="Feb-2026"/>
    <x v="1"/>
    <s v="High"/>
  </r>
  <r>
    <s v="ORD-00496"/>
    <x v="143"/>
    <s v="Customer 046"/>
    <x v="3"/>
    <x v="6"/>
    <x v="2"/>
    <s v="Nashik"/>
    <x v="0"/>
    <n v="5"/>
    <n v="180"/>
    <n v="0"/>
    <n v="900"/>
    <n v="450"/>
    <n v="450"/>
    <n v="900"/>
    <n v="450"/>
    <n v="0.5"/>
    <s v="Feb-2026"/>
    <x v="1"/>
    <s v="High"/>
  </r>
  <r>
    <s v="ORD-00554"/>
    <x v="143"/>
    <s v="Customer 187"/>
    <x v="2"/>
    <x v="4"/>
    <x v="1"/>
    <s v="Patna"/>
    <x v="1"/>
    <n v="8"/>
    <n v="2200"/>
    <n v="0"/>
    <n v="17600"/>
    <n v="11600"/>
    <n v="6000"/>
    <n v="17600"/>
    <n v="6000"/>
    <n v="0.34090909090909088"/>
    <s v="Feb-2026"/>
    <x v="1"/>
    <s v="High"/>
  </r>
  <r>
    <s v="ORD-00907"/>
    <x v="143"/>
    <s v="Customer 064"/>
    <x v="0"/>
    <x v="16"/>
    <x v="2"/>
    <s v="Nashik"/>
    <x v="3"/>
    <n v="10"/>
    <n v="1200"/>
    <n v="0"/>
    <n v="12000"/>
    <n v="7200"/>
    <n v="4800"/>
    <n v="12000"/>
    <n v="4800"/>
    <n v="0.4"/>
    <s v="Feb-2026"/>
    <x v="1"/>
    <s v="High"/>
  </r>
  <r>
    <s v="ORD-00316"/>
    <x v="144"/>
    <s v="Customer 178"/>
    <x v="3"/>
    <x v="6"/>
    <x v="2"/>
    <s v="Ahmedabad"/>
    <x v="5"/>
    <n v="9"/>
    <n v="180"/>
    <n v="0"/>
    <n v="1620"/>
    <n v="810"/>
    <n v="810"/>
    <n v="1620"/>
    <n v="810"/>
    <n v="0.5"/>
    <s v="Feb-2026"/>
    <x v="1"/>
    <s v="High"/>
  </r>
  <r>
    <s v="ORD-00870"/>
    <x v="144"/>
    <s v="Customer 101"/>
    <x v="3"/>
    <x v="15"/>
    <x v="0"/>
    <s v="Chennai"/>
    <x v="2"/>
    <n v="7"/>
    <n v="450"/>
    <n v="0.1"/>
    <n v="2835"/>
    <n v="1750"/>
    <n v="1085"/>
    <n v="2835"/>
    <n v="1085"/>
    <n v="0.38271604938271603"/>
    <s v="Feb-2026"/>
    <x v="1"/>
    <s v="High"/>
  </r>
  <r>
    <s v="ORD-00946"/>
    <x v="145"/>
    <s v="Customer 139"/>
    <x v="0"/>
    <x v="0"/>
    <x v="1"/>
    <s v="Ranchi"/>
    <x v="1"/>
    <n v="7"/>
    <n v="1800"/>
    <n v="0"/>
    <n v="12600"/>
    <n v="7700"/>
    <n v="4900"/>
    <n v="12600"/>
    <n v="4900"/>
    <n v="0.3888888888888889"/>
    <s v="Feb-2026"/>
    <x v="1"/>
    <s v="High"/>
  </r>
  <r>
    <s v="ORD-00438"/>
    <x v="146"/>
    <s v="Customer 099"/>
    <x v="1"/>
    <x v="11"/>
    <x v="0"/>
    <s v="Kochi"/>
    <x v="4"/>
    <n v="4"/>
    <n v="550"/>
    <n v="0.1"/>
    <n v="1980"/>
    <n v="1200"/>
    <n v="780"/>
    <n v="1980"/>
    <n v="780"/>
    <n v="0.39393939393939392"/>
    <s v="Feb-2026"/>
    <x v="1"/>
    <s v="High"/>
  </r>
  <r>
    <s v="ORD-00780"/>
    <x v="147"/>
    <s v="Customer 161"/>
    <x v="0"/>
    <x v="8"/>
    <x v="2"/>
    <s v="Nashik"/>
    <x v="5"/>
    <n v="2"/>
    <n v="2200"/>
    <n v="0.15"/>
    <n v="3740"/>
    <n v="2800"/>
    <n v="940"/>
    <n v="3740"/>
    <n v="940"/>
    <n v="0.25133689839572193"/>
    <s v="Feb-2026"/>
    <x v="1"/>
    <s v="Medium"/>
  </r>
  <r>
    <s v="ORD-00146"/>
    <x v="148"/>
    <s v="Customer 153"/>
    <x v="3"/>
    <x v="13"/>
    <x v="1"/>
    <s v="Kolkata"/>
    <x v="1"/>
    <n v="6"/>
    <n v="120"/>
    <n v="0"/>
    <n v="720"/>
    <n v="330"/>
    <n v="390"/>
    <n v="720"/>
    <n v="390"/>
    <n v="0.54166666666666663"/>
    <s v="Feb-2026"/>
    <x v="1"/>
    <s v="High"/>
  </r>
  <r>
    <s v="ORD-00377"/>
    <x v="148"/>
    <s v="Customer 049"/>
    <x v="0"/>
    <x v="8"/>
    <x v="2"/>
    <s v="Mumbai"/>
    <x v="5"/>
    <n v="6"/>
    <n v="2200"/>
    <n v="0.05"/>
    <n v="12540"/>
    <n v="8400"/>
    <n v="4140"/>
    <n v="12540"/>
    <n v="4140"/>
    <n v="0.33014354066985646"/>
    <s v="Feb-2026"/>
    <x v="1"/>
    <s v="High"/>
  </r>
  <r>
    <s v="ORD-00803"/>
    <x v="148"/>
    <s v="Customer 149"/>
    <x v="0"/>
    <x v="2"/>
    <x v="1"/>
    <s v="Patna"/>
    <x v="4"/>
    <n v="7"/>
    <n v="1500"/>
    <n v="0.15"/>
    <n v="8925"/>
    <n v="6300"/>
    <n v="2625"/>
    <n v="8925"/>
    <n v="2625"/>
    <n v="0.29411764705882354"/>
    <s v="Feb-2026"/>
    <x v="1"/>
    <s v="Medium"/>
  </r>
  <r>
    <s v="ORD-00195"/>
    <x v="149"/>
    <s v="Customer 176"/>
    <x v="0"/>
    <x v="5"/>
    <x v="3"/>
    <s v="Chandigarh"/>
    <x v="4"/>
    <n v="4"/>
    <n v="650"/>
    <n v="0"/>
    <n v="2600"/>
    <n v="1520"/>
    <n v="1080"/>
    <n v="2600"/>
    <n v="1080"/>
    <n v="0.41538461538461541"/>
    <s v="Feb-2026"/>
    <x v="1"/>
    <s v="High"/>
  </r>
  <r>
    <s v="ORD-00587"/>
    <x v="149"/>
    <s v="Customer 081"/>
    <x v="2"/>
    <x v="19"/>
    <x v="2"/>
    <s v="Pune"/>
    <x v="1"/>
    <n v="10"/>
    <n v="900"/>
    <n v="0"/>
    <n v="9000"/>
    <n v="5200"/>
    <n v="3800"/>
    <n v="9000"/>
    <n v="3800"/>
    <n v="0.42222222222222222"/>
    <s v="Feb-2026"/>
    <x v="1"/>
    <s v="High"/>
  </r>
  <r>
    <s v="ORD-00976"/>
    <x v="149"/>
    <s v="Customer 038"/>
    <x v="3"/>
    <x v="14"/>
    <x v="3"/>
    <s v="Chandigarh"/>
    <x v="5"/>
    <n v="1"/>
    <n v="280"/>
    <n v="0.05"/>
    <n v="266"/>
    <n v="150"/>
    <n v="116"/>
    <n v="266"/>
    <n v="116"/>
    <n v="0.43609022556390975"/>
    <s v="Feb-2026"/>
    <x v="1"/>
    <s v="High"/>
  </r>
  <r>
    <s v="ORD-00460"/>
    <x v="150"/>
    <s v="Customer 083"/>
    <x v="2"/>
    <x v="4"/>
    <x v="1"/>
    <s v="Patna"/>
    <x v="5"/>
    <n v="3"/>
    <n v="2200"/>
    <n v="0.05"/>
    <n v="6270"/>
    <n v="4350"/>
    <n v="1920"/>
    <n v="6270"/>
    <n v="1920"/>
    <n v="0.30622009569377989"/>
    <s v="Feb-2026"/>
    <x v="1"/>
    <s v="High"/>
  </r>
  <r>
    <s v="ORD-00832"/>
    <x v="150"/>
    <s v="Customer 176"/>
    <x v="2"/>
    <x v="18"/>
    <x v="0"/>
    <s v="Chennai"/>
    <x v="1"/>
    <n v="4"/>
    <n v="350"/>
    <n v="0"/>
    <n v="1400"/>
    <n v="680"/>
    <n v="720"/>
    <n v="1400"/>
    <n v="720"/>
    <n v="0.51428571428571423"/>
    <s v="Feb-2026"/>
    <x v="1"/>
    <s v="High"/>
  </r>
  <r>
    <s v="ORD-00767"/>
    <x v="151"/>
    <s v="Customer 010"/>
    <x v="0"/>
    <x v="16"/>
    <x v="1"/>
    <s v="Bhubaneswar"/>
    <x v="2"/>
    <n v="7"/>
    <n v="1200"/>
    <n v="0"/>
    <n v="8400"/>
    <n v="5040"/>
    <n v="3360"/>
    <n v="8400"/>
    <n v="3360"/>
    <n v="0.4"/>
    <s v="Feb-2026"/>
    <x v="1"/>
    <s v="High"/>
  </r>
  <r>
    <s v="ORD-00874"/>
    <x v="151"/>
    <s v="Customer 146"/>
    <x v="0"/>
    <x v="8"/>
    <x v="1"/>
    <s v="Ranchi"/>
    <x v="1"/>
    <n v="4"/>
    <n v="2200"/>
    <n v="0.1"/>
    <n v="7920"/>
    <n v="5600"/>
    <n v="2320"/>
    <n v="7920"/>
    <n v="2320"/>
    <n v="0.29292929292929293"/>
    <s v="Feb-2026"/>
    <x v="1"/>
    <s v="Medium"/>
  </r>
  <r>
    <s v="ORD-00004"/>
    <x v="152"/>
    <s v="Customer 188"/>
    <x v="1"/>
    <x v="10"/>
    <x v="1"/>
    <s v="Kolkata"/>
    <x v="1"/>
    <n v="1"/>
    <n v="950"/>
    <n v="0.05"/>
    <n v="902.5"/>
    <n v="560"/>
    <n v="342.5"/>
    <n v="902.5"/>
    <n v="342.5"/>
    <n v="0.37950138504155123"/>
    <s v="Feb-2026"/>
    <x v="1"/>
    <s v="High"/>
  </r>
  <r>
    <s v="ORD-00175"/>
    <x v="152"/>
    <s v="Customer 009"/>
    <x v="0"/>
    <x v="2"/>
    <x v="2"/>
    <s v="Nashik"/>
    <x v="4"/>
    <n v="9"/>
    <n v="1500"/>
    <n v="0.1"/>
    <n v="12150"/>
    <n v="8100"/>
    <n v="4050"/>
    <n v="12150"/>
    <n v="4050"/>
    <n v="0.33333333333333331"/>
    <s v="Feb-2026"/>
    <x v="1"/>
    <s v="High"/>
  </r>
  <r>
    <s v="ORD-00796"/>
    <x v="152"/>
    <s v="Customer 080"/>
    <x v="1"/>
    <x v="1"/>
    <x v="2"/>
    <s v="Mumbai"/>
    <x v="0"/>
    <n v="2"/>
    <n v="600"/>
    <n v="0.05"/>
    <n v="1140"/>
    <n v="660"/>
    <n v="480"/>
    <n v="1140"/>
    <n v="480"/>
    <n v="0.42105263157894735"/>
    <s v="Feb-2026"/>
    <x v="1"/>
    <s v="High"/>
  </r>
  <r>
    <s v="ORD-00894"/>
    <x v="152"/>
    <s v="Customer 157"/>
    <x v="0"/>
    <x v="16"/>
    <x v="0"/>
    <s v="Hyderabad"/>
    <x v="0"/>
    <n v="3"/>
    <n v="1200"/>
    <n v="0.05"/>
    <n v="3420"/>
    <n v="2160"/>
    <n v="1260"/>
    <n v="3420"/>
    <n v="1260"/>
    <n v="0.36842105263157893"/>
    <s v="Feb-2026"/>
    <x v="1"/>
    <s v="High"/>
  </r>
  <r>
    <s v="ORD-00939"/>
    <x v="153"/>
    <s v="Customer 015"/>
    <x v="0"/>
    <x v="8"/>
    <x v="0"/>
    <s v="Chennai"/>
    <x v="3"/>
    <n v="9"/>
    <n v="2200"/>
    <n v="0.05"/>
    <n v="18810"/>
    <n v="12600"/>
    <n v="6210"/>
    <n v="18810"/>
    <n v="6210"/>
    <n v="0.33014354066985646"/>
    <s v="Feb-2026"/>
    <x v="1"/>
    <s v="High"/>
  </r>
  <r>
    <s v="ORD-00881"/>
    <x v="154"/>
    <s v="Customer 075"/>
    <x v="1"/>
    <x v="10"/>
    <x v="0"/>
    <s v="Bengaluru"/>
    <x v="1"/>
    <n v="4"/>
    <n v="950"/>
    <n v="0.05"/>
    <n v="3610"/>
    <n v="2240"/>
    <n v="1370"/>
    <n v="3610"/>
    <n v="1370"/>
    <n v="0.37950138504155123"/>
    <s v="Feb-2026"/>
    <x v="1"/>
    <s v="High"/>
  </r>
  <r>
    <s v="ORD-00072"/>
    <x v="155"/>
    <s v="Customer 160"/>
    <x v="0"/>
    <x v="5"/>
    <x v="3"/>
    <s v="Delhi"/>
    <x v="5"/>
    <n v="6"/>
    <n v="650"/>
    <n v="0.1"/>
    <n v="3510"/>
    <n v="2280"/>
    <n v="1230"/>
    <n v="3510"/>
    <n v="1230"/>
    <n v="0.3504273504273504"/>
    <s v="Feb-2026"/>
    <x v="1"/>
    <s v="High"/>
  </r>
  <r>
    <s v="ORD-00148"/>
    <x v="155"/>
    <s v="Customer 145"/>
    <x v="1"/>
    <x v="1"/>
    <x v="2"/>
    <s v="Mumbai"/>
    <x v="2"/>
    <n v="5"/>
    <n v="600"/>
    <n v="0"/>
    <n v="3000"/>
    <n v="1650"/>
    <n v="1350"/>
    <n v="3000"/>
    <n v="1350"/>
    <n v="0.45"/>
    <s v="Feb-2026"/>
    <x v="1"/>
    <s v="High"/>
  </r>
  <r>
    <s v="ORD-00265"/>
    <x v="155"/>
    <s v="Customer 188"/>
    <x v="0"/>
    <x v="2"/>
    <x v="3"/>
    <s v="Chandigarh"/>
    <x v="0"/>
    <n v="9"/>
    <n v="1500"/>
    <n v="0"/>
    <n v="13500"/>
    <n v="8100"/>
    <n v="5400"/>
    <n v="13500"/>
    <n v="5400"/>
    <n v="0.4"/>
    <s v="Feb-2026"/>
    <x v="1"/>
    <s v="High"/>
  </r>
  <r>
    <s v="ORD-00302"/>
    <x v="155"/>
    <s v="Customer 094"/>
    <x v="1"/>
    <x v="9"/>
    <x v="3"/>
    <s v="Delhi"/>
    <x v="4"/>
    <n v="4"/>
    <n v="350"/>
    <n v="0.05"/>
    <n v="1330"/>
    <n v="720"/>
    <n v="610"/>
    <n v="1330"/>
    <n v="610"/>
    <n v="0.45864661654135336"/>
    <s v="Feb-2026"/>
    <x v="1"/>
    <s v="High"/>
  </r>
  <r>
    <s v="ORD-00641"/>
    <x v="155"/>
    <s v="Customer 171"/>
    <x v="1"/>
    <x v="1"/>
    <x v="0"/>
    <s v="Hyderabad"/>
    <x v="5"/>
    <n v="3"/>
    <n v="600"/>
    <n v="0.05"/>
    <n v="1710"/>
    <n v="990"/>
    <n v="720"/>
    <n v="1710"/>
    <n v="720"/>
    <n v="0.42105263157894735"/>
    <s v="Feb-2026"/>
    <x v="1"/>
    <s v="High"/>
  </r>
  <r>
    <s v="ORD-00224"/>
    <x v="156"/>
    <s v="Customer 034"/>
    <x v="1"/>
    <x v="10"/>
    <x v="1"/>
    <s v="Bhubaneswar"/>
    <x v="4"/>
    <n v="5"/>
    <n v="950"/>
    <n v="0.15"/>
    <n v="4037.5"/>
    <n v="2800"/>
    <n v="1237.5"/>
    <n v="4037.5"/>
    <n v="1237.5"/>
    <n v="0.30650154798761609"/>
    <s v="Feb-2026"/>
    <x v="1"/>
    <s v="High"/>
  </r>
  <r>
    <s v="ORD-00386"/>
    <x v="156"/>
    <s v="Customer 004"/>
    <x v="3"/>
    <x v="6"/>
    <x v="0"/>
    <s v="Bengaluru"/>
    <x v="5"/>
    <n v="2"/>
    <n v="180"/>
    <n v="0"/>
    <n v="360"/>
    <n v="180"/>
    <n v="180"/>
    <n v="360"/>
    <n v="180"/>
    <n v="0.5"/>
    <s v="Feb-2026"/>
    <x v="1"/>
    <s v="High"/>
  </r>
  <r>
    <s v="ORD-00176"/>
    <x v="157"/>
    <s v="Customer 090"/>
    <x v="1"/>
    <x v="3"/>
    <x v="3"/>
    <s v="Chandigarh"/>
    <x v="2"/>
    <n v="6"/>
    <n v="700"/>
    <n v="0"/>
    <n v="4200"/>
    <n v="2400"/>
    <n v="1800"/>
    <n v="4200"/>
    <n v="1800"/>
    <n v="0.42857142857142855"/>
    <s v="Feb-2026"/>
    <x v="1"/>
    <s v="High"/>
  </r>
  <r>
    <s v="ORD-00523"/>
    <x v="157"/>
    <s v="Customer 134"/>
    <x v="3"/>
    <x v="15"/>
    <x v="0"/>
    <s v="Bengaluru"/>
    <x v="4"/>
    <n v="8"/>
    <n v="450"/>
    <n v="0.1"/>
    <n v="3240"/>
    <n v="2000"/>
    <n v="1240"/>
    <n v="3240"/>
    <n v="1240"/>
    <n v="0.38271604938271603"/>
    <s v="Feb-2026"/>
    <x v="1"/>
    <s v="High"/>
  </r>
  <r>
    <s v="ORD-00576"/>
    <x v="157"/>
    <s v="Customer 183"/>
    <x v="1"/>
    <x v="9"/>
    <x v="1"/>
    <s v="Ranchi"/>
    <x v="4"/>
    <n v="7"/>
    <n v="350"/>
    <n v="0"/>
    <n v="2450"/>
    <n v="1260"/>
    <n v="1190"/>
    <n v="2450"/>
    <n v="1190"/>
    <n v="0.48571428571428571"/>
    <s v="Feb-2026"/>
    <x v="1"/>
    <s v="High"/>
  </r>
  <r>
    <s v="ORD-00318"/>
    <x v="158"/>
    <s v="Customer 017"/>
    <x v="0"/>
    <x v="8"/>
    <x v="3"/>
    <s v="Lucknow"/>
    <x v="2"/>
    <n v="9"/>
    <n v="2200"/>
    <n v="0.1"/>
    <n v="17820"/>
    <n v="12600"/>
    <n v="5220"/>
    <n v="17820"/>
    <n v="5220"/>
    <n v="0.29292929292929293"/>
    <s v="Feb-2026"/>
    <x v="1"/>
    <s v="Medium"/>
  </r>
  <r>
    <s v="ORD-00404"/>
    <x v="158"/>
    <s v="Customer 198"/>
    <x v="2"/>
    <x v="4"/>
    <x v="1"/>
    <s v="Bhubaneswar"/>
    <x v="0"/>
    <n v="3"/>
    <n v="2200"/>
    <n v="0"/>
    <n v="6600"/>
    <n v="4350"/>
    <n v="2250"/>
    <n v="6600"/>
    <n v="2250"/>
    <n v="0.34090909090909088"/>
    <s v="Feb-2026"/>
    <x v="1"/>
    <s v="High"/>
  </r>
  <r>
    <s v="ORD-00470"/>
    <x v="158"/>
    <s v="Customer 071"/>
    <x v="1"/>
    <x v="9"/>
    <x v="3"/>
    <s v="Chandigarh"/>
    <x v="3"/>
    <n v="9"/>
    <n v="350"/>
    <n v="0"/>
    <n v="3150"/>
    <n v="1620"/>
    <n v="1530"/>
    <n v="3150"/>
    <n v="1530"/>
    <n v="0.48571428571428571"/>
    <s v="Feb-2026"/>
    <x v="1"/>
    <s v="High"/>
  </r>
  <r>
    <s v="ORD-00853"/>
    <x v="158"/>
    <s v="Customer 131"/>
    <x v="0"/>
    <x v="8"/>
    <x v="3"/>
    <s v="Delhi"/>
    <x v="2"/>
    <n v="1"/>
    <n v="2200"/>
    <n v="0"/>
    <n v="2200"/>
    <n v="1400"/>
    <n v="800"/>
    <n v="2200"/>
    <n v="800"/>
    <n v="0.36363636363636365"/>
    <s v="Feb-2026"/>
    <x v="1"/>
    <s v="High"/>
  </r>
  <r>
    <s v="ORD-00965"/>
    <x v="158"/>
    <s v="Customer 011"/>
    <x v="1"/>
    <x v="11"/>
    <x v="0"/>
    <s v="Chennai"/>
    <x v="1"/>
    <n v="10"/>
    <n v="550"/>
    <n v="0"/>
    <n v="5500"/>
    <n v="3000"/>
    <n v="2500"/>
    <n v="5500"/>
    <n v="2500"/>
    <n v="0.45454545454545453"/>
    <s v="Feb-2026"/>
    <x v="1"/>
    <s v="High"/>
  </r>
  <r>
    <s v="ORD-00108"/>
    <x v="159"/>
    <s v="Customer 010"/>
    <x v="3"/>
    <x v="12"/>
    <x v="2"/>
    <s v="Nashik"/>
    <x v="5"/>
    <n v="3"/>
    <n v="150"/>
    <n v="0"/>
    <n v="450"/>
    <n v="225"/>
    <n v="225"/>
    <n v="450"/>
    <n v="225"/>
    <n v="0.5"/>
    <s v="Feb-2026"/>
    <x v="1"/>
    <s v="High"/>
  </r>
  <r>
    <s v="ORD-00222"/>
    <x v="159"/>
    <s v="Customer 151"/>
    <x v="2"/>
    <x v="17"/>
    <x v="2"/>
    <s v="Mumbai"/>
    <x v="0"/>
    <n v="7"/>
    <n v="650"/>
    <n v="0.05"/>
    <n v="4322.5"/>
    <n v="2450"/>
    <n v="1872.5"/>
    <n v="4322.5"/>
    <n v="1872.5"/>
    <n v="0.4331983805668016"/>
    <s v="Feb-2026"/>
    <x v="1"/>
    <s v="High"/>
  </r>
  <r>
    <s v="ORD-00786"/>
    <x v="159"/>
    <s v="Customer 143"/>
    <x v="3"/>
    <x v="15"/>
    <x v="3"/>
    <s v="Chandigarh"/>
    <x v="2"/>
    <n v="9"/>
    <n v="450"/>
    <n v="0"/>
    <n v="4050"/>
    <n v="2250"/>
    <n v="1800"/>
    <n v="4050"/>
    <n v="1800"/>
    <n v="0.44444444444444442"/>
    <s v="Feb-2026"/>
    <x v="1"/>
    <s v="High"/>
  </r>
  <r>
    <s v="ORD-00016"/>
    <x v="160"/>
    <s v="Customer 063"/>
    <x v="1"/>
    <x v="3"/>
    <x v="2"/>
    <s v="Nashik"/>
    <x v="4"/>
    <n v="10"/>
    <n v="700"/>
    <n v="0"/>
    <n v="7000"/>
    <n v="4000"/>
    <n v="3000"/>
    <n v="7000"/>
    <n v="3000"/>
    <n v="0.42857142857142855"/>
    <s v="Feb-2026"/>
    <x v="1"/>
    <s v="High"/>
  </r>
  <r>
    <s v="ORD-00055"/>
    <x v="160"/>
    <s v="Customer 171"/>
    <x v="2"/>
    <x v="4"/>
    <x v="3"/>
    <s v="Lucknow"/>
    <x v="5"/>
    <n v="1"/>
    <n v="2200"/>
    <n v="0.05"/>
    <n v="2090"/>
    <n v="1450"/>
    <n v="640"/>
    <n v="2090"/>
    <n v="640"/>
    <n v="0.30622009569377989"/>
    <s v="Feb-2026"/>
    <x v="1"/>
    <s v="High"/>
  </r>
  <r>
    <s v="ORD-00728"/>
    <x v="160"/>
    <s v="Customer 198"/>
    <x v="3"/>
    <x v="6"/>
    <x v="0"/>
    <s v="Chennai"/>
    <x v="0"/>
    <n v="10"/>
    <n v="180"/>
    <n v="0"/>
    <n v="1800"/>
    <n v="900"/>
    <n v="900"/>
    <n v="1800"/>
    <n v="900"/>
    <n v="0.5"/>
    <s v="Feb-2026"/>
    <x v="1"/>
    <s v="High"/>
  </r>
  <r>
    <s v="ORD-00680"/>
    <x v="161"/>
    <s v="Customer 126"/>
    <x v="0"/>
    <x v="8"/>
    <x v="0"/>
    <s v="Kochi"/>
    <x v="4"/>
    <n v="1"/>
    <n v="2200"/>
    <n v="0.1"/>
    <n v="1980"/>
    <n v="1400"/>
    <n v="580"/>
    <n v="1980"/>
    <n v="580"/>
    <n v="0.29292929292929293"/>
    <s v="Feb-2026"/>
    <x v="1"/>
    <s v="Medium"/>
  </r>
  <r>
    <s v="ORD-00777"/>
    <x v="161"/>
    <s v="Customer 126"/>
    <x v="0"/>
    <x v="16"/>
    <x v="2"/>
    <s v="Nashik"/>
    <x v="5"/>
    <n v="7"/>
    <n v="1200"/>
    <n v="0"/>
    <n v="8400"/>
    <n v="5040"/>
    <n v="3360"/>
    <n v="8400"/>
    <n v="3360"/>
    <n v="0.4"/>
    <s v="Feb-2026"/>
    <x v="1"/>
    <s v="High"/>
  </r>
  <r>
    <s v="ORD-00417"/>
    <x v="162"/>
    <s v="Customer 170"/>
    <x v="0"/>
    <x v="5"/>
    <x v="1"/>
    <s v="Ranchi"/>
    <x v="3"/>
    <n v="10"/>
    <n v="650"/>
    <n v="0.1"/>
    <n v="5850"/>
    <n v="3800"/>
    <n v="2050"/>
    <n v="5850"/>
    <n v="2050"/>
    <n v="0.3504273504273504"/>
    <s v="Feb-2026"/>
    <x v="1"/>
    <s v="High"/>
  </r>
  <r>
    <s v="ORD-00424"/>
    <x v="162"/>
    <s v="Customer 200"/>
    <x v="1"/>
    <x v="9"/>
    <x v="0"/>
    <s v="Bengaluru"/>
    <x v="0"/>
    <n v="3"/>
    <n v="350"/>
    <n v="0"/>
    <n v="1050"/>
    <n v="540"/>
    <n v="510"/>
    <n v="1050"/>
    <n v="510"/>
    <n v="0.48571428571428571"/>
    <s v="Feb-2026"/>
    <x v="1"/>
    <s v="High"/>
  </r>
  <r>
    <s v="ORD-00540"/>
    <x v="162"/>
    <s v="Customer 088"/>
    <x v="1"/>
    <x v="10"/>
    <x v="0"/>
    <s v="Chennai"/>
    <x v="4"/>
    <n v="8"/>
    <n v="950"/>
    <n v="0"/>
    <n v="7600"/>
    <n v="4480"/>
    <n v="3120"/>
    <n v="7600"/>
    <n v="3120"/>
    <n v="0.41052631578947368"/>
    <s v="Feb-2026"/>
    <x v="1"/>
    <s v="High"/>
  </r>
  <r>
    <s v="ORD-00575"/>
    <x v="162"/>
    <s v="Customer 044"/>
    <x v="0"/>
    <x v="0"/>
    <x v="1"/>
    <s v="Kolkata"/>
    <x v="2"/>
    <n v="3"/>
    <n v="1800"/>
    <n v="0"/>
    <n v="5400"/>
    <n v="3300"/>
    <n v="2100"/>
    <n v="5400"/>
    <n v="2100"/>
    <n v="0.3888888888888889"/>
    <s v="Feb-2026"/>
    <x v="1"/>
    <s v="High"/>
  </r>
  <r>
    <s v="ORD-00621"/>
    <x v="162"/>
    <s v="Customer 106"/>
    <x v="0"/>
    <x v="5"/>
    <x v="2"/>
    <s v="Nashik"/>
    <x v="2"/>
    <n v="1"/>
    <n v="650"/>
    <n v="0.05"/>
    <n v="617.5"/>
    <n v="380"/>
    <n v="237.5"/>
    <n v="617.5"/>
    <n v="237.5"/>
    <n v="0.38461538461538464"/>
    <s v="Feb-2026"/>
    <x v="1"/>
    <s v="High"/>
  </r>
  <r>
    <s v="ORD-00659"/>
    <x v="162"/>
    <s v="Customer 199"/>
    <x v="0"/>
    <x v="0"/>
    <x v="3"/>
    <s v="Chandigarh"/>
    <x v="5"/>
    <n v="4"/>
    <n v="1800"/>
    <n v="0.1"/>
    <n v="6480"/>
    <n v="4400"/>
    <n v="2080"/>
    <n v="6480"/>
    <n v="2080"/>
    <n v="0.32098765432098764"/>
    <s v="Feb-2026"/>
    <x v="1"/>
    <s v="High"/>
  </r>
  <r>
    <s v="ORD-00735"/>
    <x v="162"/>
    <s v="Customer 071"/>
    <x v="3"/>
    <x v="6"/>
    <x v="2"/>
    <s v="Nashik"/>
    <x v="0"/>
    <n v="7"/>
    <n v="180"/>
    <n v="0.15"/>
    <n v="1071"/>
    <n v="630"/>
    <n v="441"/>
    <n v="1071"/>
    <n v="441"/>
    <n v="0.41176470588235292"/>
    <s v="Feb-2026"/>
    <x v="1"/>
    <s v="High"/>
  </r>
  <r>
    <s v="ORD-00753"/>
    <x v="162"/>
    <s v="Customer 131"/>
    <x v="3"/>
    <x v="13"/>
    <x v="3"/>
    <s v="Chandigarh"/>
    <x v="2"/>
    <n v="1"/>
    <n v="120"/>
    <n v="0"/>
    <n v="120"/>
    <n v="55"/>
    <n v="65"/>
    <n v="120"/>
    <n v="65"/>
    <n v="0.54166666666666663"/>
    <s v="Feb-2026"/>
    <x v="1"/>
    <s v="High"/>
  </r>
  <r>
    <s v="ORD-00792"/>
    <x v="162"/>
    <s v="Customer 033"/>
    <x v="3"/>
    <x v="13"/>
    <x v="3"/>
    <s v="Lucknow"/>
    <x v="4"/>
    <n v="10"/>
    <n v="120"/>
    <n v="0"/>
    <n v="1200"/>
    <n v="550"/>
    <n v="650"/>
    <n v="1200"/>
    <n v="650"/>
    <n v="0.54166666666666663"/>
    <s v="Feb-2026"/>
    <x v="1"/>
    <s v="High"/>
  </r>
  <r>
    <s v="ORD-00126"/>
    <x v="163"/>
    <s v="Customer 057"/>
    <x v="2"/>
    <x v="19"/>
    <x v="3"/>
    <s v="Delhi"/>
    <x v="4"/>
    <n v="5"/>
    <n v="900"/>
    <n v="0"/>
    <n v="4500"/>
    <n v="2600"/>
    <n v="1900"/>
    <n v="4500"/>
    <n v="1900"/>
    <n v="0.42222222222222222"/>
    <s v="Mar-2026"/>
    <x v="1"/>
    <s v="High"/>
  </r>
  <r>
    <s v="ORD-00415"/>
    <x v="163"/>
    <s v="Customer 116"/>
    <x v="3"/>
    <x v="6"/>
    <x v="0"/>
    <s v="Chennai"/>
    <x v="5"/>
    <n v="6"/>
    <n v="180"/>
    <n v="0.05"/>
    <n v="1026"/>
    <n v="540"/>
    <n v="486"/>
    <n v="1026"/>
    <n v="486"/>
    <n v="0.47368421052631576"/>
    <s v="Mar-2026"/>
    <x v="1"/>
    <s v="High"/>
  </r>
  <r>
    <s v="ORD-00510"/>
    <x v="163"/>
    <s v="Customer 064"/>
    <x v="2"/>
    <x v="18"/>
    <x v="3"/>
    <s v="Delhi"/>
    <x v="3"/>
    <n v="3"/>
    <n v="350"/>
    <n v="0"/>
    <n v="1050"/>
    <n v="510"/>
    <n v="540"/>
    <n v="1050"/>
    <n v="540"/>
    <n v="0.51428571428571423"/>
    <s v="Mar-2026"/>
    <x v="1"/>
    <s v="High"/>
  </r>
  <r>
    <s v="ORD-00811"/>
    <x v="163"/>
    <s v="Customer 025"/>
    <x v="2"/>
    <x v="17"/>
    <x v="0"/>
    <s v="Bengaluru"/>
    <x v="0"/>
    <n v="8"/>
    <n v="650"/>
    <n v="0.1"/>
    <n v="4680"/>
    <n v="2800"/>
    <n v="1880"/>
    <n v="4680"/>
    <n v="1880"/>
    <n v="0.40170940170940173"/>
    <s v="Mar-2026"/>
    <x v="1"/>
    <s v="High"/>
  </r>
  <r>
    <s v="ORD-00761"/>
    <x v="164"/>
    <s v="Customer 012"/>
    <x v="1"/>
    <x v="1"/>
    <x v="3"/>
    <s v="Chandigarh"/>
    <x v="2"/>
    <n v="4"/>
    <n v="600"/>
    <n v="0.05"/>
    <n v="2280"/>
    <n v="1320"/>
    <n v="960"/>
    <n v="2280"/>
    <n v="960"/>
    <n v="0.42105263157894735"/>
    <s v="Mar-2026"/>
    <x v="1"/>
    <s v="High"/>
  </r>
  <r>
    <s v="ORD-00312"/>
    <x v="165"/>
    <s v="Customer 107"/>
    <x v="3"/>
    <x v="6"/>
    <x v="2"/>
    <s v="Pune"/>
    <x v="0"/>
    <n v="9"/>
    <n v="180"/>
    <n v="0.05"/>
    <n v="1539"/>
    <n v="810"/>
    <n v="729"/>
    <n v="1539"/>
    <n v="729"/>
    <n v="0.47368421052631576"/>
    <s v="Mar-2026"/>
    <x v="1"/>
    <s v="High"/>
  </r>
  <r>
    <s v="ORD-00754"/>
    <x v="165"/>
    <s v="Customer 063"/>
    <x v="2"/>
    <x v="18"/>
    <x v="2"/>
    <s v="Ahmedabad"/>
    <x v="3"/>
    <n v="1"/>
    <n v="350"/>
    <n v="0"/>
    <n v="350"/>
    <n v="170"/>
    <n v="180"/>
    <n v="350"/>
    <n v="180"/>
    <n v="0.51428571428571423"/>
    <s v="Mar-2026"/>
    <x v="1"/>
    <s v="High"/>
  </r>
  <r>
    <s v="ORD-00665"/>
    <x v="166"/>
    <s v="Customer 085"/>
    <x v="3"/>
    <x v="13"/>
    <x v="1"/>
    <s v="Patna"/>
    <x v="3"/>
    <n v="6"/>
    <n v="120"/>
    <n v="0.05"/>
    <n v="684"/>
    <n v="330"/>
    <n v="354"/>
    <n v="684"/>
    <n v="354"/>
    <n v="0.51754385964912286"/>
    <s v="Mar-2026"/>
    <x v="1"/>
    <s v="High"/>
  </r>
  <r>
    <s v="ORD-00211"/>
    <x v="167"/>
    <s v="Customer 125"/>
    <x v="2"/>
    <x v="17"/>
    <x v="1"/>
    <s v="Bhubaneswar"/>
    <x v="0"/>
    <n v="7"/>
    <n v="650"/>
    <n v="0"/>
    <n v="4550"/>
    <n v="2450"/>
    <n v="2100"/>
    <n v="4550"/>
    <n v="2100"/>
    <n v="0.46153846153846156"/>
    <s v="Mar-2026"/>
    <x v="1"/>
    <s v="High"/>
  </r>
  <r>
    <s v="ORD-00488"/>
    <x v="167"/>
    <s v="Customer 185"/>
    <x v="1"/>
    <x v="9"/>
    <x v="3"/>
    <s v="Lucknow"/>
    <x v="5"/>
    <n v="6"/>
    <n v="350"/>
    <n v="0.1"/>
    <n v="1890"/>
    <n v="1080"/>
    <n v="810"/>
    <n v="1890"/>
    <n v="810"/>
    <n v="0.42857142857142855"/>
    <s v="Mar-2026"/>
    <x v="1"/>
    <s v="High"/>
  </r>
  <r>
    <s v="ORD-00783"/>
    <x v="167"/>
    <s v="Customer 076"/>
    <x v="0"/>
    <x v="2"/>
    <x v="0"/>
    <s v="Bengaluru"/>
    <x v="2"/>
    <n v="3"/>
    <n v="1500"/>
    <n v="0.1"/>
    <n v="4050"/>
    <n v="2700"/>
    <n v="1350"/>
    <n v="4050"/>
    <n v="1350"/>
    <n v="0.33333333333333331"/>
    <s v="Mar-2026"/>
    <x v="1"/>
    <s v="High"/>
  </r>
  <r>
    <s v="ORD-00923"/>
    <x v="167"/>
    <s v="Customer 142"/>
    <x v="0"/>
    <x v="2"/>
    <x v="2"/>
    <s v="Nashik"/>
    <x v="5"/>
    <n v="9"/>
    <n v="1500"/>
    <n v="0"/>
    <n v="13500"/>
    <n v="8100"/>
    <n v="5400"/>
    <n v="13500"/>
    <n v="5400"/>
    <n v="0.4"/>
    <s v="Mar-2026"/>
    <x v="1"/>
    <s v="High"/>
  </r>
  <r>
    <s v="ORD-00486"/>
    <x v="168"/>
    <s v="Customer 085"/>
    <x v="2"/>
    <x v="19"/>
    <x v="3"/>
    <s v="Delhi"/>
    <x v="2"/>
    <n v="9"/>
    <n v="900"/>
    <n v="0"/>
    <n v="8100"/>
    <n v="4680"/>
    <n v="3420"/>
    <n v="8100"/>
    <n v="3420"/>
    <n v="0.42222222222222222"/>
    <s v="Mar-2026"/>
    <x v="1"/>
    <s v="High"/>
  </r>
  <r>
    <s v="ORD-00161"/>
    <x v="169"/>
    <s v="Customer 045"/>
    <x v="3"/>
    <x v="13"/>
    <x v="0"/>
    <s v="Bengaluru"/>
    <x v="2"/>
    <n v="8"/>
    <n v="120"/>
    <n v="0"/>
    <n v="960"/>
    <n v="440"/>
    <n v="520"/>
    <n v="960"/>
    <n v="520"/>
    <n v="0.54166666666666663"/>
    <s v="Mar-2026"/>
    <x v="1"/>
    <s v="High"/>
  </r>
  <r>
    <s v="ORD-00785"/>
    <x v="169"/>
    <s v="Customer 073"/>
    <x v="3"/>
    <x v="13"/>
    <x v="1"/>
    <s v="Ranchi"/>
    <x v="5"/>
    <n v="7"/>
    <n v="120"/>
    <n v="0.05"/>
    <n v="798"/>
    <n v="385"/>
    <n v="413"/>
    <n v="798"/>
    <n v="413"/>
    <n v="0.51754385964912286"/>
    <s v="Mar-2026"/>
    <x v="1"/>
    <s v="High"/>
  </r>
  <r>
    <s v="ORD-00852"/>
    <x v="169"/>
    <s v="Customer 189"/>
    <x v="0"/>
    <x v="2"/>
    <x v="1"/>
    <s v="Bhubaneswar"/>
    <x v="2"/>
    <n v="5"/>
    <n v="1500"/>
    <n v="0.1"/>
    <n v="6750"/>
    <n v="4500"/>
    <n v="2250"/>
    <n v="6750"/>
    <n v="2250"/>
    <n v="0.33333333333333331"/>
    <s v="Mar-2026"/>
    <x v="1"/>
    <s v="High"/>
  </r>
  <r>
    <s v="ORD-00890"/>
    <x v="169"/>
    <s v="Customer 186"/>
    <x v="0"/>
    <x v="5"/>
    <x v="3"/>
    <s v="Chandigarh"/>
    <x v="4"/>
    <n v="5"/>
    <n v="650"/>
    <n v="0"/>
    <n v="3250"/>
    <n v="1900"/>
    <n v="1350"/>
    <n v="3250"/>
    <n v="1350"/>
    <n v="0.41538461538461541"/>
    <s v="Mar-2026"/>
    <x v="1"/>
    <s v="High"/>
  </r>
  <r>
    <s v="ORD-00291"/>
    <x v="170"/>
    <s v="Customer 097"/>
    <x v="2"/>
    <x v="18"/>
    <x v="0"/>
    <s v="Kochi"/>
    <x v="3"/>
    <n v="6"/>
    <n v="350"/>
    <n v="0.05"/>
    <n v="1995"/>
    <n v="1020"/>
    <n v="975"/>
    <n v="1995"/>
    <n v="975"/>
    <n v="0.48872180451127817"/>
    <s v="Mar-2026"/>
    <x v="1"/>
    <s v="High"/>
  </r>
  <r>
    <s v="ORD-00714"/>
    <x v="170"/>
    <s v="Customer 160"/>
    <x v="1"/>
    <x v="10"/>
    <x v="2"/>
    <s v="Pune"/>
    <x v="1"/>
    <n v="8"/>
    <n v="950"/>
    <n v="0.15"/>
    <n v="6460"/>
    <n v="4480"/>
    <n v="1980"/>
    <n v="6460"/>
    <n v="1980"/>
    <n v="0.30650154798761609"/>
    <s v="Mar-2026"/>
    <x v="1"/>
    <s v="High"/>
  </r>
  <r>
    <s v="ORD-00071"/>
    <x v="171"/>
    <s v="Customer 191"/>
    <x v="1"/>
    <x v="11"/>
    <x v="0"/>
    <s v="Bengaluru"/>
    <x v="0"/>
    <n v="3"/>
    <n v="550"/>
    <n v="0.05"/>
    <n v="1567.5"/>
    <n v="900"/>
    <n v="667.5"/>
    <n v="1567.5"/>
    <n v="667.5"/>
    <n v="0.42583732057416268"/>
    <s v="Mar-2026"/>
    <x v="1"/>
    <s v="High"/>
  </r>
  <r>
    <s v="ORD-00355"/>
    <x v="171"/>
    <s v="Customer 136"/>
    <x v="3"/>
    <x v="6"/>
    <x v="2"/>
    <s v="Mumbai"/>
    <x v="3"/>
    <n v="6"/>
    <n v="180"/>
    <n v="0.1"/>
    <n v="972"/>
    <n v="540"/>
    <n v="432"/>
    <n v="972"/>
    <n v="432"/>
    <n v="0.44444444444444442"/>
    <s v="Mar-2026"/>
    <x v="1"/>
    <s v="High"/>
  </r>
  <r>
    <s v="ORD-00274"/>
    <x v="172"/>
    <s v="Customer 149"/>
    <x v="0"/>
    <x v="8"/>
    <x v="2"/>
    <s v="Nashik"/>
    <x v="0"/>
    <n v="1"/>
    <n v="2200"/>
    <n v="0.05"/>
    <n v="2090"/>
    <n v="1400"/>
    <n v="690"/>
    <n v="2090"/>
    <n v="690"/>
    <n v="0.33014354066985646"/>
    <s v="Mar-2026"/>
    <x v="1"/>
    <s v="High"/>
  </r>
  <r>
    <s v="ORD-00392"/>
    <x v="172"/>
    <s v="Customer 104"/>
    <x v="2"/>
    <x v="19"/>
    <x v="0"/>
    <s v="Bengaluru"/>
    <x v="4"/>
    <n v="4"/>
    <n v="900"/>
    <n v="0.05"/>
    <n v="3420"/>
    <n v="2080"/>
    <n v="1340"/>
    <n v="3420"/>
    <n v="1340"/>
    <n v="0.391812865497076"/>
    <s v="Mar-2026"/>
    <x v="1"/>
    <s v="High"/>
  </r>
  <r>
    <s v="ORD-00938"/>
    <x v="172"/>
    <s v="Customer 108"/>
    <x v="1"/>
    <x v="9"/>
    <x v="3"/>
    <s v="Jaipur"/>
    <x v="0"/>
    <n v="10"/>
    <n v="350"/>
    <n v="0.05"/>
    <n v="3325"/>
    <n v="1800"/>
    <n v="1525"/>
    <n v="3325"/>
    <n v="1525"/>
    <n v="0.45864661654135336"/>
    <s v="Mar-2026"/>
    <x v="1"/>
    <s v="High"/>
  </r>
  <r>
    <s v="ORD-00356"/>
    <x v="173"/>
    <s v="Customer 062"/>
    <x v="2"/>
    <x v="19"/>
    <x v="3"/>
    <s v="Lucknow"/>
    <x v="2"/>
    <n v="5"/>
    <n v="900"/>
    <n v="0"/>
    <n v="4500"/>
    <n v="2600"/>
    <n v="1900"/>
    <n v="4500"/>
    <n v="1900"/>
    <n v="0.42222222222222222"/>
    <s v="Mar-2026"/>
    <x v="1"/>
    <s v="High"/>
  </r>
  <r>
    <s v="ORD-00514"/>
    <x v="173"/>
    <s v="Customer 044"/>
    <x v="3"/>
    <x v="13"/>
    <x v="1"/>
    <s v="Kolkata"/>
    <x v="5"/>
    <n v="3"/>
    <n v="120"/>
    <n v="0.05"/>
    <n v="342"/>
    <n v="165"/>
    <n v="177"/>
    <n v="342"/>
    <n v="177"/>
    <n v="0.51754385964912286"/>
    <s v="Mar-2026"/>
    <x v="1"/>
    <s v="High"/>
  </r>
  <r>
    <s v="ORD-00968"/>
    <x v="173"/>
    <s v="Customer 103"/>
    <x v="2"/>
    <x v="7"/>
    <x v="0"/>
    <s v="Kochi"/>
    <x v="0"/>
    <n v="1"/>
    <n v="500"/>
    <n v="0"/>
    <n v="500"/>
    <n v="280"/>
    <n v="220"/>
    <n v="500"/>
    <n v="220"/>
    <n v="0.44"/>
    <s v="Mar-2026"/>
    <x v="1"/>
    <s v="High"/>
  </r>
  <r>
    <s v="ORD-00981"/>
    <x v="173"/>
    <s v="Customer 008"/>
    <x v="1"/>
    <x v="11"/>
    <x v="3"/>
    <s v="Lucknow"/>
    <x v="3"/>
    <n v="6"/>
    <n v="550"/>
    <n v="0"/>
    <n v="3300"/>
    <n v="1800"/>
    <n v="1500"/>
    <n v="3300"/>
    <n v="1500"/>
    <n v="0.45454545454545453"/>
    <s v="Mar-2026"/>
    <x v="1"/>
    <s v="High"/>
  </r>
  <r>
    <s v="ORD-00167"/>
    <x v="174"/>
    <s v="Customer 181"/>
    <x v="3"/>
    <x v="13"/>
    <x v="1"/>
    <s v="Bhubaneswar"/>
    <x v="1"/>
    <n v="5"/>
    <n v="120"/>
    <n v="0"/>
    <n v="600"/>
    <n v="275"/>
    <n v="325"/>
    <n v="600"/>
    <n v="325"/>
    <n v="0.54166666666666663"/>
    <s v="Mar-2026"/>
    <x v="1"/>
    <s v="High"/>
  </r>
  <r>
    <s v="ORD-00105"/>
    <x v="175"/>
    <s v="Customer 079"/>
    <x v="0"/>
    <x v="5"/>
    <x v="3"/>
    <s v="Chandigarh"/>
    <x v="3"/>
    <n v="6"/>
    <n v="650"/>
    <n v="0.05"/>
    <n v="3705"/>
    <n v="2280"/>
    <n v="1425"/>
    <n v="3705"/>
    <n v="1425"/>
    <n v="0.38461538461538464"/>
    <s v="Mar-2026"/>
    <x v="1"/>
    <s v="High"/>
  </r>
  <r>
    <s v="ORD-00389"/>
    <x v="175"/>
    <s v="Customer 169"/>
    <x v="1"/>
    <x v="9"/>
    <x v="3"/>
    <s v="Chandigarh"/>
    <x v="3"/>
    <n v="5"/>
    <n v="350"/>
    <n v="0"/>
    <n v="1750"/>
    <n v="900"/>
    <n v="850"/>
    <n v="1750"/>
    <n v="850"/>
    <n v="0.48571428571428571"/>
    <s v="Mar-2026"/>
    <x v="1"/>
    <s v="High"/>
  </r>
  <r>
    <s v="ORD-00805"/>
    <x v="175"/>
    <s v="Customer 069"/>
    <x v="3"/>
    <x v="6"/>
    <x v="1"/>
    <s v="Kolkata"/>
    <x v="2"/>
    <n v="4"/>
    <n v="180"/>
    <n v="0"/>
    <n v="720"/>
    <n v="360"/>
    <n v="360"/>
    <n v="720"/>
    <n v="360"/>
    <n v="0.5"/>
    <s v="Mar-2026"/>
    <x v="1"/>
    <s v="High"/>
  </r>
  <r>
    <s v="ORD-00141"/>
    <x v="176"/>
    <s v="Customer 119"/>
    <x v="1"/>
    <x v="11"/>
    <x v="0"/>
    <s v="Bengaluru"/>
    <x v="0"/>
    <n v="4"/>
    <n v="550"/>
    <n v="0"/>
    <n v="2200"/>
    <n v="1200"/>
    <n v="1000"/>
    <n v="2200"/>
    <n v="1000"/>
    <n v="0.45454545454545453"/>
    <s v="Mar-2026"/>
    <x v="1"/>
    <s v="High"/>
  </r>
  <r>
    <s v="ORD-00445"/>
    <x v="176"/>
    <s v="Customer 111"/>
    <x v="0"/>
    <x v="8"/>
    <x v="3"/>
    <s v="Delhi"/>
    <x v="3"/>
    <n v="4"/>
    <n v="2200"/>
    <n v="0"/>
    <n v="8800"/>
    <n v="5600"/>
    <n v="3200"/>
    <n v="8800"/>
    <n v="3200"/>
    <n v="0.36363636363636365"/>
    <s v="Mar-2026"/>
    <x v="1"/>
    <s v="High"/>
  </r>
  <r>
    <s v="ORD-00519"/>
    <x v="176"/>
    <s v="Customer 166"/>
    <x v="2"/>
    <x v="19"/>
    <x v="1"/>
    <s v="Bhubaneswar"/>
    <x v="3"/>
    <n v="6"/>
    <n v="900"/>
    <n v="0.05"/>
    <n v="5130"/>
    <n v="3120"/>
    <n v="2010"/>
    <n v="5130"/>
    <n v="2010"/>
    <n v="0.391812865497076"/>
    <s v="Mar-2026"/>
    <x v="1"/>
    <s v="High"/>
  </r>
  <r>
    <s v="ORD-00670"/>
    <x v="176"/>
    <s v="Customer 009"/>
    <x v="0"/>
    <x v="0"/>
    <x v="2"/>
    <s v="Ahmedabad"/>
    <x v="0"/>
    <n v="7"/>
    <n v="1800"/>
    <n v="0.05"/>
    <n v="11970"/>
    <n v="7700"/>
    <n v="4270"/>
    <n v="11970"/>
    <n v="4270"/>
    <n v="0.35672514619883039"/>
    <s v="Mar-2026"/>
    <x v="1"/>
    <s v="High"/>
  </r>
  <r>
    <s v="ORD-00058"/>
    <x v="177"/>
    <s v="Customer 058"/>
    <x v="2"/>
    <x v="17"/>
    <x v="3"/>
    <s v="Jaipur"/>
    <x v="5"/>
    <n v="3"/>
    <n v="650"/>
    <n v="0"/>
    <n v="1950"/>
    <n v="1050"/>
    <n v="900"/>
    <n v="1950"/>
    <n v="900"/>
    <n v="0.46153846153846156"/>
    <s v="Mar-2026"/>
    <x v="1"/>
    <s v="High"/>
  </r>
  <r>
    <s v="ORD-00249"/>
    <x v="177"/>
    <s v="Customer 013"/>
    <x v="2"/>
    <x v="18"/>
    <x v="2"/>
    <s v="Ahmedabad"/>
    <x v="4"/>
    <n v="1"/>
    <n v="350"/>
    <n v="0"/>
    <n v="350"/>
    <n v="170"/>
    <n v="180"/>
    <n v="350"/>
    <n v="180"/>
    <n v="0.51428571428571423"/>
    <s v="Mar-2026"/>
    <x v="1"/>
    <s v="High"/>
  </r>
  <r>
    <s v="ORD-00802"/>
    <x v="177"/>
    <s v="Customer 095"/>
    <x v="2"/>
    <x v="4"/>
    <x v="2"/>
    <s v="Ahmedabad"/>
    <x v="0"/>
    <n v="7"/>
    <n v="2200"/>
    <n v="0"/>
    <n v="15400"/>
    <n v="10150"/>
    <n v="5250"/>
    <n v="15400"/>
    <n v="5250"/>
    <n v="0.34090909090909088"/>
    <s v="Mar-2026"/>
    <x v="1"/>
    <s v="High"/>
  </r>
  <r>
    <s v="ORD-00818"/>
    <x v="177"/>
    <s v="Customer 051"/>
    <x v="0"/>
    <x v="5"/>
    <x v="2"/>
    <s v="Pune"/>
    <x v="1"/>
    <n v="4"/>
    <n v="650"/>
    <n v="0.05"/>
    <n v="2470"/>
    <n v="1520"/>
    <n v="950"/>
    <n v="2470"/>
    <n v="950"/>
    <n v="0.38461538461538464"/>
    <s v="Mar-2026"/>
    <x v="1"/>
    <s v="High"/>
  </r>
  <r>
    <s v="ORD-00466"/>
    <x v="178"/>
    <s v="Customer 123"/>
    <x v="0"/>
    <x v="5"/>
    <x v="3"/>
    <s v="Jaipur"/>
    <x v="2"/>
    <n v="9"/>
    <n v="650"/>
    <n v="0.05"/>
    <n v="5557.5"/>
    <n v="3420"/>
    <n v="2137.5"/>
    <n v="5557.5"/>
    <n v="2137.5"/>
    <n v="0.38461538461538464"/>
    <s v="Mar-2026"/>
    <x v="1"/>
    <s v="High"/>
  </r>
  <r>
    <s v="ORD-00769"/>
    <x v="178"/>
    <s v="Customer 019"/>
    <x v="0"/>
    <x v="16"/>
    <x v="2"/>
    <s v="Pune"/>
    <x v="2"/>
    <n v="9"/>
    <n v="1200"/>
    <n v="0.15"/>
    <n v="9180"/>
    <n v="6480"/>
    <n v="2700"/>
    <n v="9180"/>
    <n v="2700"/>
    <n v="0.29411764705882354"/>
    <s v="Mar-2026"/>
    <x v="1"/>
    <s v="Medium"/>
  </r>
  <r>
    <s v="ORD-00963"/>
    <x v="178"/>
    <s v="Customer 010"/>
    <x v="0"/>
    <x v="8"/>
    <x v="2"/>
    <s v="Mumbai"/>
    <x v="1"/>
    <n v="5"/>
    <n v="2200"/>
    <n v="0"/>
    <n v="11000"/>
    <n v="7000"/>
    <n v="4000"/>
    <n v="11000"/>
    <n v="4000"/>
    <n v="0.36363636363636365"/>
    <s v="Mar-2026"/>
    <x v="1"/>
    <s v="High"/>
  </r>
  <r>
    <s v="ORD-00157"/>
    <x v="179"/>
    <s v="Customer 200"/>
    <x v="2"/>
    <x v="18"/>
    <x v="1"/>
    <s v="Patna"/>
    <x v="4"/>
    <n v="5"/>
    <n v="350"/>
    <n v="0.1"/>
    <n v="1575"/>
    <n v="850"/>
    <n v="725"/>
    <n v="1575"/>
    <n v="725"/>
    <n v="0.46031746031746029"/>
    <s v="Mar-2026"/>
    <x v="1"/>
    <s v="High"/>
  </r>
  <r>
    <s v="ORD-00220"/>
    <x v="179"/>
    <s v="Customer 059"/>
    <x v="3"/>
    <x v="12"/>
    <x v="3"/>
    <s v="Delhi"/>
    <x v="5"/>
    <n v="1"/>
    <n v="150"/>
    <n v="0"/>
    <n v="150"/>
    <n v="75"/>
    <n v="75"/>
    <n v="150"/>
    <n v="75"/>
    <n v="0.5"/>
    <s v="Mar-2026"/>
    <x v="1"/>
    <s v="High"/>
  </r>
  <r>
    <s v="ORD-00633"/>
    <x v="179"/>
    <s v="Customer 140"/>
    <x v="2"/>
    <x v="7"/>
    <x v="1"/>
    <s v="Patna"/>
    <x v="4"/>
    <n v="7"/>
    <n v="500"/>
    <n v="0"/>
    <n v="3500"/>
    <n v="1960"/>
    <n v="1540"/>
    <n v="3500"/>
    <n v="1540"/>
    <n v="0.44"/>
    <s v="Mar-2026"/>
    <x v="1"/>
    <s v="High"/>
  </r>
  <r>
    <s v="ORD-00814"/>
    <x v="179"/>
    <s v="Customer 115"/>
    <x v="3"/>
    <x v="12"/>
    <x v="1"/>
    <s v="Ranchi"/>
    <x v="5"/>
    <n v="2"/>
    <n v="150"/>
    <n v="0"/>
    <n v="300"/>
    <n v="150"/>
    <n v="150"/>
    <n v="300"/>
    <n v="150"/>
    <n v="0.5"/>
    <s v="Mar-2026"/>
    <x v="1"/>
    <s v="High"/>
  </r>
  <r>
    <s v="ORD-00910"/>
    <x v="179"/>
    <s v="Customer 044"/>
    <x v="1"/>
    <x v="10"/>
    <x v="2"/>
    <s v="Mumbai"/>
    <x v="0"/>
    <n v="5"/>
    <n v="950"/>
    <n v="0.1"/>
    <n v="4275"/>
    <n v="2800"/>
    <n v="1475"/>
    <n v="4275"/>
    <n v="1475"/>
    <n v="0.34502923976608185"/>
    <s v="Mar-2026"/>
    <x v="1"/>
    <s v="High"/>
  </r>
  <r>
    <s v="ORD-00028"/>
    <x v="180"/>
    <s v="Customer 052"/>
    <x v="1"/>
    <x v="3"/>
    <x v="3"/>
    <s v="Lucknow"/>
    <x v="4"/>
    <n v="3"/>
    <n v="700"/>
    <n v="0"/>
    <n v="2100"/>
    <n v="1200"/>
    <n v="900"/>
    <n v="2100"/>
    <n v="900"/>
    <n v="0.42857142857142855"/>
    <s v="Mar-2026"/>
    <x v="1"/>
    <s v="High"/>
  </r>
  <r>
    <s v="ORD-00230"/>
    <x v="180"/>
    <s v="Customer 143"/>
    <x v="2"/>
    <x v="19"/>
    <x v="2"/>
    <s v="Nashik"/>
    <x v="5"/>
    <n v="1"/>
    <n v="900"/>
    <n v="0"/>
    <n v="900"/>
    <n v="520"/>
    <n v="380"/>
    <n v="900"/>
    <n v="380"/>
    <n v="0.42222222222222222"/>
    <s v="Mar-2026"/>
    <x v="1"/>
    <s v="High"/>
  </r>
  <r>
    <s v="ORD-00423"/>
    <x v="180"/>
    <s v="Customer 106"/>
    <x v="3"/>
    <x v="12"/>
    <x v="3"/>
    <s v="Delhi"/>
    <x v="4"/>
    <n v="1"/>
    <n v="150"/>
    <n v="0"/>
    <n v="150"/>
    <n v="75"/>
    <n v="75"/>
    <n v="150"/>
    <n v="75"/>
    <n v="0.5"/>
    <s v="Mar-2026"/>
    <x v="1"/>
    <s v="High"/>
  </r>
  <r>
    <s v="ORD-00506"/>
    <x v="180"/>
    <s v="Customer 157"/>
    <x v="2"/>
    <x v="19"/>
    <x v="0"/>
    <s v="Kochi"/>
    <x v="3"/>
    <n v="3"/>
    <n v="900"/>
    <n v="0"/>
    <n v="2700"/>
    <n v="1560"/>
    <n v="1140"/>
    <n v="2700"/>
    <n v="1140"/>
    <n v="0.42222222222222222"/>
    <s v="Mar-2026"/>
    <x v="1"/>
    <s v="High"/>
  </r>
  <r>
    <s v="ORD-00698"/>
    <x v="180"/>
    <s v="Customer 130"/>
    <x v="3"/>
    <x v="12"/>
    <x v="2"/>
    <s v="Pune"/>
    <x v="1"/>
    <n v="8"/>
    <n v="150"/>
    <n v="0"/>
    <n v="1200"/>
    <n v="600"/>
    <n v="600"/>
    <n v="1200"/>
    <n v="600"/>
    <n v="0.5"/>
    <s v="Mar-2026"/>
    <x v="1"/>
    <s v="High"/>
  </r>
  <r>
    <s v="ORD-00857"/>
    <x v="180"/>
    <s v="Customer 064"/>
    <x v="3"/>
    <x v="6"/>
    <x v="0"/>
    <s v="Kochi"/>
    <x v="1"/>
    <n v="8"/>
    <n v="180"/>
    <n v="0"/>
    <n v="1440"/>
    <n v="720"/>
    <n v="720"/>
    <n v="1440"/>
    <n v="720"/>
    <n v="0.5"/>
    <s v="Mar-2026"/>
    <x v="1"/>
    <s v="High"/>
  </r>
  <r>
    <s v="ORD-00122"/>
    <x v="181"/>
    <s v="Customer 023"/>
    <x v="3"/>
    <x v="15"/>
    <x v="3"/>
    <s v="Jaipur"/>
    <x v="2"/>
    <n v="8"/>
    <n v="450"/>
    <n v="0.05"/>
    <n v="3420"/>
    <n v="2000"/>
    <n v="1420"/>
    <n v="3420"/>
    <n v="1420"/>
    <n v="0.41520467836257308"/>
    <s v="Mar-2026"/>
    <x v="1"/>
    <s v="High"/>
  </r>
  <r>
    <s v="ORD-00250"/>
    <x v="181"/>
    <s v="Customer 050"/>
    <x v="2"/>
    <x v="4"/>
    <x v="2"/>
    <s v="Ahmedabad"/>
    <x v="3"/>
    <n v="5"/>
    <n v="2200"/>
    <n v="0"/>
    <n v="11000"/>
    <n v="7250"/>
    <n v="3750"/>
    <n v="11000"/>
    <n v="3750"/>
    <n v="0.34090909090909088"/>
    <s v="Mar-2026"/>
    <x v="1"/>
    <s v="High"/>
  </r>
  <r>
    <s v="ORD-00708"/>
    <x v="181"/>
    <s v="Customer 056"/>
    <x v="2"/>
    <x v="18"/>
    <x v="0"/>
    <s v="Bengaluru"/>
    <x v="1"/>
    <n v="1"/>
    <n v="350"/>
    <n v="0.05"/>
    <n v="332.5"/>
    <n v="170"/>
    <n v="162.5"/>
    <n v="332.5"/>
    <n v="162.5"/>
    <n v="0.48872180451127817"/>
    <s v="Mar-2026"/>
    <x v="1"/>
    <s v="High"/>
  </r>
  <r>
    <s v="ORD-00364"/>
    <x v="182"/>
    <s v="Customer 121"/>
    <x v="3"/>
    <x v="15"/>
    <x v="2"/>
    <s v="Pune"/>
    <x v="0"/>
    <n v="2"/>
    <n v="450"/>
    <n v="0"/>
    <n v="900"/>
    <n v="500"/>
    <n v="400"/>
    <n v="900"/>
    <n v="400"/>
    <n v="0.44444444444444442"/>
    <s v="Mar-2026"/>
    <x v="1"/>
    <s v="High"/>
  </r>
  <r>
    <s v="ORD-00376"/>
    <x v="182"/>
    <s v="Customer 113"/>
    <x v="3"/>
    <x v="15"/>
    <x v="0"/>
    <s v="Hyderabad"/>
    <x v="5"/>
    <n v="4"/>
    <n v="450"/>
    <n v="0.15"/>
    <n v="1530"/>
    <n v="1000"/>
    <n v="530"/>
    <n v="1530"/>
    <n v="530"/>
    <n v="0.34640522875816993"/>
    <s v="Mar-2026"/>
    <x v="1"/>
    <s v="High"/>
  </r>
  <r>
    <s v="ORD-00823"/>
    <x v="182"/>
    <s v="Customer 200"/>
    <x v="2"/>
    <x v="17"/>
    <x v="0"/>
    <s v="Kochi"/>
    <x v="3"/>
    <n v="2"/>
    <n v="650"/>
    <n v="0"/>
    <n v="1300"/>
    <n v="700"/>
    <n v="600"/>
    <n v="1300"/>
    <n v="600"/>
    <n v="0.46153846153846156"/>
    <s v="Mar-2026"/>
    <x v="1"/>
    <s v="High"/>
  </r>
  <r>
    <s v="ORD-00069"/>
    <x v="183"/>
    <s v="Customer 090"/>
    <x v="3"/>
    <x v="12"/>
    <x v="0"/>
    <s v="Chennai"/>
    <x v="3"/>
    <n v="6"/>
    <n v="150"/>
    <n v="0.05"/>
    <n v="855"/>
    <n v="450"/>
    <n v="405"/>
    <n v="855"/>
    <n v="405"/>
    <n v="0.47368421052631576"/>
    <s v="Mar-2026"/>
    <x v="1"/>
    <s v="High"/>
  </r>
  <r>
    <s v="ORD-00371"/>
    <x v="183"/>
    <s v="Customer 188"/>
    <x v="0"/>
    <x v="5"/>
    <x v="2"/>
    <s v="Nashik"/>
    <x v="2"/>
    <n v="4"/>
    <n v="650"/>
    <n v="0"/>
    <n v="2600"/>
    <n v="1520"/>
    <n v="1080"/>
    <n v="2600"/>
    <n v="1080"/>
    <n v="0.41538461538461541"/>
    <s v="Mar-2026"/>
    <x v="1"/>
    <s v="High"/>
  </r>
  <r>
    <s v="ORD-00468"/>
    <x v="183"/>
    <s v="Customer 105"/>
    <x v="1"/>
    <x v="10"/>
    <x v="1"/>
    <s v="Ranchi"/>
    <x v="4"/>
    <n v="8"/>
    <n v="950"/>
    <n v="0"/>
    <n v="7600"/>
    <n v="4480"/>
    <n v="3120"/>
    <n v="7600"/>
    <n v="3120"/>
    <n v="0.41052631578947368"/>
    <s v="Mar-2026"/>
    <x v="1"/>
    <s v="High"/>
  </r>
  <r>
    <s v="ORD-00385"/>
    <x v="184"/>
    <s v="Customer 192"/>
    <x v="3"/>
    <x v="13"/>
    <x v="1"/>
    <s v="Bhubaneswar"/>
    <x v="4"/>
    <n v="1"/>
    <n v="120"/>
    <n v="0.05"/>
    <n v="114"/>
    <n v="55"/>
    <n v="59"/>
    <n v="114"/>
    <n v="59"/>
    <n v="0.51754385964912286"/>
    <s v="Mar-2026"/>
    <x v="1"/>
    <s v="High"/>
  </r>
  <r>
    <s v="ORD-00581"/>
    <x v="184"/>
    <s v="Customer 061"/>
    <x v="3"/>
    <x v="13"/>
    <x v="2"/>
    <s v="Ahmedabad"/>
    <x v="5"/>
    <n v="1"/>
    <n v="120"/>
    <n v="0"/>
    <n v="120"/>
    <n v="55"/>
    <n v="65"/>
    <n v="120"/>
    <n v="65"/>
    <n v="0.54166666666666663"/>
    <s v="Mar-2026"/>
    <x v="1"/>
    <s v="High"/>
  </r>
  <r>
    <s v="ORD-00746"/>
    <x v="184"/>
    <s v="Customer 074"/>
    <x v="2"/>
    <x v="19"/>
    <x v="0"/>
    <s v="Kochi"/>
    <x v="4"/>
    <n v="6"/>
    <n v="900"/>
    <n v="0"/>
    <n v="5400"/>
    <n v="3120"/>
    <n v="2280"/>
    <n v="5400"/>
    <n v="2280"/>
    <n v="0.42222222222222222"/>
    <s v="Mar-2026"/>
    <x v="1"/>
    <s v="High"/>
  </r>
  <r>
    <s v="ORD-00218"/>
    <x v="185"/>
    <s v="Customer 165"/>
    <x v="1"/>
    <x v="1"/>
    <x v="1"/>
    <s v="Kolkata"/>
    <x v="4"/>
    <n v="5"/>
    <n v="600"/>
    <n v="0"/>
    <n v="3000"/>
    <n v="1650"/>
    <n v="1350"/>
    <n v="3000"/>
    <n v="1350"/>
    <n v="0.45"/>
    <s v="Mar-2026"/>
    <x v="1"/>
    <s v="High"/>
  </r>
  <r>
    <s v="ORD-00517"/>
    <x v="185"/>
    <s v="Customer 138"/>
    <x v="1"/>
    <x v="3"/>
    <x v="2"/>
    <s v="Ahmedabad"/>
    <x v="0"/>
    <n v="2"/>
    <n v="700"/>
    <n v="0"/>
    <n v="1400"/>
    <n v="800"/>
    <n v="600"/>
    <n v="1400"/>
    <n v="600"/>
    <n v="0.42857142857142855"/>
    <s v="Mar-2026"/>
    <x v="1"/>
    <s v="High"/>
  </r>
  <r>
    <s v="ORD-00744"/>
    <x v="185"/>
    <s v="Customer 056"/>
    <x v="3"/>
    <x v="15"/>
    <x v="0"/>
    <s v="Chennai"/>
    <x v="4"/>
    <n v="10"/>
    <n v="450"/>
    <n v="0.05"/>
    <n v="4275"/>
    <n v="2500"/>
    <n v="1775"/>
    <n v="4275"/>
    <n v="1775"/>
    <n v="0.41520467836257308"/>
    <s v="Mar-2026"/>
    <x v="1"/>
    <s v="High"/>
  </r>
  <r>
    <s v="ORD-00824"/>
    <x v="185"/>
    <s v="Customer 194"/>
    <x v="2"/>
    <x v="7"/>
    <x v="3"/>
    <s v="Chandigarh"/>
    <x v="3"/>
    <n v="4"/>
    <n v="500"/>
    <n v="0.1"/>
    <n v="1800"/>
    <n v="1120"/>
    <n v="680"/>
    <n v="1800"/>
    <n v="680"/>
    <n v="0.37777777777777777"/>
    <s v="Mar-2026"/>
    <x v="1"/>
    <s v="High"/>
  </r>
  <r>
    <s v="ORD-00987"/>
    <x v="185"/>
    <s v="Customer 040"/>
    <x v="2"/>
    <x v="17"/>
    <x v="1"/>
    <s v="Kolkata"/>
    <x v="3"/>
    <n v="1"/>
    <n v="650"/>
    <n v="0"/>
    <n v="650"/>
    <n v="350"/>
    <n v="300"/>
    <n v="650"/>
    <n v="300"/>
    <n v="0.46153846153846156"/>
    <s v="Mar-2026"/>
    <x v="1"/>
    <s v="High"/>
  </r>
  <r>
    <s v="ORD-00421"/>
    <x v="186"/>
    <s v="Customer 079"/>
    <x v="2"/>
    <x v="7"/>
    <x v="2"/>
    <s v="Mumbai"/>
    <x v="0"/>
    <n v="2"/>
    <n v="500"/>
    <n v="0.05"/>
    <n v="950"/>
    <n v="560"/>
    <n v="390"/>
    <n v="950"/>
    <n v="390"/>
    <n v="0.41052631578947368"/>
    <s v="Mar-2026"/>
    <x v="1"/>
    <s v="High"/>
  </r>
  <r>
    <s v="ORD-00558"/>
    <x v="186"/>
    <s v="Customer 081"/>
    <x v="1"/>
    <x v="10"/>
    <x v="0"/>
    <s v="Hyderabad"/>
    <x v="1"/>
    <n v="2"/>
    <n v="950"/>
    <n v="0"/>
    <n v="1900"/>
    <n v="1120"/>
    <n v="780"/>
    <n v="1900"/>
    <n v="780"/>
    <n v="0.41052631578947368"/>
    <s v="Mar-2026"/>
    <x v="1"/>
    <s v="High"/>
  </r>
  <r>
    <s v="ORD-00917"/>
    <x v="186"/>
    <s v="Customer 185"/>
    <x v="2"/>
    <x v="4"/>
    <x v="3"/>
    <s v="Delhi"/>
    <x v="1"/>
    <n v="2"/>
    <n v="2200"/>
    <n v="0.05"/>
    <n v="4180"/>
    <n v="2900"/>
    <n v="1280"/>
    <n v="4180"/>
    <n v="1280"/>
    <n v="0.30622009569377989"/>
    <s v="Mar-2026"/>
    <x v="1"/>
    <s v="High"/>
  </r>
  <r>
    <s v="ORD-00007"/>
    <x v="187"/>
    <s v="Customer 081"/>
    <x v="1"/>
    <x v="1"/>
    <x v="0"/>
    <s v="Kochi"/>
    <x v="0"/>
    <n v="8"/>
    <n v="600"/>
    <n v="0"/>
    <n v="4800"/>
    <n v="2640"/>
    <n v="2160"/>
    <n v="4800"/>
    <n v="2160"/>
    <n v="0.45"/>
    <s v="Mar-2026"/>
    <x v="1"/>
    <s v="High"/>
  </r>
  <r>
    <s v="ORD-00063"/>
    <x v="187"/>
    <s v="Customer 128"/>
    <x v="0"/>
    <x v="5"/>
    <x v="0"/>
    <s v="Kochi"/>
    <x v="0"/>
    <n v="9"/>
    <n v="650"/>
    <n v="0"/>
    <n v="5850"/>
    <n v="3420"/>
    <n v="2430"/>
    <n v="5850"/>
    <n v="2430"/>
    <n v="0.41538461538461541"/>
    <s v="Mar-2026"/>
    <x v="1"/>
    <s v="High"/>
  </r>
  <r>
    <s v="ORD-00262"/>
    <x v="187"/>
    <s v="Customer 020"/>
    <x v="0"/>
    <x v="2"/>
    <x v="0"/>
    <s v="Hyderabad"/>
    <x v="2"/>
    <n v="2"/>
    <n v="1500"/>
    <n v="0"/>
    <n v="3000"/>
    <n v="1800"/>
    <n v="1200"/>
    <n v="3000"/>
    <n v="1200"/>
    <n v="0.4"/>
    <s v="Mar-2026"/>
    <x v="1"/>
    <s v="High"/>
  </r>
  <r>
    <s v="ORD-00942"/>
    <x v="187"/>
    <s v="Customer 067"/>
    <x v="0"/>
    <x v="5"/>
    <x v="0"/>
    <s v="Chennai"/>
    <x v="0"/>
    <n v="2"/>
    <n v="650"/>
    <n v="0.1"/>
    <n v="1170"/>
    <n v="760"/>
    <n v="410"/>
    <n v="1170"/>
    <n v="410"/>
    <n v="0.3504273504273504"/>
    <s v="Mar-2026"/>
    <x v="1"/>
    <s v="High"/>
  </r>
  <r>
    <s v="ORD-00954"/>
    <x v="187"/>
    <s v="Customer 161"/>
    <x v="0"/>
    <x v="8"/>
    <x v="0"/>
    <s v="Chennai"/>
    <x v="2"/>
    <n v="5"/>
    <n v="2200"/>
    <n v="0.05"/>
    <n v="10450"/>
    <n v="7000"/>
    <n v="3450"/>
    <n v="10450"/>
    <n v="3450"/>
    <n v="0.33014354066985646"/>
    <s v="Mar-2026"/>
    <x v="1"/>
    <s v="High"/>
  </r>
  <r>
    <s v="ORD-00489"/>
    <x v="188"/>
    <s v="Customer 129"/>
    <x v="3"/>
    <x v="14"/>
    <x v="0"/>
    <s v="Hyderabad"/>
    <x v="3"/>
    <n v="8"/>
    <n v="280"/>
    <n v="0.1"/>
    <n v="2016"/>
    <n v="1200"/>
    <n v="816"/>
    <n v="2016"/>
    <n v="816"/>
    <n v="0.40476190476190477"/>
    <s v="Mar-2026"/>
    <x v="1"/>
    <s v="High"/>
  </r>
  <r>
    <s v="ORD-00528"/>
    <x v="188"/>
    <s v="Customer 186"/>
    <x v="0"/>
    <x v="16"/>
    <x v="2"/>
    <s v="Ahmedabad"/>
    <x v="3"/>
    <n v="4"/>
    <n v="1200"/>
    <n v="0"/>
    <n v="4800"/>
    <n v="2880"/>
    <n v="1920"/>
    <n v="4800"/>
    <n v="1920"/>
    <n v="0.4"/>
    <s v="Mar-2026"/>
    <x v="1"/>
    <s v="High"/>
  </r>
  <r>
    <s v="ORD-00536"/>
    <x v="188"/>
    <s v="Customer 012"/>
    <x v="0"/>
    <x v="16"/>
    <x v="1"/>
    <s v="Kolkata"/>
    <x v="1"/>
    <n v="7"/>
    <n v="1200"/>
    <n v="0"/>
    <n v="8400"/>
    <n v="5040"/>
    <n v="3360"/>
    <n v="8400"/>
    <n v="3360"/>
    <n v="0.4"/>
    <s v="Mar-2026"/>
    <x v="1"/>
    <s v="High"/>
  </r>
  <r>
    <s v="ORD-00572"/>
    <x v="189"/>
    <s v="Customer 114"/>
    <x v="2"/>
    <x v="17"/>
    <x v="3"/>
    <s v="Chandigarh"/>
    <x v="0"/>
    <n v="8"/>
    <n v="650"/>
    <n v="0.05"/>
    <n v="4940"/>
    <n v="2800"/>
    <n v="2140"/>
    <n v="4940"/>
    <n v="2140"/>
    <n v="0.4331983805668016"/>
    <s v="Mar-2026"/>
    <x v="1"/>
    <s v="High"/>
  </r>
  <r>
    <s v="ORD-00594"/>
    <x v="189"/>
    <s v="Customer 144"/>
    <x v="3"/>
    <x v="14"/>
    <x v="1"/>
    <s v="Patna"/>
    <x v="1"/>
    <n v="4"/>
    <n v="280"/>
    <n v="0.05"/>
    <n v="1064"/>
    <n v="600"/>
    <n v="464"/>
    <n v="1064"/>
    <n v="464"/>
    <n v="0.43609022556390975"/>
    <s v="Mar-2026"/>
    <x v="1"/>
    <s v="High"/>
  </r>
  <r>
    <s v="ORD-00143"/>
    <x v="190"/>
    <s v="Customer 114"/>
    <x v="0"/>
    <x v="16"/>
    <x v="3"/>
    <s v="Chandigarh"/>
    <x v="3"/>
    <n v="7"/>
    <n v="1200"/>
    <n v="0.1"/>
    <n v="7560"/>
    <n v="5040"/>
    <n v="2520"/>
    <n v="7560"/>
    <n v="2520"/>
    <n v="0.33333333333333331"/>
    <s v="Mar-2026"/>
    <x v="1"/>
    <s v="High"/>
  </r>
  <r>
    <s v="ORD-00716"/>
    <x v="190"/>
    <s v="Customer 101"/>
    <x v="0"/>
    <x v="2"/>
    <x v="2"/>
    <s v="Pune"/>
    <x v="1"/>
    <n v="8"/>
    <n v="1500"/>
    <n v="0"/>
    <n v="12000"/>
    <n v="7200"/>
    <n v="4800"/>
    <n v="12000"/>
    <n v="4800"/>
    <n v="0.4"/>
    <s v="Mar-2026"/>
    <x v="1"/>
    <s v="High"/>
  </r>
  <r>
    <s v="ORD-00409"/>
    <x v="191"/>
    <s v="Customer 141"/>
    <x v="1"/>
    <x v="3"/>
    <x v="1"/>
    <s v="Kolkata"/>
    <x v="0"/>
    <n v="7"/>
    <n v="700"/>
    <n v="0.1"/>
    <n v="4410"/>
    <n v="2800"/>
    <n v="1610"/>
    <n v="4410"/>
    <n v="1610"/>
    <n v="0.36507936507936506"/>
    <s v="Mar-2026"/>
    <x v="1"/>
    <s v="High"/>
  </r>
  <r>
    <s v="ORD-00664"/>
    <x v="191"/>
    <s v="Customer 196"/>
    <x v="3"/>
    <x v="14"/>
    <x v="3"/>
    <s v="Delhi"/>
    <x v="4"/>
    <n v="10"/>
    <n v="280"/>
    <n v="0"/>
    <n v="2800"/>
    <n v="1500"/>
    <n v="1300"/>
    <n v="2800"/>
    <n v="1300"/>
    <n v="0.4642857142857143"/>
    <s v="Mar-2026"/>
    <x v="1"/>
    <s v="High"/>
  </r>
  <r>
    <s v="ORD-00882"/>
    <x v="191"/>
    <s v="Customer 186"/>
    <x v="2"/>
    <x v="17"/>
    <x v="3"/>
    <s v="Jaipur"/>
    <x v="0"/>
    <n v="6"/>
    <n v="650"/>
    <n v="0"/>
    <n v="3900"/>
    <n v="2100"/>
    <n v="1800"/>
    <n v="3900"/>
    <n v="1800"/>
    <n v="0.46153846153846156"/>
    <s v="Mar-2026"/>
    <x v="1"/>
    <s v="High"/>
  </r>
  <r>
    <s v="ORD-00281"/>
    <x v="192"/>
    <s v="Customer 135"/>
    <x v="1"/>
    <x v="9"/>
    <x v="0"/>
    <s v="Hyderabad"/>
    <x v="3"/>
    <n v="4"/>
    <n v="350"/>
    <n v="0"/>
    <n v="1400"/>
    <n v="720"/>
    <n v="680"/>
    <n v="1400"/>
    <n v="680"/>
    <n v="0.48571428571428571"/>
    <s v="Mar-2026"/>
    <x v="1"/>
    <s v="High"/>
  </r>
  <r>
    <s v="ORD-00301"/>
    <x v="192"/>
    <s v="Customer 150"/>
    <x v="1"/>
    <x v="3"/>
    <x v="0"/>
    <s v="Kochi"/>
    <x v="5"/>
    <n v="3"/>
    <n v="700"/>
    <n v="0.05"/>
    <n v="1995"/>
    <n v="1200"/>
    <n v="795"/>
    <n v="1995"/>
    <n v="795"/>
    <n v="0.39849624060150374"/>
    <s v="Mar-2026"/>
    <x v="1"/>
    <s v="High"/>
  </r>
  <r>
    <s v="ORD-00407"/>
    <x v="192"/>
    <s v="Customer 140"/>
    <x v="1"/>
    <x v="11"/>
    <x v="3"/>
    <s v="Delhi"/>
    <x v="5"/>
    <n v="5"/>
    <n v="550"/>
    <n v="0.05"/>
    <n v="2612.5"/>
    <n v="1500"/>
    <n v="1112.5"/>
    <n v="2612.5"/>
    <n v="1112.5"/>
    <n v="0.42583732057416268"/>
    <s v="Mar-2026"/>
    <x v="1"/>
    <s v="High"/>
  </r>
  <r>
    <s v="ORD-00530"/>
    <x v="192"/>
    <s v="Customer 087"/>
    <x v="1"/>
    <x v="3"/>
    <x v="3"/>
    <s v="Jaipur"/>
    <x v="3"/>
    <n v="9"/>
    <n v="700"/>
    <n v="0"/>
    <n v="6300"/>
    <n v="3600"/>
    <n v="2700"/>
    <n v="6300"/>
    <n v="2700"/>
    <n v="0.42857142857142855"/>
    <s v="Mar-2026"/>
    <x v="1"/>
    <s v="High"/>
  </r>
  <r>
    <s v="ORD-00831"/>
    <x v="192"/>
    <s v="Customer 021"/>
    <x v="0"/>
    <x v="2"/>
    <x v="1"/>
    <s v="Bhubaneswar"/>
    <x v="1"/>
    <n v="9"/>
    <n v="1500"/>
    <n v="0"/>
    <n v="13500"/>
    <n v="8100"/>
    <n v="5400"/>
    <n v="13500"/>
    <n v="5400"/>
    <n v="0.4"/>
    <s v="Mar-2026"/>
    <x v="1"/>
    <s v="High"/>
  </r>
  <r>
    <s v="ORD-00750"/>
    <x v="193"/>
    <s v="Customer 101"/>
    <x v="2"/>
    <x v="17"/>
    <x v="2"/>
    <s v="Mumbai"/>
    <x v="5"/>
    <n v="2"/>
    <n v="650"/>
    <n v="0.05"/>
    <n v="1235"/>
    <n v="700"/>
    <n v="535"/>
    <n v="1235"/>
    <n v="535"/>
    <n v="0.4331983805668016"/>
    <s v="Mar-2026"/>
    <x v="1"/>
    <s v="High"/>
  </r>
  <r>
    <s v="ORD-00273"/>
    <x v="194"/>
    <s v="Customer 181"/>
    <x v="1"/>
    <x v="9"/>
    <x v="1"/>
    <s v="Patna"/>
    <x v="2"/>
    <n v="5"/>
    <n v="350"/>
    <n v="0"/>
    <n v="1750"/>
    <n v="900"/>
    <n v="850"/>
    <n v="1750"/>
    <n v="850"/>
    <n v="0.48571428571428571"/>
    <s v="Apr-2026"/>
    <x v="1"/>
    <s v="High"/>
  </r>
  <r>
    <s v="ORD-00287"/>
    <x v="194"/>
    <s v="Customer 172"/>
    <x v="3"/>
    <x v="6"/>
    <x v="3"/>
    <s v="Jaipur"/>
    <x v="3"/>
    <n v="4"/>
    <n v="180"/>
    <n v="0"/>
    <n v="720"/>
    <n v="360"/>
    <n v="360"/>
    <n v="720"/>
    <n v="360"/>
    <n v="0.5"/>
    <s v="Apr-2026"/>
    <x v="1"/>
    <s v="High"/>
  </r>
  <r>
    <s v="ORD-00290"/>
    <x v="194"/>
    <s v="Customer 180"/>
    <x v="2"/>
    <x v="4"/>
    <x v="2"/>
    <s v="Mumbai"/>
    <x v="3"/>
    <n v="2"/>
    <n v="2200"/>
    <n v="0"/>
    <n v="4400"/>
    <n v="2900"/>
    <n v="1500"/>
    <n v="4400"/>
    <n v="1500"/>
    <n v="0.34090909090909088"/>
    <s v="Apr-2026"/>
    <x v="1"/>
    <s v="High"/>
  </r>
  <r>
    <s v="ORD-00580"/>
    <x v="195"/>
    <s v="Customer 104"/>
    <x v="3"/>
    <x v="12"/>
    <x v="0"/>
    <s v="Hyderabad"/>
    <x v="3"/>
    <n v="5"/>
    <n v="150"/>
    <n v="0.1"/>
    <n v="675"/>
    <n v="375"/>
    <n v="300"/>
    <n v="675"/>
    <n v="300"/>
    <n v="0.44444444444444442"/>
    <s v="Apr-2026"/>
    <x v="1"/>
    <s v="High"/>
  </r>
  <r>
    <s v="ORD-00679"/>
    <x v="195"/>
    <s v="Customer 151"/>
    <x v="2"/>
    <x v="7"/>
    <x v="1"/>
    <s v="Ranchi"/>
    <x v="1"/>
    <n v="9"/>
    <n v="500"/>
    <n v="0.05"/>
    <n v="4275"/>
    <n v="2520"/>
    <n v="1755"/>
    <n v="4275"/>
    <n v="1755"/>
    <n v="0.41052631578947368"/>
    <s v="Apr-2026"/>
    <x v="1"/>
    <s v="High"/>
  </r>
  <r>
    <s v="ORD-00682"/>
    <x v="195"/>
    <s v="Customer 085"/>
    <x v="3"/>
    <x v="12"/>
    <x v="1"/>
    <s v="Patna"/>
    <x v="2"/>
    <n v="8"/>
    <n v="150"/>
    <n v="0"/>
    <n v="1200"/>
    <n v="600"/>
    <n v="600"/>
    <n v="1200"/>
    <n v="600"/>
    <n v="0.5"/>
    <s v="Apr-2026"/>
    <x v="1"/>
    <s v="High"/>
  </r>
  <r>
    <s v="ORD-00820"/>
    <x v="195"/>
    <s v="Customer 027"/>
    <x v="2"/>
    <x v="4"/>
    <x v="2"/>
    <s v="Nashik"/>
    <x v="3"/>
    <n v="8"/>
    <n v="2200"/>
    <n v="0"/>
    <n v="17600"/>
    <n v="11600"/>
    <n v="6000"/>
    <n v="17600"/>
    <n v="6000"/>
    <n v="0.34090909090909088"/>
    <s v="Apr-2026"/>
    <x v="1"/>
    <s v="High"/>
  </r>
  <r>
    <s v="ORD-00936"/>
    <x v="195"/>
    <s v="Customer 050"/>
    <x v="3"/>
    <x v="13"/>
    <x v="1"/>
    <s v="Bhubaneswar"/>
    <x v="1"/>
    <n v="4"/>
    <n v="120"/>
    <n v="0"/>
    <n v="480"/>
    <n v="220"/>
    <n v="260"/>
    <n v="480"/>
    <n v="260"/>
    <n v="0.54166666666666663"/>
    <s v="Apr-2026"/>
    <x v="1"/>
    <s v="High"/>
  </r>
  <r>
    <s v="ORD-00251"/>
    <x v="196"/>
    <s v="Customer 172"/>
    <x v="3"/>
    <x v="14"/>
    <x v="3"/>
    <s v="Lucknow"/>
    <x v="2"/>
    <n v="6"/>
    <n v="280"/>
    <n v="0.05"/>
    <n v="1596"/>
    <n v="900"/>
    <n v="696"/>
    <n v="1596"/>
    <n v="696"/>
    <n v="0.43609022556390975"/>
    <s v="Apr-2026"/>
    <x v="1"/>
    <s v="High"/>
  </r>
  <r>
    <s v="ORD-00515"/>
    <x v="196"/>
    <s v="Customer 131"/>
    <x v="3"/>
    <x v="12"/>
    <x v="2"/>
    <s v="Nashik"/>
    <x v="5"/>
    <n v="6"/>
    <n v="150"/>
    <n v="0.05"/>
    <n v="855"/>
    <n v="450"/>
    <n v="405"/>
    <n v="855"/>
    <n v="405"/>
    <n v="0.47368421052631576"/>
    <s v="Apr-2026"/>
    <x v="1"/>
    <s v="High"/>
  </r>
  <r>
    <s v="ORD-00705"/>
    <x v="196"/>
    <s v="Customer 134"/>
    <x v="2"/>
    <x v="18"/>
    <x v="3"/>
    <s v="Jaipur"/>
    <x v="5"/>
    <n v="4"/>
    <n v="350"/>
    <n v="0"/>
    <n v="1400"/>
    <n v="680"/>
    <n v="720"/>
    <n v="1400"/>
    <n v="720"/>
    <n v="0.51428571428571423"/>
    <s v="Apr-2026"/>
    <x v="1"/>
    <s v="High"/>
  </r>
  <r>
    <s v="ORD-00799"/>
    <x v="196"/>
    <s v="Customer 130"/>
    <x v="1"/>
    <x v="1"/>
    <x v="2"/>
    <s v="Nashik"/>
    <x v="4"/>
    <n v="9"/>
    <n v="600"/>
    <n v="0.05"/>
    <n v="5130"/>
    <n v="2970"/>
    <n v="2160"/>
    <n v="5130"/>
    <n v="2160"/>
    <n v="0.42105263157894735"/>
    <s v="Apr-2026"/>
    <x v="1"/>
    <s v="High"/>
  </r>
  <r>
    <s v="ORD-00014"/>
    <x v="197"/>
    <s v="Customer 037"/>
    <x v="1"/>
    <x v="9"/>
    <x v="2"/>
    <s v="Ahmedabad"/>
    <x v="3"/>
    <n v="7"/>
    <n v="350"/>
    <n v="0"/>
    <n v="2450"/>
    <n v="1260"/>
    <n v="1190"/>
    <n v="2450"/>
    <n v="1190"/>
    <n v="0.48571428571428571"/>
    <s v="Apr-2026"/>
    <x v="1"/>
    <s v="High"/>
  </r>
  <r>
    <s v="ORD-00912"/>
    <x v="197"/>
    <s v="Customer 159"/>
    <x v="2"/>
    <x v="7"/>
    <x v="2"/>
    <s v="Mumbai"/>
    <x v="4"/>
    <n v="5"/>
    <n v="500"/>
    <n v="0"/>
    <n v="2500"/>
    <n v="1400"/>
    <n v="1100"/>
    <n v="2500"/>
    <n v="1100"/>
    <n v="0.44"/>
    <s v="Apr-2026"/>
    <x v="1"/>
    <s v="High"/>
  </r>
  <r>
    <s v="ORD-00872"/>
    <x v="198"/>
    <s v="Customer 080"/>
    <x v="3"/>
    <x v="15"/>
    <x v="1"/>
    <s v="Bhubaneswar"/>
    <x v="2"/>
    <n v="6"/>
    <n v="450"/>
    <n v="0"/>
    <n v="2700"/>
    <n v="1500"/>
    <n v="1200"/>
    <n v="2700"/>
    <n v="1200"/>
    <n v="0.44444444444444442"/>
    <s v="Apr-2026"/>
    <x v="1"/>
    <s v="High"/>
  </r>
  <r>
    <s v="ORD-00315"/>
    <x v="199"/>
    <s v="Customer 165"/>
    <x v="1"/>
    <x v="9"/>
    <x v="2"/>
    <s v="Pune"/>
    <x v="4"/>
    <n v="5"/>
    <n v="350"/>
    <n v="0.05"/>
    <n v="1662.5"/>
    <n v="900"/>
    <n v="762.5"/>
    <n v="1662.5"/>
    <n v="762.5"/>
    <n v="0.45864661654135336"/>
    <s v="Apr-2026"/>
    <x v="1"/>
    <s v="High"/>
  </r>
  <r>
    <s v="ORD-00655"/>
    <x v="199"/>
    <s v="Customer 004"/>
    <x v="0"/>
    <x v="2"/>
    <x v="1"/>
    <s v="Bhubaneswar"/>
    <x v="4"/>
    <n v="4"/>
    <n v="1500"/>
    <n v="0.05"/>
    <n v="5700"/>
    <n v="3600"/>
    <n v="2100"/>
    <n v="5700"/>
    <n v="2100"/>
    <n v="0.36842105263157893"/>
    <s v="Apr-2026"/>
    <x v="1"/>
    <s v="High"/>
  </r>
  <r>
    <s v="ORD-00733"/>
    <x v="200"/>
    <s v="Customer 021"/>
    <x v="0"/>
    <x v="2"/>
    <x v="2"/>
    <s v="Pune"/>
    <x v="5"/>
    <n v="5"/>
    <n v="1500"/>
    <n v="0"/>
    <n v="7500"/>
    <n v="4500"/>
    <n v="3000"/>
    <n v="7500"/>
    <n v="3000"/>
    <n v="0.4"/>
    <s v="Apr-2026"/>
    <x v="1"/>
    <s v="High"/>
  </r>
  <r>
    <s v="ORD-00925"/>
    <x v="200"/>
    <s v="Customer 070"/>
    <x v="0"/>
    <x v="16"/>
    <x v="2"/>
    <s v="Mumbai"/>
    <x v="3"/>
    <n v="6"/>
    <n v="1200"/>
    <n v="0.05"/>
    <n v="6840"/>
    <n v="4320"/>
    <n v="2520"/>
    <n v="6840"/>
    <n v="2520"/>
    <n v="0.36842105263157893"/>
    <s v="Apr-2026"/>
    <x v="1"/>
    <s v="High"/>
  </r>
  <r>
    <s v="ORD-00961"/>
    <x v="200"/>
    <s v="Customer 092"/>
    <x v="1"/>
    <x v="3"/>
    <x v="0"/>
    <s v="Bengaluru"/>
    <x v="2"/>
    <n v="6"/>
    <n v="700"/>
    <n v="0.05"/>
    <n v="3990"/>
    <n v="2400"/>
    <n v="1590"/>
    <n v="3990"/>
    <n v="1590"/>
    <n v="0.39849624060150374"/>
    <s v="Apr-2026"/>
    <x v="1"/>
    <s v="High"/>
  </r>
  <r>
    <s v="ORD-00104"/>
    <x v="201"/>
    <s v="Customer 075"/>
    <x v="0"/>
    <x v="2"/>
    <x v="1"/>
    <s v="Ranchi"/>
    <x v="0"/>
    <n v="6"/>
    <n v="1500"/>
    <n v="0"/>
    <n v="9000"/>
    <n v="5400"/>
    <n v="3600"/>
    <n v="9000"/>
    <n v="3600"/>
    <n v="0.4"/>
    <s v="Apr-2026"/>
    <x v="1"/>
    <s v="High"/>
  </r>
  <r>
    <s v="ORD-00328"/>
    <x v="201"/>
    <s v="Customer 129"/>
    <x v="3"/>
    <x v="15"/>
    <x v="3"/>
    <s v="Lucknow"/>
    <x v="5"/>
    <n v="8"/>
    <n v="450"/>
    <n v="0.05"/>
    <n v="3420"/>
    <n v="2000"/>
    <n v="1420"/>
    <n v="3420"/>
    <n v="1420"/>
    <n v="0.41520467836257308"/>
    <s v="Apr-2026"/>
    <x v="1"/>
    <s v="High"/>
  </r>
  <r>
    <s v="ORD-00675"/>
    <x v="201"/>
    <s v="Customer 068"/>
    <x v="1"/>
    <x v="3"/>
    <x v="1"/>
    <s v="Patna"/>
    <x v="1"/>
    <n v="9"/>
    <n v="700"/>
    <n v="0"/>
    <n v="6300"/>
    <n v="3600"/>
    <n v="2700"/>
    <n v="6300"/>
    <n v="2700"/>
    <n v="0.42857142857142855"/>
    <s v="Apr-2026"/>
    <x v="1"/>
    <s v="High"/>
  </r>
  <r>
    <s v="ORD-00947"/>
    <x v="201"/>
    <s v="Customer 024"/>
    <x v="0"/>
    <x v="8"/>
    <x v="2"/>
    <s v="Pune"/>
    <x v="2"/>
    <n v="2"/>
    <n v="2200"/>
    <n v="0"/>
    <n v="4400"/>
    <n v="2800"/>
    <n v="1600"/>
    <n v="4400"/>
    <n v="1600"/>
    <n v="0.36363636363636365"/>
    <s v="Apr-2026"/>
    <x v="1"/>
    <s v="High"/>
  </r>
  <r>
    <s v="ORD-00444"/>
    <x v="202"/>
    <s v="Customer 136"/>
    <x v="1"/>
    <x v="9"/>
    <x v="1"/>
    <s v="Patna"/>
    <x v="4"/>
    <n v="2"/>
    <n v="350"/>
    <n v="0"/>
    <n v="700"/>
    <n v="360"/>
    <n v="340"/>
    <n v="700"/>
    <n v="340"/>
    <n v="0.48571428571428571"/>
    <s v="Apr-2026"/>
    <x v="1"/>
    <s v="High"/>
  </r>
  <r>
    <s v="ORD-00566"/>
    <x v="202"/>
    <s v="Customer 085"/>
    <x v="2"/>
    <x v="18"/>
    <x v="0"/>
    <s v="Chennai"/>
    <x v="1"/>
    <n v="1"/>
    <n v="350"/>
    <n v="0"/>
    <n v="350"/>
    <n v="170"/>
    <n v="180"/>
    <n v="350"/>
    <n v="180"/>
    <n v="0.51428571428571423"/>
    <s v="Apr-2026"/>
    <x v="1"/>
    <s v="High"/>
  </r>
  <r>
    <s v="ORD-00597"/>
    <x v="202"/>
    <s v="Customer 167"/>
    <x v="0"/>
    <x v="16"/>
    <x v="3"/>
    <s v="Jaipur"/>
    <x v="0"/>
    <n v="2"/>
    <n v="1200"/>
    <n v="0.05"/>
    <n v="2280"/>
    <n v="1440"/>
    <n v="840"/>
    <n v="2280"/>
    <n v="840"/>
    <n v="0.36842105263157893"/>
    <s v="Apr-2026"/>
    <x v="1"/>
    <s v="High"/>
  </r>
  <r>
    <s v="ORD-00085"/>
    <x v="203"/>
    <s v="Customer 057"/>
    <x v="3"/>
    <x v="15"/>
    <x v="0"/>
    <s v="Hyderabad"/>
    <x v="4"/>
    <n v="1"/>
    <n v="450"/>
    <n v="0.05"/>
    <n v="427.5"/>
    <n v="250"/>
    <n v="177.5"/>
    <n v="427.5"/>
    <n v="177.5"/>
    <n v="0.41520467836257308"/>
    <s v="Apr-2026"/>
    <x v="1"/>
    <s v="High"/>
  </r>
  <r>
    <s v="ORD-00139"/>
    <x v="204"/>
    <s v="Customer 055"/>
    <x v="0"/>
    <x v="0"/>
    <x v="1"/>
    <s v="Ranchi"/>
    <x v="2"/>
    <n v="4"/>
    <n v="1800"/>
    <n v="0.05"/>
    <n v="6840"/>
    <n v="4400"/>
    <n v="2440"/>
    <n v="6840"/>
    <n v="2440"/>
    <n v="0.35672514619883039"/>
    <s v="Apr-2026"/>
    <x v="1"/>
    <s v="High"/>
  </r>
  <r>
    <s v="ORD-00699"/>
    <x v="204"/>
    <s v="Customer 089"/>
    <x v="3"/>
    <x v="14"/>
    <x v="0"/>
    <s v="Bengaluru"/>
    <x v="2"/>
    <n v="10"/>
    <n v="280"/>
    <n v="0.1"/>
    <n v="2520"/>
    <n v="1500"/>
    <n v="1020"/>
    <n v="2520"/>
    <n v="1020"/>
    <n v="0.40476190476190477"/>
    <s v="Apr-2026"/>
    <x v="1"/>
    <s v="High"/>
  </r>
  <r>
    <s v="ORD-00849"/>
    <x v="204"/>
    <s v="Customer 102"/>
    <x v="1"/>
    <x v="9"/>
    <x v="0"/>
    <s v="Chennai"/>
    <x v="1"/>
    <n v="1"/>
    <n v="350"/>
    <n v="0.1"/>
    <n v="315"/>
    <n v="180"/>
    <n v="135"/>
    <n v="315"/>
    <n v="135"/>
    <n v="0.42857142857142855"/>
    <s v="Apr-2026"/>
    <x v="1"/>
    <s v="High"/>
  </r>
  <r>
    <s v="ORD-00418"/>
    <x v="205"/>
    <s v="Customer 153"/>
    <x v="3"/>
    <x v="6"/>
    <x v="3"/>
    <s v="Delhi"/>
    <x v="4"/>
    <n v="6"/>
    <n v="180"/>
    <n v="0"/>
    <n v="1080"/>
    <n v="540"/>
    <n v="540"/>
    <n v="1080"/>
    <n v="540"/>
    <n v="0.5"/>
    <s v="Apr-2026"/>
    <x v="1"/>
    <s v="High"/>
  </r>
  <r>
    <s v="ORD-00971"/>
    <x v="205"/>
    <s v="Customer 112"/>
    <x v="2"/>
    <x v="19"/>
    <x v="1"/>
    <s v="Bhubaneswar"/>
    <x v="1"/>
    <n v="5"/>
    <n v="900"/>
    <n v="0"/>
    <n v="4500"/>
    <n v="2600"/>
    <n v="1900"/>
    <n v="4500"/>
    <n v="1900"/>
    <n v="0.42222222222222222"/>
    <s v="Apr-2026"/>
    <x v="1"/>
    <s v="High"/>
  </r>
  <r>
    <s v="ORD-00387"/>
    <x v="206"/>
    <s v="Customer 096"/>
    <x v="3"/>
    <x v="6"/>
    <x v="1"/>
    <s v="Ranchi"/>
    <x v="3"/>
    <n v="1"/>
    <n v="180"/>
    <n v="0.05"/>
    <n v="171"/>
    <n v="90"/>
    <n v="81"/>
    <n v="171"/>
    <n v="81"/>
    <n v="0.47368421052631576"/>
    <s v="Apr-2026"/>
    <x v="1"/>
    <s v="High"/>
  </r>
  <r>
    <s v="ORD-00997"/>
    <x v="206"/>
    <s v="Customer 127"/>
    <x v="2"/>
    <x v="7"/>
    <x v="2"/>
    <s v="Ahmedabad"/>
    <x v="4"/>
    <n v="7"/>
    <n v="500"/>
    <n v="0.15"/>
    <n v="2975"/>
    <n v="1960"/>
    <n v="1015"/>
    <n v="2975"/>
    <n v="1015"/>
    <n v="0.3411764705882353"/>
    <s v="Apr-2026"/>
    <x v="1"/>
    <s v="High"/>
  </r>
  <r>
    <s v="ORD-00188"/>
    <x v="207"/>
    <s v="Customer 029"/>
    <x v="2"/>
    <x v="18"/>
    <x v="0"/>
    <s v="Hyderabad"/>
    <x v="0"/>
    <n v="7"/>
    <n v="350"/>
    <n v="0"/>
    <n v="2450"/>
    <n v="1190"/>
    <n v="1260"/>
    <n v="2450"/>
    <n v="1260"/>
    <n v="0.51428571428571423"/>
    <s v="Apr-2026"/>
    <x v="1"/>
    <s v="High"/>
  </r>
  <r>
    <s v="ORD-00627"/>
    <x v="207"/>
    <s v="Customer 176"/>
    <x v="3"/>
    <x v="12"/>
    <x v="3"/>
    <s v="Delhi"/>
    <x v="0"/>
    <n v="10"/>
    <n v="150"/>
    <n v="0"/>
    <n v="1500"/>
    <n v="750"/>
    <n v="750"/>
    <n v="1500"/>
    <n v="750"/>
    <n v="0.5"/>
    <s v="Apr-2026"/>
    <x v="1"/>
    <s v="High"/>
  </r>
  <r>
    <s v="ORD-00791"/>
    <x v="207"/>
    <s v="Customer 077"/>
    <x v="1"/>
    <x v="1"/>
    <x v="1"/>
    <s v="Patna"/>
    <x v="2"/>
    <n v="5"/>
    <n v="600"/>
    <n v="0.15"/>
    <n v="2550"/>
    <n v="1650"/>
    <n v="900"/>
    <n v="2550"/>
    <n v="900"/>
    <n v="0.35294117647058826"/>
    <s v="Apr-2026"/>
    <x v="1"/>
    <s v="High"/>
  </r>
  <r>
    <s v="ORD-00930"/>
    <x v="207"/>
    <s v="Customer 175"/>
    <x v="3"/>
    <x v="6"/>
    <x v="0"/>
    <s v="Bengaluru"/>
    <x v="5"/>
    <n v="5"/>
    <n v="180"/>
    <n v="0"/>
    <n v="900"/>
    <n v="450"/>
    <n v="450"/>
    <n v="900"/>
    <n v="450"/>
    <n v="0.5"/>
    <s v="Apr-2026"/>
    <x v="1"/>
    <s v="High"/>
  </r>
  <r>
    <s v="ORD-00173"/>
    <x v="208"/>
    <s v="Customer 013"/>
    <x v="3"/>
    <x v="13"/>
    <x v="3"/>
    <s v="Delhi"/>
    <x v="5"/>
    <n v="8"/>
    <n v="120"/>
    <n v="0.1"/>
    <n v="864"/>
    <n v="440"/>
    <n v="424"/>
    <n v="864"/>
    <n v="424"/>
    <n v="0.49074074074074076"/>
    <s v="Apr-2026"/>
    <x v="1"/>
    <s v="High"/>
  </r>
  <r>
    <s v="ORD-00324"/>
    <x v="208"/>
    <s v="Customer 006"/>
    <x v="0"/>
    <x v="0"/>
    <x v="1"/>
    <s v="Ranchi"/>
    <x v="0"/>
    <n v="1"/>
    <n v="1800"/>
    <n v="0"/>
    <n v="1800"/>
    <n v="1100"/>
    <n v="700"/>
    <n v="1800"/>
    <n v="700"/>
    <n v="0.3888888888888889"/>
    <s v="Apr-2026"/>
    <x v="1"/>
    <s v="High"/>
  </r>
  <r>
    <s v="ORD-00933"/>
    <x v="208"/>
    <s v="Customer 064"/>
    <x v="2"/>
    <x v="17"/>
    <x v="3"/>
    <s v="Jaipur"/>
    <x v="0"/>
    <n v="5"/>
    <n v="650"/>
    <n v="0.05"/>
    <n v="3087.5"/>
    <n v="1750"/>
    <n v="1337.5"/>
    <n v="3087.5"/>
    <n v="1337.5"/>
    <n v="0.4331983805668016"/>
    <s v="Apr-2026"/>
    <x v="1"/>
    <s v="High"/>
  </r>
  <r>
    <s v="ORD-00073"/>
    <x v="209"/>
    <s v="Customer 164"/>
    <x v="0"/>
    <x v="2"/>
    <x v="1"/>
    <s v="Bhubaneswar"/>
    <x v="3"/>
    <n v="5"/>
    <n v="1500"/>
    <n v="0.15"/>
    <n v="6375"/>
    <n v="4500"/>
    <n v="1875"/>
    <n v="6375"/>
    <n v="1875"/>
    <n v="0.29411764705882354"/>
    <s v="Apr-2026"/>
    <x v="1"/>
    <s v="Medium"/>
  </r>
  <r>
    <s v="ORD-00599"/>
    <x v="209"/>
    <s v="Customer 006"/>
    <x v="2"/>
    <x v="17"/>
    <x v="3"/>
    <s v="Lucknow"/>
    <x v="3"/>
    <n v="8"/>
    <n v="650"/>
    <n v="0.05"/>
    <n v="4940"/>
    <n v="2800"/>
    <n v="2140"/>
    <n v="4940"/>
    <n v="2140"/>
    <n v="0.4331983805668016"/>
    <s v="Apr-2026"/>
    <x v="1"/>
    <s v="High"/>
  </r>
  <r>
    <s v="ORD-00778"/>
    <x v="209"/>
    <s v="Customer 084"/>
    <x v="1"/>
    <x v="11"/>
    <x v="2"/>
    <s v="Pune"/>
    <x v="3"/>
    <n v="2"/>
    <n v="550"/>
    <n v="0"/>
    <n v="1100"/>
    <n v="600"/>
    <n v="500"/>
    <n v="1100"/>
    <n v="500"/>
    <n v="0.45454545454545453"/>
    <s v="Apr-2026"/>
    <x v="1"/>
    <s v="High"/>
  </r>
  <r>
    <s v="ORD-00524"/>
    <x v="210"/>
    <s v="Customer 146"/>
    <x v="2"/>
    <x v="18"/>
    <x v="1"/>
    <s v="Ranchi"/>
    <x v="2"/>
    <n v="7"/>
    <n v="350"/>
    <n v="0.15"/>
    <n v="2082.5"/>
    <n v="1190"/>
    <n v="892.5"/>
    <n v="2082.5"/>
    <n v="892.5"/>
    <n v="0.42857142857142855"/>
    <s v="Apr-2026"/>
    <x v="1"/>
    <s v="High"/>
  </r>
  <r>
    <s v="ORD-00256"/>
    <x v="211"/>
    <s v="Customer 032"/>
    <x v="2"/>
    <x v="7"/>
    <x v="1"/>
    <s v="Bhubaneswar"/>
    <x v="4"/>
    <n v="6"/>
    <n v="500"/>
    <n v="0"/>
    <n v="3000"/>
    <n v="1680"/>
    <n v="1320"/>
    <n v="3000"/>
    <n v="1320"/>
    <n v="0.44"/>
    <s v="Apr-2026"/>
    <x v="1"/>
    <s v="High"/>
  </r>
  <r>
    <s v="ORD-00807"/>
    <x v="211"/>
    <s v="Customer 078"/>
    <x v="2"/>
    <x v="18"/>
    <x v="2"/>
    <s v="Ahmedabad"/>
    <x v="5"/>
    <n v="1"/>
    <n v="350"/>
    <n v="0.05"/>
    <n v="332.5"/>
    <n v="170"/>
    <n v="162.5"/>
    <n v="332.5"/>
    <n v="162.5"/>
    <n v="0.48872180451127817"/>
    <s v="Apr-2026"/>
    <x v="1"/>
    <s v="High"/>
  </r>
  <r>
    <s v="ORD-00886"/>
    <x v="211"/>
    <s v="Customer 044"/>
    <x v="3"/>
    <x v="15"/>
    <x v="3"/>
    <s v="Chandigarh"/>
    <x v="3"/>
    <n v="9"/>
    <n v="450"/>
    <n v="0.05"/>
    <n v="3847.5"/>
    <n v="2250"/>
    <n v="1597.5"/>
    <n v="3847.5"/>
    <n v="1597.5"/>
    <n v="0.41520467836257308"/>
    <s v="Apr-2026"/>
    <x v="1"/>
    <s v="High"/>
  </r>
  <r>
    <s v="ORD-00322"/>
    <x v="212"/>
    <s v="Customer 079"/>
    <x v="0"/>
    <x v="8"/>
    <x v="3"/>
    <s v="Chandigarh"/>
    <x v="1"/>
    <n v="6"/>
    <n v="2200"/>
    <n v="0"/>
    <n v="13200"/>
    <n v="8400"/>
    <n v="4800"/>
    <n v="13200"/>
    <n v="4800"/>
    <n v="0.36363636363636365"/>
    <s v="Apr-2026"/>
    <x v="1"/>
    <s v="High"/>
  </r>
  <r>
    <s v="ORD-00350"/>
    <x v="212"/>
    <s v="Customer 021"/>
    <x v="3"/>
    <x v="6"/>
    <x v="0"/>
    <s v="Hyderabad"/>
    <x v="3"/>
    <n v="4"/>
    <n v="180"/>
    <n v="0"/>
    <n v="720"/>
    <n v="360"/>
    <n v="360"/>
    <n v="720"/>
    <n v="360"/>
    <n v="0.5"/>
    <s v="Apr-2026"/>
    <x v="1"/>
    <s v="High"/>
  </r>
  <r>
    <s v="ORD-00022"/>
    <x v="213"/>
    <s v="Customer 180"/>
    <x v="1"/>
    <x v="9"/>
    <x v="1"/>
    <s v="Ranchi"/>
    <x v="4"/>
    <n v="6"/>
    <n v="350"/>
    <n v="0"/>
    <n v="2100"/>
    <n v="1080"/>
    <n v="1020"/>
    <n v="2100"/>
    <n v="1020"/>
    <n v="0.48571428571428571"/>
    <s v="Apr-2026"/>
    <x v="1"/>
    <s v="High"/>
  </r>
  <r>
    <s v="ORD-00038"/>
    <x v="213"/>
    <s v="Customer 037"/>
    <x v="2"/>
    <x v="7"/>
    <x v="3"/>
    <s v="Delhi"/>
    <x v="5"/>
    <n v="6"/>
    <n v="500"/>
    <n v="0"/>
    <n v="3000"/>
    <n v="1680"/>
    <n v="1320"/>
    <n v="3000"/>
    <n v="1320"/>
    <n v="0.44"/>
    <s v="Apr-2026"/>
    <x v="1"/>
    <s v="High"/>
  </r>
  <r>
    <s v="ORD-00567"/>
    <x v="213"/>
    <s v="Customer 177"/>
    <x v="3"/>
    <x v="14"/>
    <x v="2"/>
    <s v="Ahmedabad"/>
    <x v="3"/>
    <n v="3"/>
    <n v="280"/>
    <n v="0.05"/>
    <n v="798"/>
    <n v="450"/>
    <n v="348"/>
    <n v="798"/>
    <n v="348"/>
    <n v="0.43609022556390975"/>
    <s v="Apr-2026"/>
    <x v="1"/>
    <s v="High"/>
  </r>
  <r>
    <s v="ORD-00757"/>
    <x v="213"/>
    <s v="Customer 078"/>
    <x v="1"/>
    <x v="1"/>
    <x v="3"/>
    <s v="Chandigarh"/>
    <x v="3"/>
    <n v="4"/>
    <n v="600"/>
    <n v="0"/>
    <n v="2400"/>
    <n v="1320"/>
    <n v="1080"/>
    <n v="2400"/>
    <n v="1080"/>
    <n v="0.45"/>
    <s v="Apr-2026"/>
    <x v="1"/>
    <s v="High"/>
  </r>
  <r>
    <s v="ORD-00374"/>
    <x v="214"/>
    <s v="Customer 051"/>
    <x v="3"/>
    <x v="14"/>
    <x v="1"/>
    <s v="Bhubaneswar"/>
    <x v="2"/>
    <n v="6"/>
    <n v="280"/>
    <n v="0.1"/>
    <n v="1512"/>
    <n v="900"/>
    <n v="612"/>
    <n v="1512"/>
    <n v="612"/>
    <n v="0.40476190476190477"/>
    <s v="Apr-2026"/>
    <x v="1"/>
    <s v="High"/>
  </r>
  <r>
    <s v="ORD-00760"/>
    <x v="214"/>
    <s v="Customer 087"/>
    <x v="3"/>
    <x v="13"/>
    <x v="2"/>
    <s v="Ahmedabad"/>
    <x v="5"/>
    <n v="4"/>
    <n v="120"/>
    <n v="0"/>
    <n v="480"/>
    <n v="220"/>
    <n v="260"/>
    <n v="480"/>
    <n v="260"/>
    <n v="0.54166666666666663"/>
    <s v="Apr-2026"/>
    <x v="1"/>
    <s v="High"/>
  </r>
  <r>
    <s v="ORD-00662"/>
    <x v="215"/>
    <s v="Customer 190"/>
    <x v="1"/>
    <x v="11"/>
    <x v="3"/>
    <s v="Delhi"/>
    <x v="5"/>
    <n v="7"/>
    <n v="550"/>
    <n v="0"/>
    <n v="3850"/>
    <n v="2100"/>
    <n v="1750"/>
    <n v="3850"/>
    <n v="1750"/>
    <n v="0.45454545454545453"/>
    <s v="Apr-2026"/>
    <x v="1"/>
    <s v="High"/>
  </r>
  <r>
    <s v="ORD-00967"/>
    <x v="215"/>
    <s v="Customer 087"/>
    <x v="2"/>
    <x v="4"/>
    <x v="1"/>
    <s v="Patna"/>
    <x v="0"/>
    <n v="4"/>
    <n v="2200"/>
    <n v="0.05"/>
    <n v="8360"/>
    <n v="5800"/>
    <n v="2560"/>
    <n v="8360"/>
    <n v="2560"/>
    <n v="0.30622009569377989"/>
    <s v="Apr-2026"/>
    <x v="1"/>
    <s v="High"/>
  </r>
  <r>
    <s v="ORD-00190"/>
    <x v="216"/>
    <s v="Customer 184"/>
    <x v="1"/>
    <x v="1"/>
    <x v="3"/>
    <s v="Lucknow"/>
    <x v="0"/>
    <n v="3"/>
    <n v="600"/>
    <n v="0.15"/>
    <n v="1530"/>
    <n v="990"/>
    <n v="540"/>
    <n v="1530"/>
    <n v="540"/>
    <n v="0.35294117647058826"/>
    <s v="Apr-2026"/>
    <x v="1"/>
    <s v="High"/>
  </r>
  <r>
    <s v="ORD-00854"/>
    <x v="216"/>
    <s v="Customer 026"/>
    <x v="1"/>
    <x v="9"/>
    <x v="2"/>
    <s v="Mumbai"/>
    <x v="5"/>
    <n v="10"/>
    <n v="350"/>
    <n v="0.05"/>
    <n v="3325"/>
    <n v="1800"/>
    <n v="1525"/>
    <n v="3325"/>
    <n v="1525"/>
    <n v="0.45864661654135336"/>
    <s v="Apr-2026"/>
    <x v="1"/>
    <s v="High"/>
  </r>
  <r>
    <s v="ORD-00049"/>
    <x v="217"/>
    <s v="Customer 117"/>
    <x v="0"/>
    <x v="16"/>
    <x v="1"/>
    <s v="Bhubaneswar"/>
    <x v="4"/>
    <n v="6"/>
    <n v="1200"/>
    <n v="0.05"/>
    <n v="6840"/>
    <n v="4320"/>
    <n v="2520"/>
    <n v="6840"/>
    <n v="2520"/>
    <n v="0.36842105263157893"/>
    <s v="Apr-2026"/>
    <x v="1"/>
    <s v="High"/>
  </r>
  <r>
    <s v="ORD-00555"/>
    <x v="217"/>
    <s v="Customer 150"/>
    <x v="0"/>
    <x v="8"/>
    <x v="2"/>
    <s v="Pune"/>
    <x v="5"/>
    <n v="3"/>
    <n v="2200"/>
    <n v="0"/>
    <n v="6600"/>
    <n v="4200"/>
    <n v="2400"/>
    <n v="6600"/>
    <n v="2400"/>
    <n v="0.36363636363636365"/>
    <s v="Apr-2026"/>
    <x v="1"/>
    <s v="High"/>
  </r>
  <r>
    <s v="ORD-00788"/>
    <x v="217"/>
    <s v="Customer 168"/>
    <x v="1"/>
    <x v="10"/>
    <x v="2"/>
    <s v="Nashik"/>
    <x v="5"/>
    <n v="5"/>
    <n v="950"/>
    <n v="0.05"/>
    <n v="4512.5"/>
    <n v="2800"/>
    <n v="1712.5"/>
    <n v="4512.5"/>
    <n v="1712.5"/>
    <n v="0.37950138504155123"/>
    <s v="Apr-2026"/>
    <x v="1"/>
    <s v="High"/>
  </r>
  <r>
    <s v="ORD-00989"/>
    <x v="217"/>
    <s v="Customer 138"/>
    <x v="3"/>
    <x v="15"/>
    <x v="0"/>
    <s v="Kochi"/>
    <x v="1"/>
    <n v="1"/>
    <n v="450"/>
    <n v="0"/>
    <n v="450"/>
    <n v="250"/>
    <n v="200"/>
    <n v="450"/>
    <n v="200"/>
    <n v="0.44444444444444442"/>
    <s v="Apr-2026"/>
    <x v="1"/>
    <s v="High"/>
  </r>
  <r>
    <s v="ORD-00097"/>
    <x v="218"/>
    <s v="Customer 107"/>
    <x v="1"/>
    <x v="3"/>
    <x v="1"/>
    <s v="Patna"/>
    <x v="0"/>
    <n v="7"/>
    <n v="700"/>
    <n v="0.05"/>
    <n v="4655"/>
    <n v="2800"/>
    <n v="1855"/>
    <n v="4655"/>
    <n v="1855"/>
    <n v="0.39849624060150374"/>
    <s v="Apr-2026"/>
    <x v="1"/>
    <s v="High"/>
  </r>
  <r>
    <s v="ORD-00571"/>
    <x v="218"/>
    <s v="Customer 104"/>
    <x v="1"/>
    <x v="1"/>
    <x v="3"/>
    <s v="Lucknow"/>
    <x v="3"/>
    <n v="10"/>
    <n v="600"/>
    <n v="0"/>
    <n v="6000"/>
    <n v="3300"/>
    <n v="2700"/>
    <n v="6000"/>
    <n v="2700"/>
    <n v="0.45"/>
    <s v="Apr-2026"/>
    <x v="1"/>
    <s v="High"/>
  </r>
  <r>
    <s v="ORD-00362"/>
    <x v="219"/>
    <s v="Customer 156"/>
    <x v="1"/>
    <x v="11"/>
    <x v="0"/>
    <s v="Kochi"/>
    <x v="0"/>
    <n v="2"/>
    <n v="550"/>
    <n v="0"/>
    <n v="1100"/>
    <n v="600"/>
    <n v="500"/>
    <n v="1100"/>
    <n v="500"/>
    <n v="0.45454545454545453"/>
    <s v="Apr-2026"/>
    <x v="1"/>
    <s v="High"/>
  </r>
  <r>
    <s v="ORD-00508"/>
    <x v="219"/>
    <s v="Customer 185"/>
    <x v="2"/>
    <x v="17"/>
    <x v="1"/>
    <s v="Ranchi"/>
    <x v="0"/>
    <n v="6"/>
    <n v="650"/>
    <n v="0.05"/>
    <n v="3705"/>
    <n v="2100"/>
    <n v="1605"/>
    <n v="3705"/>
    <n v="1605"/>
    <n v="0.4331983805668016"/>
    <s v="Apr-2026"/>
    <x v="1"/>
    <s v="High"/>
  </r>
  <r>
    <s v="ORD-00304"/>
    <x v="220"/>
    <s v="Customer 047"/>
    <x v="1"/>
    <x v="10"/>
    <x v="2"/>
    <s v="Mumbai"/>
    <x v="3"/>
    <n v="6"/>
    <n v="950"/>
    <n v="0.05"/>
    <n v="5415"/>
    <n v="3360"/>
    <n v="2055"/>
    <n v="5415"/>
    <n v="2055"/>
    <n v="0.37950138504155123"/>
    <s v="Apr-2026"/>
    <x v="1"/>
    <s v="High"/>
  </r>
  <r>
    <s v="ORD-00247"/>
    <x v="221"/>
    <s v="Customer 024"/>
    <x v="1"/>
    <x v="9"/>
    <x v="0"/>
    <s v="Hyderabad"/>
    <x v="0"/>
    <n v="6"/>
    <n v="350"/>
    <n v="0"/>
    <n v="2100"/>
    <n v="1080"/>
    <n v="1020"/>
    <n v="2100"/>
    <n v="1020"/>
    <n v="0.48571428571428571"/>
    <s v="Apr-2026"/>
    <x v="1"/>
    <s v="High"/>
  </r>
  <r>
    <s v="ORD-00689"/>
    <x v="221"/>
    <s v="Customer 116"/>
    <x v="2"/>
    <x v="7"/>
    <x v="0"/>
    <s v="Bengaluru"/>
    <x v="5"/>
    <n v="8"/>
    <n v="500"/>
    <n v="0"/>
    <n v="4000"/>
    <n v="2240"/>
    <n v="1760"/>
    <n v="4000"/>
    <n v="1760"/>
    <n v="0.44"/>
    <s v="Apr-2026"/>
    <x v="1"/>
    <s v="High"/>
  </r>
  <r>
    <s v="ORD-00898"/>
    <x v="221"/>
    <s v="Customer 166"/>
    <x v="2"/>
    <x v="7"/>
    <x v="0"/>
    <s v="Bengaluru"/>
    <x v="2"/>
    <n v="10"/>
    <n v="500"/>
    <n v="0"/>
    <n v="5000"/>
    <n v="2800"/>
    <n v="2200"/>
    <n v="5000"/>
    <n v="2200"/>
    <n v="0.44"/>
    <s v="Apr-2026"/>
    <x v="1"/>
    <s v="High"/>
  </r>
  <r>
    <s v="ORD-00185"/>
    <x v="222"/>
    <s v="Customer 068"/>
    <x v="1"/>
    <x v="10"/>
    <x v="2"/>
    <s v="Pune"/>
    <x v="3"/>
    <n v="4"/>
    <n v="950"/>
    <n v="0"/>
    <n v="3800"/>
    <n v="2240"/>
    <n v="1560"/>
    <n v="3800"/>
    <n v="1560"/>
    <n v="0.41052631578947368"/>
    <s v="Apr-2026"/>
    <x v="1"/>
    <s v="High"/>
  </r>
  <r>
    <s v="ORD-00199"/>
    <x v="222"/>
    <s v="Customer 097"/>
    <x v="0"/>
    <x v="8"/>
    <x v="1"/>
    <s v="Kolkata"/>
    <x v="2"/>
    <n v="10"/>
    <n v="2200"/>
    <n v="0.1"/>
    <n v="19800"/>
    <n v="14000"/>
    <n v="5800"/>
    <n v="19800"/>
    <n v="5800"/>
    <n v="0.29292929292929293"/>
    <s v="Apr-2026"/>
    <x v="1"/>
    <s v="Medium"/>
  </r>
  <r>
    <s v="ORD-00221"/>
    <x v="222"/>
    <s v="Customer 043"/>
    <x v="0"/>
    <x v="0"/>
    <x v="3"/>
    <s v="Chandigarh"/>
    <x v="1"/>
    <n v="10"/>
    <n v="1800"/>
    <n v="0"/>
    <n v="18000"/>
    <n v="11000"/>
    <n v="7000"/>
    <n v="18000"/>
    <n v="7000"/>
    <n v="0.3888888888888889"/>
    <s v="Apr-2026"/>
    <x v="1"/>
    <s v="High"/>
  </r>
  <r>
    <s v="ORD-00590"/>
    <x v="222"/>
    <s v="Customer 146"/>
    <x v="1"/>
    <x v="10"/>
    <x v="3"/>
    <s v="Chandigarh"/>
    <x v="0"/>
    <n v="6"/>
    <n v="950"/>
    <n v="0"/>
    <n v="5700"/>
    <n v="3360"/>
    <n v="2340"/>
    <n v="5700"/>
    <n v="2340"/>
    <n v="0.41052631578947368"/>
    <s v="Apr-2026"/>
    <x v="1"/>
    <s v="High"/>
  </r>
  <r>
    <s v="ORD-00959"/>
    <x v="222"/>
    <s v="Customer 199"/>
    <x v="0"/>
    <x v="5"/>
    <x v="3"/>
    <s v="Jaipur"/>
    <x v="5"/>
    <n v="9"/>
    <n v="650"/>
    <n v="0"/>
    <n v="5850"/>
    <n v="3420"/>
    <n v="2430"/>
    <n v="5850"/>
    <n v="2430"/>
    <n v="0.41538461538461541"/>
    <s v="Apr-2026"/>
    <x v="1"/>
    <s v="High"/>
  </r>
  <r>
    <s v="ORD-00152"/>
    <x v="223"/>
    <s v="Customer 081"/>
    <x v="3"/>
    <x v="13"/>
    <x v="1"/>
    <s v="Patna"/>
    <x v="1"/>
    <n v="4"/>
    <n v="120"/>
    <n v="0"/>
    <n v="480"/>
    <n v="220"/>
    <n v="260"/>
    <n v="480"/>
    <n v="260"/>
    <n v="0.54166666666666663"/>
    <s v="May-2026"/>
    <x v="1"/>
    <s v="High"/>
  </r>
  <r>
    <s v="ORD-00165"/>
    <x v="224"/>
    <s v="Customer 185"/>
    <x v="0"/>
    <x v="8"/>
    <x v="2"/>
    <s v="Pune"/>
    <x v="0"/>
    <n v="1"/>
    <n v="2200"/>
    <n v="0"/>
    <n v="2200"/>
    <n v="1400"/>
    <n v="800"/>
    <n v="2200"/>
    <n v="800"/>
    <n v="0.36363636363636365"/>
    <s v="May-2026"/>
    <x v="1"/>
    <s v="High"/>
  </r>
  <r>
    <s v="ORD-00922"/>
    <x v="224"/>
    <s v="Customer 014"/>
    <x v="0"/>
    <x v="0"/>
    <x v="1"/>
    <s v="Bhubaneswar"/>
    <x v="4"/>
    <n v="2"/>
    <n v="1800"/>
    <n v="0.05"/>
    <n v="3420"/>
    <n v="2200"/>
    <n v="1220"/>
    <n v="3420"/>
    <n v="1220"/>
    <n v="0.35672514619883039"/>
    <s v="May-2026"/>
    <x v="1"/>
    <s v="High"/>
  </r>
  <r>
    <s v="ORD-00144"/>
    <x v="225"/>
    <s v="Customer 022"/>
    <x v="3"/>
    <x v="6"/>
    <x v="1"/>
    <s v="Bhubaneswar"/>
    <x v="3"/>
    <n v="9"/>
    <n v="180"/>
    <n v="0"/>
    <n v="1620"/>
    <n v="810"/>
    <n v="810"/>
    <n v="1620"/>
    <n v="810"/>
    <n v="0.5"/>
    <s v="May-2026"/>
    <x v="1"/>
    <s v="High"/>
  </r>
  <r>
    <s v="ORD-00151"/>
    <x v="225"/>
    <s v="Customer 150"/>
    <x v="1"/>
    <x v="3"/>
    <x v="3"/>
    <s v="Jaipur"/>
    <x v="5"/>
    <n v="7"/>
    <n v="700"/>
    <n v="0.05"/>
    <n v="4655"/>
    <n v="2800"/>
    <n v="1855"/>
    <n v="4655"/>
    <n v="1855"/>
    <n v="0.39849624060150374"/>
    <s v="May-2026"/>
    <x v="1"/>
    <s v="High"/>
  </r>
  <r>
    <s v="ORD-00272"/>
    <x v="225"/>
    <s v="Customer 079"/>
    <x v="3"/>
    <x v="14"/>
    <x v="3"/>
    <s v="Lucknow"/>
    <x v="5"/>
    <n v="2"/>
    <n v="280"/>
    <n v="0"/>
    <n v="560"/>
    <n v="300"/>
    <n v="260"/>
    <n v="560"/>
    <n v="260"/>
    <n v="0.4642857142857143"/>
    <s v="May-2026"/>
    <x v="1"/>
    <s v="High"/>
  </r>
  <r>
    <s v="ORD-00499"/>
    <x v="225"/>
    <s v="Customer 127"/>
    <x v="1"/>
    <x v="9"/>
    <x v="2"/>
    <s v="Pune"/>
    <x v="3"/>
    <n v="7"/>
    <n v="350"/>
    <n v="0"/>
    <n v="2450"/>
    <n v="1260"/>
    <n v="1190"/>
    <n v="2450"/>
    <n v="1190"/>
    <n v="0.48571428571428571"/>
    <s v="May-2026"/>
    <x v="1"/>
    <s v="High"/>
  </r>
  <r>
    <s v="ORD-00595"/>
    <x v="225"/>
    <s v="Customer 136"/>
    <x v="0"/>
    <x v="16"/>
    <x v="1"/>
    <s v="Ranchi"/>
    <x v="3"/>
    <n v="2"/>
    <n v="1200"/>
    <n v="0.05"/>
    <n v="2280"/>
    <n v="1440"/>
    <n v="840"/>
    <n v="2280"/>
    <n v="840"/>
    <n v="0.36842105263157893"/>
    <s v="May-2026"/>
    <x v="1"/>
    <s v="High"/>
  </r>
  <r>
    <s v="ORD-00625"/>
    <x v="225"/>
    <s v="Customer 022"/>
    <x v="0"/>
    <x v="2"/>
    <x v="1"/>
    <s v="Kolkata"/>
    <x v="4"/>
    <n v="6"/>
    <n v="1500"/>
    <n v="0"/>
    <n v="9000"/>
    <n v="5400"/>
    <n v="3600"/>
    <n v="9000"/>
    <n v="3600"/>
    <n v="0.4"/>
    <s v="May-2026"/>
    <x v="1"/>
    <s v="High"/>
  </r>
  <r>
    <s v="ORD-00918"/>
    <x v="225"/>
    <s v="Customer 161"/>
    <x v="2"/>
    <x v="7"/>
    <x v="1"/>
    <s v="Patna"/>
    <x v="2"/>
    <n v="5"/>
    <n v="500"/>
    <n v="0.05"/>
    <n v="2375"/>
    <n v="1400"/>
    <n v="975"/>
    <n v="2375"/>
    <n v="975"/>
    <n v="0.41052631578947368"/>
    <s v="May-2026"/>
    <x v="1"/>
    <s v="High"/>
  </r>
  <r>
    <s v="ORD-00103"/>
    <x v="226"/>
    <s v="Customer 131"/>
    <x v="0"/>
    <x v="8"/>
    <x v="3"/>
    <s v="Lucknow"/>
    <x v="3"/>
    <n v="8"/>
    <n v="2200"/>
    <n v="0.1"/>
    <n v="15840"/>
    <n v="11200"/>
    <n v="4640"/>
    <n v="15840"/>
    <n v="4640"/>
    <n v="0.29292929292929293"/>
    <s v="May-2026"/>
    <x v="1"/>
    <s v="Medium"/>
  </r>
  <r>
    <s v="ORD-00549"/>
    <x v="226"/>
    <s v="Customer 057"/>
    <x v="3"/>
    <x v="12"/>
    <x v="1"/>
    <s v="Ranchi"/>
    <x v="2"/>
    <n v="7"/>
    <n v="150"/>
    <n v="0"/>
    <n v="1050"/>
    <n v="525"/>
    <n v="525"/>
    <n v="1050"/>
    <n v="525"/>
    <n v="0.5"/>
    <s v="May-2026"/>
    <x v="1"/>
    <s v="High"/>
  </r>
  <r>
    <s v="ORD-00601"/>
    <x v="226"/>
    <s v="Customer 011"/>
    <x v="3"/>
    <x v="15"/>
    <x v="3"/>
    <s v="Delhi"/>
    <x v="5"/>
    <n v="4"/>
    <n v="450"/>
    <n v="0"/>
    <n v="1800"/>
    <n v="1000"/>
    <n v="800"/>
    <n v="1800"/>
    <n v="800"/>
    <n v="0.44444444444444442"/>
    <s v="May-2026"/>
    <x v="1"/>
    <s v="High"/>
  </r>
  <r>
    <s v="ORD-00903"/>
    <x v="226"/>
    <s v="Customer 176"/>
    <x v="3"/>
    <x v="15"/>
    <x v="0"/>
    <s v="Hyderabad"/>
    <x v="4"/>
    <n v="8"/>
    <n v="450"/>
    <n v="0.1"/>
    <n v="3240"/>
    <n v="2000"/>
    <n v="1240"/>
    <n v="3240"/>
    <n v="1240"/>
    <n v="0.38271604938271603"/>
    <s v="May-2026"/>
    <x v="1"/>
    <s v="High"/>
  </r>
  <r>
    <s v="ORD-00255"/>
    <x v="227"/>
    <s v="Customer 108"/>
    <x v="0"/>
    <x v="0"/>
    <x v="1"/>
    <s v="Bhubaneswar"/>
    <x v="4"/>
    <n v="5"/>
    <n v="1800"/>
    <n v="0.05"/>
    <n v="8550"/>
    <n v="5500"/>
    <n v="3050"/>
    <n v="8550"/>
    <n v="3050"/>
    <n v="0.35672514619883039"/>
    <s v="May-2026"/>
    <x v="1"/>
    <s v="High"/>
  </r>
  <r>
    <s v="ORD-00726"/>
    <x v="227"/>
    <s v="Customer 146"/>
    <x v="0"/>
    <x v="16"/>
    <x v="3"/>
    <s v="Jaipur"/>
    <x v="2"/>
    <n v="4"/>
    <n v="1200"/>
    <n v="0.15"/>
    <n v="4080"/>
    <n v="2880"/>
    <n v="1200"/>
    <n v="4080"/>
    <n v="1200"/>
    <n v="0.29411764705882354"/>
    <s v="May-2026"/>
    <x v="1"/>
    <s v="Medium"/>
  </r>
  <r>
    <s v="ORD-00059"/>
    <x v="228"/>
    <s v="Customer 164"/>
    <x v="3"/>
    <x v="15"/>
    <x v="2"/>
    <s v="Ahmedabad"/>
    <x v="2"/>
    <n v="4"/>
    <n v="450"/>
    <n v="0"/>
    <n v="1800"/>
    <n v="1000"/>
    <n v="800"/>
    <n v="1800"/>
    <n v="800"/>
    <n v="0.44444444444444442"/>
    <s v="May-2026"/>
    <x v="1"/>
    <s v="High"/>
  </r>
  <r>
    <s v="ORD-00053"/>
    <x v="229"/>
    <s v="Customer 147"/>
    <x v="1"/>
    <x v="10"/>
    <x v="1"/>
    <s v="Bhubaneswar"/>
    <x v="2"/>
    <n v="4"/>
    <n v="950"/>
    <n v="0"/>
    <n v="3800"/>
    <n v="2240"/>
    <n v="1560"/>
    <n v="3800"/>
    <n v="1560"/>
    <n v="0.41052631578947368"/>
    <s v="May-2026"/>
    <x v="1"/>
    <s v="High"/>
  </r>
  <r>
    <s v="ORD-00578"/>
    <x v="229"/>
    <s v="Customer 110"/>
    <x v="0"/>
    <x v="2"/>
    <x v="2"/>
    <s v="Ahmedabad"/>
    <x v="0"/>
    <n v="6"/>
    <n v="1500"/>
    <n v="0.05"/>
    <n v="8550"/>
    <n v="5400"/>
    <n v="3150"/>
    <n v="8550"/>
    <n v="3150"/>
    <n v="0.36842105263157893"/>
    <s v="May-2026"/>
    <x v="1"/>
    <s v="High"/>
  </r>
  <r>
    <s v="ORD-00203"/>
    <x v="230"/>
    <s v="Customer 127"/>
    <x v="1"/>
    <x v="9"/>
    <x v="1"/>
    <s v="Bhubaneswar"/>
    <x v="3"/>
    <n v="4"/>
    <n v="350"/>
    <n v="0"/>
    <n v="1400"/>
    <n v="720"/>
    <n v="680"/>
    <n v="1400"/>
    <n v="680"/>
    <n v="0.48571428571428571"/>
    <s v="May-2026"/>
    <x v="1"/>
    <s v="High"/>
  </r>
  <r>
    <s v="ORD-00303"/>
    <x v="230"/>
    <s v="Customer 047"/>
    <x v="3"/>
    <x v="13"/>
    <x v="0"/>
    <s v="Kochi"/>
    <x v="3"/>
    <n v="1"/>
    <n v="120"/>
    <n v="0.05"/>
    <n v="114"/>
    <n v="55"/>
    <n v="59"/>
    <n v="114"/>
    <n v="59"/>
    <n v="0.51754385964912286"/>
    <s v="May-2026"/>
    <x v="1"/>
    <s v="High"/>
  </r>
  <r>
    <s v="ORD-00456"/>
    <x v="230"/>
    <s v="Customer 169"/>
    <x v="2"/>
    <x v="17"/>
    <x v="0"/>
    <s v="Bengaluru"/>
    <x v="5"/>
    <n v="9"/>
    <n v="650"/>
    <n v="0"/>
    <n v="5850"/>
    <n v="3150"/>
    <n v="2700"/>
    <n v="5850"/>
    <n v="2700"/>
    <n v="0.46153846153846156"/>
    <s v="May-2026"/>
    <x v="1"/>
    <s v="High"/>
  </r>
  <r>
    <s v="ORD-00269"/>
    <x v="231"/>
    <s v="Customer 097"/>
    <x v="0"/>
    <x v="8"/>
    <x v="3"/>
    <s v="Jaipur"/>
    <x v="0"/>
    <n v="3"/>
    <n v="2200"/>
    <n v="0"/>
    <n v="6600"/>
    <n v="4200"/>
    <n v="2400"/>
    <n v="6600"/>
    <n v="2400"/>
    <n v="0.36363636363636365"/>
    <s v="May-2026"/>
    <x v="1"/>
    <s v="High"/>
  </r>
  <r>
    <s v="ORD-00339"/>
    <x v="231"/>
    <s v="Customer 077"/>
    <x v="1"/>
    <x v="1"/>
    <x v="1"/>
    <s v="Kolkata"/>
    <x v="2"/>
    <n v="7"/>
    <n v="600"/>
    <n v="0.1"/>
    <n v="3780"/>
    <n v="2310"/>
    <n v="1470"/>
    <n v="3780"/>
    <n v="1470"/>
    <n v="0.3888888888888889"/>
    <s v="May-2026"/>
    <x v="1"/>
    <s v="High"/>
  </r>
  <r>
    <s v="ORD-00435"/>
    <x v="231"/>
    <s v="Customer 104"/>
    <x v="3"/>
    <x v="12"/>
    <x v="3"/>
    <s v="Lucknow"/>
    <x v="2"/>
    <n v="5"/>
    <n v="150"/>
    <n v="0"/>
    <n v="750"/>
    <n v="375"/>
    <n v="375"/>
    <n v="750"/>
    <n v="375"/>
    <n v="0.5"/>
    <s v="May-2026"/>
    <x v="1"/>
    <s v="High"/>
  </r>
  <r>
    <s v="ORD-00841"/>
    <x v="231"/>
    <s v="Customer 113"/>
    <x v="1"/>
    <x v="9"/>
    <x v="1"/>
    <s v="Bhubaneswar"/>
    <x v="5"/>
    <n v="4"/>
    <n v="350"/>
    <n v="0"/>
    <n v="1400"/>
    <n v="720"/>
    <n v="680"/>
    <n v="1400"/>
    <n v="680"/>
    <n v="0.48571428571428571"/>
    <s v="May-2026"/>
    <x v="1"/>
    <s v="High"/>
  </r>
  <r>
    <s v="ORD-00039"/>
    <x v="232"/>
    <s v="Customer 160"/>
    <x v="3"/>
    <x v="14"/>
    <x v="0"/>
    <s v="Chennai"/>
    <x v="4"/>
    <n v="1"/>
    <n v="280"/>
    <n v="0"/>
    <n v="280"/>
    <n v="150"/>
    <n v="130"/>
    <n v="280"/>
    <n v="130"/>
    <n v="0.4642857142857143"/>
    <s v="May-2026"/>
    <x v="1"/>
    <s v="High"/>
  </r>
  <r>
    <s v="ORD-00066"/>
    <x v="232"/>
    <s v="Customer 007"/>
    <x v="2"/>
    <x v="18"/>
    <x v="0"/>
    <s v="Hyderabad"/>
    <x v="1"/>
    <n v="9"/>
    <n v="350"/>
    <n v="0.1"/>
    <n v="2835"/>
    <n v="1530"/>
    <n v="1305"/>
    <n v="2835"/>
    <n v="1305"/>
    <n v="0.46031746031746029"/>
    <s v="May-2026"/>
    <x v="1"/>
    <s v="High"/>
  </r>
  <r>
    <s v="ORD-00885"/>
    <x v="232"/>
    <s v="Customer 030"/>
    <x v="0"/>
    <x v="0"/>
    <x v="3"/>
    <s v="Jaipur"/>
    <x v="4"/>
    <n v="3"/>
    <n v="1800"/>
    <n v="0"/>
    <n v="5400"/>
    <n v="3300"/>
    <n v="2100"/>
    <n v="5400"/>
    <n v="2100"/>
    <n v="0.3888888888888889"/>
    <s v="May-2026"/>
    <x v="1"/>
    <s v="High"/>
  </r>
  <r>
    <s v="ORD-00300"/>
    <x v="233"/>
    <s v="Customer 024"/>
    <x v="1"/>
    <x v="10"/>
    <x v="1"/>
    <s v="Bhubaneswar"/>
    <x v="2"/>
    <n v="7"/>
    <n v="950"/>
    <n v="0.05"/>
    <n v="6317.5"/>
    <n v="3920"/>
    <n v="2397.5"/>
    <n v="6317.5"/>
    <n v="2397.5"/>
    <n v="0.37950138504155123"/>
    <s v="May-2026"/>
    <x v="1"/>
    <s v="High"/>
  </r>
  <r>
    <s v="ORD-00137"/>
    <x v="234"/>
    <s v="Customer 072"/>
    <x v="3"/>
    <x v="6"/>
    <x v="0"/>
    <s v="Chennai"/>
    <x v="1"/>
    <n v="8"/>
    <n v="180"/>
    <n v="0"/>
    <n v="1440"/>
    <n v="720"/>
    <n v="720"/>
    <n v="1440"/>
    <n v="720"/>
    <n v="0.5"/>
    <s v="May-2026"/>
    <x v="1"/>
    <s v="High"/>
  </r>
  <r>
    <s v="ORD-00556"/>
    <x v="235"/>
    <s v="Customer 187"/>
    <x v="1"/>
    <x v="11"/>
    <x v="3"/>
    <s v="Jaipur"/>
    <x v="0"/>
    <n v="3"/>
    <n v="550"/>
    <n v="0.1"/>
    <n v="1485"/>
    <n v="900"/>
    <n v="585"/>
    <n v="1485"/>
    <n v="585"/>
    <n v="0.39393939393939392"/>
    <s v="May-2026"/>
    <x v="1"/>
    <s v="High"/>
  </r>
  <r>
    <s v="ORD-00603"/>
    <x v="235"/>
    <s v="Customer 030"/>
    <x v="2"/>
    <x v="17"/>
    <x v="0"/>
    <s v="Bengaluru"/>
    <x v="4"/>
    <n v="5"/>
    <n v="650"/>
    <n v="0"/>
    <n v="3250"/>
    <n v="1750"/>
    <n v="1500"/>
    <n v="3250"/>
    <n v="1500"/>
    <n v="0.46153846153846156"/>
    <s v="May-2026"/>
    <x v="1"/>
    <s v="High"/>
  </r>
  <r>
    <s v="ORD-00919"/>
    <x v="235"/>
    <s v="Customer 112"/>
    <x v="1"/>
    <x v="9"/>
    <x v="1"/>
    <s v="Ranchi"/>
    <x v="0"/>
    <n v="10"/>
    <n v="350"/>
    <n v="0.1"/>
    <n v="3150"/>
    <n v="1800"/>
    <n v="1350"/>
    <n v="3150"/>
    <n v="1350"/>
    <n v="0.42857142857142855"/>
    <s v="May-2026"/>
    <x v="1"/>
    <s v="High"/>
  </r>
  <r>
    <s v="ORD-00095"/>
    <x v="236"/>
    <s v="Customer 008"/>
    <x v="0"/>
    <x v="0"/>
    <x v="0"/>
    <s v="Kochi"/>
    <x v="4"/>
    <n v="1"/>
    <n v="1800"/>
    <n v="0"/>
    <n v="1800"/>
    <n v="1100"/>
    <n v="700"/>
    <n v="1800"/>
    <n v="700"/>
    <n v="0.3888888888888889"/>
    <s v="May-2026"/>
    <x v="1"/>
    <s v="High"/>
  </r>
  <r>
    <s v="ORD-00132"/>
    <x v="236"/>
    <s v="Customer 141"/>
    <x v="1"/>
    <x v="1"/>
    <x v="0"/>
    <s v="Bengaluru"/>
    <x v="1"/>
    <n v="8"/>
    <n v="600"/>
    <n v="0.05"/>
    <n v="4560"/>
    <n v="2640"/>
    <n v="1920"/>
    <n v="4560"/>
    <n v="1920"/>
    <n v="0.42105263157894735"/>
    <s v="May-2026"/>
    <x v="1"/>
    <s v="High"/>
  </r>
  <r>
    <s v="ORD-00191"/>
    <x v="236"/>
    <s v="Customer 058"/>
    <x v="1"/>
    <x v="10"/>
    <x v="0"/>
    <s v="Kochi"/>
    <x v="0"/>
    <n v="6"/>
    <n v="950"/>
    <n v="0.1"/>
    <n v="5130"/>
    <n v="3360"/>
    <n v="1770"/>
    <n v="5130"/>
    <n v="1770"/>
    <n v="0.34502923976608185"/>
    <s v="May-2026"/>
    <x v="1"/>
    <s v="High"/>
  </r>
  <r>
    <s v="ORD-00054"/>
    <x v="237"/>
    <s v="Customer 128"/>
    <x v="3"/>
    <x v="14"/>
    <x v="2"/>
    <s v="Ahmedabad"/>
    <x v="3"/>
    <n v="8"/>
    <n v="280"/>
    <n v="0.1"/>
    <n v="2016"/>
    <n v="1200"/>
    <n v="816"/>
    <n v="2016"/>
    <n v="816"/>
    <n v="0.40476190476190477"/>
    <s v="May-2026"/>
    <x v="1"/>
    <s v="High"/>
  </r>
  <r>
    <s v="ORD-00246"/>
    <x v="237"/>
    <s v="Customer 064"/>
    <x v="1"/>
    <x v="3"/>
    <x v="3"/>
    <s v="Delhi"/>
    <x v="3"/>
    <n v="9"/>
    <n v="700"/>
    <n v="0.05"/>
    <n v="5985"/>
    <n v="3600"/>
    <n v="2385"/>
    <n v="5985"/>
    <n v="2385"/>
    <n v="0.39849624060150374"/>
    <s v="May-2026"/>
    <x v="1"/>
    <s v="High"/>
  </r>
  <r>
    <s v="ORD-00784"/>
    <x v="237"/>
    <s v="Customer 127"/>
    <x v="0"/>
    <x v="8"/>
    <x v="3"/>
    <s v="Delhi"/>
    <x v="5"/>
    <n v="5"/>
    <n v="2200"/>
    <n v="0.05"/>
    <n v="10450"/>
    <n v="7000"/>
    <n v="3450"/>
    <n v="10450"/>
    <n v="3450"/>
    <n v="0.33014354066985646"/>
    <s v="May-2026"/>
    <x v="1"/>
    <s v="High"/>
  </r>
  <r>
    <s v="ORD-00955"/>
    <x v="237"/>
    <s v="Customer 054"/>
    <x v="3"/>
    <x v="15"/>
    <x v="2"/>
    <s v="Mumbai"/>
    <x v="1"/>
    <n v="2"/>
    <n v="450"/>
    <n v="0.1"/>
    <n v="810"/>
    <n v="500"/>
    <n v="310"/>
    <n v="810"/>
    <n v="310"/>
    <n v="0.38271604938271603"/>
    <s v="May-2026"/>
    <x v="1"/>
    <s v="High"/>
  </r>
  <r>
    <s v="ORD-00956"/>
    <x v="237"/>
    <s v="Customer 093"/>
    <x v="0"/>
    <x v="8"/>
    <x v="2"/>
    <s v="Nashik"/>
    <x v="4"/>
    <n v="2"/>
    <n v="2200"/>
    <n v="0.1"/>
    <n v="3960"/>
    <n v="2800"/>
    <n v="1160"/>
    <n v="3960"/>
    <n v="1160"/>
    <n v="0.29292929292929293"/>
    <s v="May-2026"/>
    <x v="1"/>
    <s v="Medium"/>
  </r>
  <r>
    <s v="ORD-00027"/>
    <x v="238"/>
    <s v="Customer 148"/>
    <x v="3"/>
    <x v="6"/>
    <x v="2"/>
    <s v="Ahmedabad"/>
    <x v="0"/>
    <n v="6"/>
    <n v="180"/>
    <n v="0.05"/>
    <n v="1026"/>
    <n v="540"/>
    <n v="486"/>
    <n v="1026"/>
    <n v="486"/>
    <n v="0.47368421052631576"/>
    <s v="May-2026"/>
    <x v="1"/>
    <s v="High"/>
  </r>
  <r>
    <s v="ORD-00008"/>
    <x v="239"/>
    <s v="Customer 054"/>
    <x v="0"/>
    <x v="8"/>
    <x v="3"/>
    <s v="Jaipur"/>
    <x v="5"/>
    <n v="6"/>
    <n v="2200"/>
    <n v="0"/>
    <n v="13200"/>
    <n v="8400"/>
    <n v="4800"/>
    <n v="13200"/>
    <n v="4800"/>
    <n v="0.36363636363636365"/>
    <s v="May-2026"/>
    <x v="1"/>
    <s v="High"/>
  </r>
  <r>
    <s v="ORD-00215"/>
    <x v="240"/>
    <s v="Customer 193"/>
    <x v="1"/>
    <x v="11"/>
    <x v="2"/>
    <s v="Ahmedabad"/>
    <x v="0"/>
    <n v="2"/>
    <n v="550"/>
    <n v="0.1"/>
    <n v="990"/>
    <n v="600"/>
    <n v="390"/>
    <n v="990"/>
    <n v="390"/>
    <n v="0.39393939393939392"/>
    <s v="May-2026"/>
    <x v="1"/>
    <s v="High"/>
  </r>
  <r>
    <s v="ORD-00293"/>
    <x v="240"/>
    <s v="Customer 003"/>
    <x v="0"/>
    <x v="16"/>
    <x v="3"/>
    <s v="Chandigarh"/>
    <x v="4"/>
    <n v="8"/>
    <n v="1200"/>
    <n v="0"/>
    <n v="9600"/>
    <n v="5760"/>
    <n v="3840"/>
    <n v="9600"/>
    <n v="3840"/>
    <n v="0.4"/>
    <s v="May-2026"/>
    <x v="1"/>
    <s v="High"/>
  </r>
  <r>
    <s v="ORD-00793"/>
    <x v="240"/>
    <s v="Customer 083"/>
    <x v="1"/>
    <x v="3"/>
    <x v="3"/>
    <s v="Lucknow"/>
    <x v="1"/>
    <n v="9"/>
    <n v="700"/>
    <n v="0"/>
    <n v="6300"/>
    <n v="3600"/>
    <n v="2700"/>
    <n v="6300"/>
    <n v="2700"/>
    <n v="0.42857142857142855"/>
    <s v="May-2026"/>
    <x v="1"/>
    <s v="High"/>
  </r>
  <r>
    <s v="ORD-00893"/>
    <x v="240"/>
    <s v="Customer 075"/>
    <x v="0"/>
    <x v="5"/>
    <x v="0"/>
    <s v="Kochi"/>
    <x v="3"/>
    <n v="8"/>
    <n v="650"/>
    <n v="0.1"/>
    <n v="4680"/>
    <n v="3040"/>
    <n v="1640"/>
    <n v="4680"/>
    <n v="1640"/>
    <n v="0.3504273504273504"/>
    <s v="May-2026"/>
    <x v="1"/>
    <s v="High"/>
  </r>
  <r>
    <s v="ORD-00944"/>
    <x v="241"/>
    <s v="Customer 027"/>
    <x v="0"/>
    <x v="5"/>
    <x v="1"/>
    <s v="Bhubaneswar"/>
    <x v="2"/>
    <n v="6"/>
    <n v="650"/>
    <n v="0"/>
    <n v="3900"/>
    <n v="2280"/>
    <n v="1620"/>
    <n v="3900"/>
    <n v="1620"/>
    <n v="0.41538461538461541"/>
    <s v="May-2026"/>
    <x v="1"/>
    <s v="High"/>
  </r>
  <r>
    <s v="ORD-00240"/>
    <x v="242"/>
    <s v="Customer 054"/>
    <x v="1"/>
    <x v="9"/>
    <x v="1"/>
    <s v="Ranchi"/>
    <x v="4"/>
    <n v="4"/>
    <n v="350"/>
    <n v="0.05"/>
    <n v="1330"/>
    <n v="720"/>
    <n v="610"/>
    <n v="1330"/>
    <n v="610"/>
    <n v="0.45864661654135336"/>
    <s v="May-2026"/>
    <x v="1"/>
    <s v="High"/>
  </r>
  <r>
    <s v="ORD-00327"/>
    <x v="242"/>
    <s v="Customer 080"/>
    <x v="3"/>
    <x v="13"/>
    <x v="3"/>
    <s v="Chandigarh"/>
    <x v="3"/>
    <n v="4"/>
    <n v="120"/>
    <n v="0.05"/>
    <n v="456"/>
    <n v="220"/>
    <n v="236"/>
    <n v="456"/>
    <n v="236"/>
    <n v="0.51754385964912286"/>
    <s v="May-2026"/>
    <x v="1"/>
    <s v="High"/>
  </r>
  <r>
    <s v="ORD-00921"/>
    <x v="242"/>
    <s v="Customer 004"/>
    <x v="1"/>
    <x v="11"/>
    <x v="3"/>
    <s v="Chandigarh"/>
    <x v="2"/>
    <n v="2"/>
    <n v="550"/>
    <n v="0"/>
    <n v="1100"/>
    <n v="600"/>
    <n v="500"/>
    <n v="1100"/>
    <n v="500"/>
    <n v="0.45454545454545453"/>
    <s v="May-2026"/>
    <x v="1"/>
    <s v="High"/>
  </r>
  <r>
    <s v="ORD-00138"/>
    <x v="243"/>
    <s v="Customer 162"/>
    <x v="3"/>
    <x v="14"/>
    <x v="0"/>
    <s v="Chennai"/>
    <x v="3"/>
    <n v="1"/>
    <n v="280"/>
    <n v="0.05"/>
    <n v="266"/>
    <n v="150"/>
    <n v="116"/>
    <n v="266"/>
    <n v="116"/>
    <n v="0.43609022556390975"/>
    <s v="May-2026"/>
    <x v="1"/>
    <s v="High"/>
  </r>
  <r>
    <s v="ORD-00217"/>
    <x v="243"/>
    <s v="Customer 171"/>
    <x v="3"/>
    <x v="12"/>
    <x v="3"/>
    <s v="Delhi"/>
    <x v="0"/>
    <n v="1"/>
    <n v="150"/>
    <n v="0"/>
    <n v="150"/>
    <n v="75"/>
    <n v="75"/>
    <n v="150"/>
    <n v="75"/>
    <n v="0.5"/>
    <s v="May-2026"/>
    <x v="1"/>
    <s v="High"/>
  </r>
  <r>
    <s v="ORD-00390"/>
    <x v="243"/>
    <s v="Customer 026"/>
    <x v="0"/>
    <x v="5"/>
    <x v="3"/>
    <s v="Lucknow"/>
    <x v="4"/>
    <n v="3"/>
    <n v="650"/>
    <n v="0.15"/>
    <n v="1657.5"/>
    <n v="1140"/>
    <n v="517.5"/>
    <n v="1657.5"/>
    <n v="517.5"/>
    <n v="0.31221719457013575"/>
    <s v="May-2026"/>
    <x v="1"/>
    <s v="High"/>
  </r>
  <r>
    <s v="ORD-00232"/>
    <x v="244"/>
    <s v="Customer 003"/>
    <x v="0"/>
    <x v="0"/>
    <x v="1"/>
    <s v="Bhubaneswar"/>
    <x v="5"/>
    <n v="10"/>
    <n v="1800"/>
    <n v="0.1"/>
    <n v="16200"/>
    <n v="11000"/>
    <n v="5200"/>
    <n v="16200"/>
    <n v="5200"/>
    <n v="0.32098765432098764"/>
    <s v="May-2026"/>
    <x v="1"/>
    <s v="High"/>
  </r>
  <r>
    <s v="ORD-00344"/>
    <x v="244"/>
    <s v="Customer 064"/>
    <x v="0"/>
    <x v="2"/>
    <x v="2"/>
    <s v="Ahmedabad"/>
    <x v="4"/>
    <n v="8"/>
    <n v="1500"/>
    <n v="0"/>
    <n v="12000"/>
    <n v="7200"/>
    <n v="4800"/>
    <n v="12000"/>
    <n v="4800"/>
    <n v="0.4"/>
    <s v="May-2026"/>
    <x v="1"/>
    <s v="High"/>
  </r>
  <r>
    <s v="ORD-00666"/>
    <x v="244"/>
    <s v="Customer 186"/>
    <x v="2"/>
    <x v="4"/>
    <x v="1"/>
    <s v="Ranchi"/>
    <x v="5"/>
    <n v="3"/>
    <n v="2200"/>
    <n v="0.05"/>
    <n v="6270"/>
    <n v="4350"/>
    <n v="1920"/>
    <n v="6270"/>
    <n v="1920"/>
    <n v="0.30622009569377989"/>
    <s v="May-2026"/>
    <x v="1"/>
    <s v="High"/>
  </r>
  <r>
    <s v="ORD-00475"/>
    <x v="245"/>
    <s v="Customer 053"/>
    <x v="0"/>
    <x v="16"/>
    <x v="2"/>
    <s v="Ahmedabad"/>
    <x v="3"/>
    <n v="1"/>
    <n v="1200"/>
    <n v="0"/>
    <n v="1200"/>
    <n v="720"/>
    <n v="480"/>
    <n v="1200"/>
    <n v="480"/>
    <n v="0.4"/>
    <s v="May-2026"/>
    <x v="1"/>
    <s v="High"/>
  </r>
  <r>
    <s v="ORD-00548"/>
    <x v="245"/>
    <s v="Customer 168"/>
    <x v="2"/>
    <x v="17"/>
    <x v="0"/>
    <s v="Chennai"/>
    <x v="1"/>
    <n v="5"/>
    <n v="650"/>
    <n v="0.05"/>
    <n v="3087.5"/>
    <n v="1750"/>
    <n v="1337.5"/>
    <n v="3087.5"/>
    <n v="1337.5"/>
    <n v="0.4331983805668016"/>
    <s v="May-2026"/>
    <x v="1"/>
    <s v="High"/>
  </r>
  <r>
    <s v="ORD-00624"/>
    <x v="245"/>
    <s v="Customer 188"/>
    <x v="1"/>
    <x v="1"/>
    <x v="3"/>
    <s v="Chandigarh"/>
    <x v="2"/>
    <n v="9"/>
    <n v="600"/>
    <n v="0"/>
    <n v="5400"/>
    <n v="2970"/>
    <n v="2430"/>
    <n v="5400"/>
    <n v="2430"/>
    <n v="0.45"/>
    <s v="May-2026"/>
    <x v="1"/>
    <s v="High"/>
  </r>
  <r>
    <s v="ORD-00756"/>
    <x v="245"/>
    <s v="Customer 118"/>
    <x v="1"/>
    <x v="10"/>
    <x v="3"/>
    <s v="Jaipur"/>
    <x v="2"/>
    <n v="1"/>
    <n v="950"/>
    <n v="0"/>
    <n v="950"/>
    <n v="560"/>
    <n v="390"/>
    <n v="950"/>
    <n v="390"/>
    <n v="0.41052631578947368"/>
    <s v="May-2026"/>
    <x v="1"/>
    <s v="High"/>
  </r>
  <r>
    <s v="ORD-00325"/>
    <x v="246"/>
    <s v="Customer 012"/>
    <x v="3"/>
    <x v="15"/>
    <x v="3"/>
    <s v="Lucknow"/>
    <x v="2"/>
    <n v="3"/>
    <n v="450"/>
    <n v="0"/>
    <n v="1350"/>
    <n v="750"/>
    <n v="600"/>
    <n v="1350"/>
    <n v="600"/>
    <n v="0.44444444444444442"/>
    <s v="May-2026"/>
    <x v="1"/>
    <s v="High"/>
  </r>
  <r>
    <s v="ORD-00770"/>
    <x v="246"/>
    <s v="Customer 191"/>
    <x v="0"/>
    <x v="16"/>
    <x v="3"/>
    <s v="Jaipur"/>
    <x v="4"/>
    <n v="8"/>
    <n v="1200"/>
    <n v="0"/>
    <n v="9600"/>
    <n v="5760"/>
    <n v="3840"/>
    <n v="9600"/>
    <n v="3840"/>
    <n v="0.4"/>
    <s v="May-2026"/>
    <x v="1"/>
    <s v="High"/>
  </r>
  <r>
    <s v="ORD-00934"/>
    <x v="246"/>
    <s v="Customer 031"/>
    <x v="1"/>
    <x v="3"/>
    <x v="3"/>
    <s v="Delhi"/>
    <x v="4"/>
    <n v="3"/>
    <n v="700"/>
    <n v="0"/>
    <n v="2100"/>
    <n v="1200"/>
    <n v="900"/>
    <n v="2100"/>
    <n v="900"/>
    <n v="0.42857142857142855"/>
    <s v="May-2026"/>
    <x v="1"/>
    <s v="High"/>
  </r>
  <r>
    <s v="ORD-00986"/>
    <x v="246"/>
    <s v="Customer 102"/>
    <x v="0"/>
    <x v="0"/>
    <x v="2"/>
    <s v="Ahmedabad"/>
    <x v="1"/>
    <n v="7"/>
    <n v="1800"/>
    <n v="0"/>
    <n v="12600"/>
    <n v="7700"/>
    <n v="4900"/>
    <n v="12600"/>
    <n v="4900"/>
    <n v="0.3888888888888889"/>
    <s v="May-2026"/>
    <x v="1"/>
    <s v="High"/>
  </r>
  <r>
    <s v="ORD-00288"/>
    <x v="247"/>
    <s v="Customer 175"/>
    <x v="2"/>
    <x v="7"/>
    <x v="0"/>
    <s v="Hyderabad"/>
    <x v="2"/>
    <n v="7"/>
    <n v="500"/>
    <n v="0.1"/>
    <n v="3150"/>
    <n v="1960"/>
    <n v="1190"/>
    <n v="3150"/>
    <n v="1190"/>
    <n v="0.37777777777777777"/>
    <s v="May-2026"/>
    <x v="1"/>
    <s v="High"/>
  </r>
  <r>
    <s v="ORD-00531"/>
    <x v="247"/>
    <s v="Customer 050"/>
    <x v="2"/>
    <x v="4"/>
    <x v="2"/>
    <s v="Nashik"/>
    <x v="0"/>
    <n v="5"/>
    <n v="2200"/>
    <n v="0.15"/>
    <n v="9350"/>
    <n v="7250"/>
    <n v="2100"/>
    <n v="9350"/>
    <n v="2100"/>
    <n v="0.22459893048128343"/>
    <s v="May-2026"/>
    <x v="1"/>
    <s v="Medium"/>
  </r>
  <r>
    <s v="ORD-00565"/>
    <x v="247"/>
    <s v="Customer 065"/>
    <x v="1"/>
    <x v="11"/>
    <x v="2"/>
    <s v="Ahmedabad"/>
    <x v="3"/>
    <n v="8"/>
    <n v="550"/>
    <n v="0.1"/>
    <n v="3960"/>
    <n v="2400"/>
    <n v="1560"/>
    <n v="3960"/>
    <n v="1560"/>
    <n v="0.39393939393939392"/>
    <s v="May-2026"/>
    <x v="1"/>
    <s v="High"/>
  </r>
  <r>
    <s v="ORD-00644"/>
    <x v="247"/>
    <s v="Customer 183"/>
    <x v="0"/>
    <x v="5"/>
    <x v="1"/>
    <s v="Ranchi"/>
    <x v="1"/>
    <n v="3"/>
    <n v="650"/>
    <n v="0.1"/>
    <n v="1755"/>
    <n v="1140"/>
    <n v="615"/>
    <n v="1755"/>
    <n v="615"/>
    <n v="0.3504273504273504"/>
    <s v="May-2026"/>
    <x v="1"/>
    <s v="High"/>
  </r>
  <r>
    <s v="ORD-00285"/>
    <x v="248"/>
    <s v="Customer 181"/>
    <x v="3"/>
    <x v="12"/>
    <x v="1"/>
    <s v="Patna"/>
    <x v="0"/>
    <n v="8"/>
    <n v="150"/>
    <n v="0"/>
    <n v="1200"/>
    <n v="600"/>
    <n v="600"/>
    <n v="1200"/>
    <n v="600"/>
    <n v="0.5"/>
    <s v="May-2026"/>
    <x v="1"/>
    <s v="High"/>
  </r>
  <r>
    <s v="ORD-00520"/>
    <x v="248"/>
    <s v="Customer 155"/>
    <x v="1"/>
    <x v="11"/>
    <x v="3"/>
    <s v="Delhi"/>
    <x v="0"/>
    <n v="5"/>
    <n v="550"/>
    <n v="0.05"/>
    <n v="2612.5"/>
    <n v="1500"/>
    <n v="1112.5"/>
    <n v="2612.5"/>
    <n v="1112.5"/>
    <n v="0.42583732057416268"/>
    <s v="May-2026"/>
    <x v="1"/>
    <s v="High"/>
  </r>
  <r>
    <s v="ORD-00648"/>
    <x v="248"/>
    <s v="Customer 089"/>
    <x v="3"/>
    <x v="15"/>
    <x v="2"/>
    <s v="Mumbai"/>
    <x v="5"/>
    <n v="5"/>
    <n v="450"/>
    <n v="0"/>
    <n v="2250"/>
    <n v="1250"/>
    <n v="1000"/>
    <n v="2250"/>
    <n v="1000"/>
    <n v="0.44444444444444442"/>
    <s v="May-2026"/>
    <x v="1"/>
    <s v="High"/>
  </r>
  <r>
    <s v="ORD-00759"/>
    <x v="248"/>
    <s v="Customer 078"/>
    <x v="1"/>
    <x v="1"/>
    <x v="3"/>
    <s v="Delhi"/>
    <x v="1"/>
    <n v="10"/>
    <n v="600"/>
    <n v="0.05"/>
    <n v="5700"/>
    <n v="3300"/>
    <n v="2400"/>
    <n v="5700"/>
    <n v="2400"/>
    <n v="0.42105263157894735"/>
    <s v="May-2026"/>
    <x v="1"/>
    <s v="High"/>
  </r>
  <r>
    <s v="ORD-00902"/>
    <x v="248"/>
    <s v="Customer 051"/>
    <x v="3"/>
    <x v="14"/>
    <x v="0"/>
    <s v="Chennai"/>
    <x v="2"/>
    <n v="9"/>
    <n v="280"/>
    <n v="0"/>
    <n v="2520"/>
    <n v="1350"/>
    <n v="1170"/>
    <n v="2520"/>
    <n v="1170"/>
    <n v="0.4642857142857143"/>
    <s v="May-2026"/>
    <x v="1"/>
    <s v="High"/>
  </r>
  <r>
    <s v="ORD-00009"/>
    <x v="249"/>
    <s v="Customer 095"/>
    <x v="2"/>
    <x v="17"/>
    <x v="1"/>
    <s v="Bhubaneswar"/>
    <x v="1"/>
    <n v="10"/>
    <n v="650"/>
    <n v="0.1"/>
    <n v="5850"/>
    <n v="3500"/>
    <n v="2350"/>
    <n v="5850"/>
    <n v="2350"/>
    <n v="0.40170940170940173"/>
    <s v="May-2026"/>
    <x v="1"/>
    <s v="High"/>
  </r>
  <r>
    <s v="ORD-00159"/>
    <x v="249"/>
    <s v="Customer 079"/>
    <x v="1"/>
    <x v="11"/>
    <x v="0"/>
    <s v="Hyderabad"/>
    <x v="5"/>
    <n v="5"/>
    <n v="550"/>
    <n v="0.05"/>
    <n v="2612.5"/>
    <n v="1500"/>
    <n v="1112.5"/>
    <n v="2612.5"/>
    <n v="1112.5"/>
    <n v="0.42583732057416268"/>
    <s v="May-2026"/>
    <x v="1"/>
    <s v="High"/>
  </r>
  <r>
    <s v="ORD-00216"/>
    <x v="249"/>
    <s v="Customer 080"/>
    <x v="0"/>
    <x v="2"/>
    <x v="0"/>
    <s v="Chennai"/>
    <x v="2"/>
    <n v="10"/>
    <n v="1500"/>
    <n v="0"/>
    <n v="15000"/>
    <n v="9000"/>
    <n v="6000"/>
    <n v="15000"/>
    <n v="6000"/>
    <n v="0.4"/>
    <s v="May-2026"/>
    <x v="1"/>
    <s v="High"/>
  </r>
  <r>
    <s v="ORD-00611"/>
    <x v="249"/>
    <s v="Customer 071"/>
    <x v="0"/>
    <x v="8"/>
    <x v="3"/>
    <s v="Delhi"/>
    <x v="5"/>
    <n v="5"/>
    <n v="2200"/>
    <n v="0"/>
    <n v="11000"/>
    <n v="7000"/>
    <n v="4000"/>
    <n v="11000"/>
    <n v="4000"/>
    <n v="0.36363636363636365"/>
    <s v="May-2026"/>
    <x v="1"/>
    <s v="High"/>
  </r>
  <r>
    <s v="ORD-00455"/>
    <x v="250"/>
    <s v="Customer 096"/>
    <x v="0"/>
    <x v="5"/>
    <x v="2"/>
    <s v="Nashik"/>
    <x v="3"/>
    <n v="8"/>
    <n v="650"/>
    <n v="0"/>
    <n v="5200"/>
    <n v="3040"/>
    <n v="2160"/>
    <n v="5200"/>
    <n v="2160"/>
    <n v="0.41538461538461541"/>
    <s v="May-2026"/>
    <x v="1"/>
    <s v="High"/>
  </r>
  <r>
    <s v="ORD-00479"/>
    <x v="250"/>
    <s v="Customer 132"/>
    <x v="1"/>
    <x v="9"/>
    <x v="0"/>
    <s v="Kochi"/>
    <x v="5"/>
    <n v="5"/>
    <n v="350"/>
    <n v="0.1"/>
    <n v="1575"/>
    <n v="900"/>
    <n v="675"/>
    <n v="1575"/>
    <n v="675"/>
    <n v="0.42857142857142855"/>
    <s v="May-2026"/>
    <x v="1"/>
    <s v="High"/>
  </r>
  <r>
    <s v="ORD-00544"/>
    <x v="250"/>
    <s v="Customer 084"/>
    <x v="3"/>
    <x v="13"/>
    <x v="3"/>
    <s v="Chandigarh"/>
    <x v="3"/>
    <n v="10"/>
    <n v="120"/>
    <n v="0"/>
    <n v="1200"/>
    <n v="550"/>
    <n v="650"/>
    <n v="1200"/>
    <n v="650"/>
    <n v="0.54166666666666663"/>
    <s v="May-2026"/>
    <x v="1"/>
    <s v="High"/>
  </r>
  <r>
    <s v="ORD-00868"/>
    <x v="250"/>
    <s v="Customer 011"/>
    <x v="0"/>
    <x v="0"/>
    <x v="2"/>
    <s v="Nashik"/>
    <x v="4"/>
    <n v="6"/>
    <n v="1800"/>
    <n v="0.1"/>
    <n v="9720"/>
    <n v="6600"/>
    <n v="3120"/>
    <n v="9720"/>
    <n v="3120"/>
    <n v="0.32098765432098764"/>
    <s v="May-2026"/>
    <x v="1"/>
    <s v="High"/>
  </r>
  <r>
    <s v="ORD-00336"/>
    <x v="251"/>
    <s v="Customer 162"/>
    <x v="3"/>
    <x v="6"/>
    <x v="2"/>
    <s v="Ahmedabad"/>
    <x v="2"/>
    <n v="3"/>
    <n v="180"/>
    <n v="0"/>
    <n v="540"/>
    <n v="270"/>
    <n v="270"/>
    <n v="540"/>
    <n v="270"/>
    <n v="0.5"/>
    <s v="May-2026"/>
    <x v="1"/>
    <s v="High"/>
  </r>
  <r>
    <s v="ORD-00717"/>
    <x v="251"/>
    <s v="Customer 050"/>
    <x v="2"/>
    <x v="7"/>
    <x v="1"/>
    <s v="Kolkata"/>
    <x v="2"/>
    <n v="5"/>
    <n v="500"/>
    <n v="0.1"/>
    <n v="2250"/>
    <n v="1400"/>
    <n v="850"/>
    <n v="2250"/>
    <n v="850"/>
    <n v="0.37777777777777777"/>
    <s v="May-2026"/>
    <x v="1"/>
    <s v="High"/>
  </r>
  <r>
    <s v="ORD-00927"/>
    <x v="251"/>
    <s v="Customer 016"/>
    <x v="3"/>
    <x v="13"/>
    <x v="2"/>
    <s v="Mumbai"/>
    <x v="1"/>
    <n v="1"/>
    <n v="120"/>
    <n v="0"/>
    <n v="120"/>
    <n v="55"/>
    <n v="65"/>
    <n v="120"/>
    <n v="65"/>
    <n v="0.54166666666666663"/>
    <s v="May-2026"/>
    <x v="1"/>
    <s v="High"/>
  </r>
  <r>
    <s v="ORD-00988"/>
    <x v="251"/>
    <s v="Customer 200"/>
    <x v="1"/>
    <x v="10"/>
    <x v="0"/>
    <s v="Kochi"/>
    <x v="2"/>
    <n v="3"/>
    <n v="950"/>
    <n v="0.15"/>
    <n v="2422.5"/>
    <n v="1680"/>
    <n v="742.5"/>
    <n v="2422.5"/>
    <n v="742.5"/>
    <n v="0.30650154798761609"/>
    <s v="May-2026"/>
    <x v="1"/>
    <s v="High"/>
  </r>
  <r>
    <s v="ORD-00041"/>
    <x v="252"/>
    <s v="Customer 104"/>
    <x v="1"/>
    <x v="9"/>
    <x v="0"/>
    <s v="Chennai"/>
    <x v="4"/>
    <n v="10"/>
    <n v="350"/>
    <n v="0.1"/>
    <n v="3150"/>
    <n v="1800"/>
    <n v="1350"/>
    <n v="3150"/>
    <n v="1350"/>
    <n v="0.42857142857142855"/>
    <s v="May-2026"/>
    <x v="1"/>
    <s v="High"/>
  </r>
  <r>
    <s v="ORD-00380"/>
    <x v="252"/>
    <s v="Customer 099"/>
    <x v="0"/>
    <x v="2"/>
    <x v="0"/>
    <s v="Bengaluru"/>
    <x v="0"/>
    <n v="2"/>
    <n v="1500"/>
    <n v="0.05"/>
    <n v="2850"/>
    <n v="1800"/>
    <n v="1050"/>
    <n v="2850"/>
    <n v="1050"/>
    <n v="0.36842105263157893"/>
    <s v="May-2026"/>
    <x v="1"/>
    <s v="High"/>
  </r>
  <r>
    <s v="ORD-00542"/>
    <x v="252"/>
    <s v="Customer 064"/>
    <x v="0"/>
    <x v="8"/>
    <x v="1"/>
    <s v="Patna"/>
    <x v="2"/>
    <n v="5"/>
    <n v="2200"/>
    <n v="0.15"/>
    <n v="9350"/>
    <n v="7000"/>
    <n v="2350"/>
    <n v="9350"/>
    <n v="2350"/>
    <n v="0.25133689839572193"/>
    <s v="May-2026"/>
    <x v="1"/>
    <s v="Medium"/>
  </r>
  <r>
    <s v="ORD-00704"/>
    <x v="252"/>
    <s v="Customer 191"/>
    <x v="0"/>
    <x v="16"/>
    <x v="1"/>
    <s v="Ranchi"/>
    <x v="5"/>
    <n v="4"/>
    <n v="1200"/>
    <n v="0.05"/>
    <n v="4560"/>
    <n v="2880"/>
    <n v="1680"/>
    <n v="4560"/>
    <n v="1680"/>
    <n v="0.36842105263157893"/>
    <s v="May-2026"/>
    <x v="1"/>
    <s v="High"/>
  </r>
  <r>
    <s v="ORD-00731"/>
    <x v="252"/>
    <s v="Customer 038"/>
    <x v="3"/>
    <x v="13"/>
    <x v="2"/>
    <s v="Nashik"/>
    <x v="1"/>
    <n v="2"/>
    <n v="120"/>
    <n v="0"/>
    <n v="240"/>
    <n v="110"/>
    <n v="130"/>
    <n v="240"/>
    <n v="130"/>
    <n v="0.54166666666666663"/>
    <s v="May-2026"/>
    <x v="1"/>
    <s v="High"/>
  </r>
  <r>
    <s v="ORD-00797"/>
    <x v="252"/>
    <s v="Customer 112"/>
    <x v="0"/>
    <x v="16"/>
    <x v="3"/>
    <s v="Delhi"/>
    <x v="3"/>
    <n v="7"/>
    <n v="1200"/>
    <n v="0.05"/>
    <n v="7980"/>
    <n v="5040"/>
    <n v="2940"/>
    <n v="7980"/>
    <n v="2940"/>
    <n v="0.36842105263157893"/>
    <s v="May-2026"/>
    <x v="1"/>
    <s v="High"/>
  </r>
  <r>
    <s v="ORD-00164"/>
    <x v="253"/>
    <s v="Customer 160"/>
    <x v="0"/>
    <x v="16"/>
    <x v="3"/>
    <s v="Jaipur"/>
    <x v="3"/>
    <n v="7"/>
    <n v="1200"/>
    <n v="0"/>
    <n v="8400"/>
    <n v="5040"/>
    <n v="3360"/>
    <n v="8400"/>
    <n v="3360"/>
    <n v="0.4"/>
    <s v="Jun-2026"/>
    <x v="1"/>
    <s v="High"/>
  </r>
  <r>
    <s v="ORD-00047"/>
    <x v="254"/>
    <s v="Customer 092"/>
    <x v="2"/>
    <x v="17"/>
    <x v="3"/>
    <s v="Lucknow"/>
    <x v="2"/>
    <n v="1"/>
    <n v="650"/>
    <n v="0"/>
    <n v="650"/>
    <n v="350"/>
    <n v="300"/>
    <n v="650"/>
    <n v="300"/>
    <n v="0.46153846153846156"/>
    <s v="Jun-2026"/>
    <x v="1"/>
    <s v="High"/>
  </r>
  <r>
    <s v="ORD-00155"/>
    <x v="254"/>
    <s v="Customer 101"/>
    <x v="1"/>
    <x v="1"/>
    <x v="0"/>
    <s v="Hyderabad"/>
    <x v="0"/>
    <n v="6"/>
    <n v="600"/>
    <n v="0.05"/>
    <n v="3420"/>
    <n v="1980"/>
    <n v="1440"/>
    <n v="3420"/>
    <n v="1440"/>
    <n v="0.42105263157894735"/>
    <s v="Jun-2026"/>
    <x v="1"/>
    <s v="High"/>
  </r>
  <r>
    <s v="ORD-00329"/>
    <x v="254"/>
    <s v="Customer 032"/>
    <x v="1"/>
    <x v="3"/>
    <x v="2"/>
    <s v="Ahmedabad"/>
    <x v="4"/>
    <n v="6"/>
    <n v="700"/>
    <n v="0.15"/>
    <n v="3570"/>
    <n v="2400"/>
    <n v="1170"/>
    <n v="3570"/>
    <n v="1170"/>
    <n v="0.32773109243697479"/>
    <s v="Jun-2026"/>
    <x v="1"/>
    <s v="High"/>
  </r>
  <r>
    <s v="ORD-00342"/>
    <x v="254"/>
    <s v="Customer 028"/>
    <x v="2"/>
    <x v="19"/>
    <x v="0"/>
    <s v="Hyderabad"/>
    <x v="0"/>
    <n v="3"/>
    <n v="900"/>
    <n v="0.1"/>
    <n v="2430"/>
    <n v="1560"/>
    <n v="870"/>
    <n v="2430"/>
    <n v="870"/>
    <n v="0.35802469135802467"/>
    <s v="Jun-2026"/>
    <x v="1"/>
    <s v="High"/>
  </r>
  <r>
    <s v="ORD-00343"/>
    <x v="254"/>
    <s v="Customer 175"/>
    <x v="2"/>
    <x v="19"/>
    <x v="0"/>
    <s v="Kochi"/>
    <x v="0"/>
    <n v="7"/>
    <n v="900"/>
    <n v="0.05"/>
    <n v="5985"/>
    <n v="3640"/>
    <n v="2345"/>
    <n v="5985"/>
    <n v="2345"/>
    <n v="0.391812865497076"/>
    <s v="Jun-2026"/>
    <x v="1"/>
    <s v="High"/>
  </r>
  <r>
    <s v="ORD-00612"/>
    <x v="254"/>
    <s v="Customer 106"/>
    <x v="2"/>
    <x v="7"/>
    <x v="2"/>
    <s v="Mumbai"/>
    <x v="5"/>
    <n v="3"/>
    <n v="500"/>
    <n v="0.05"/>
    <n v="1425"/>
    <n v="840"/>
    <n v="585"/>
    <n v="1425"/>
    <n v="585"/>
    <n v="0.41052631578947368"/>
    <s v="Jun-2026"/>
    <x v="1"/>
    <s v="High"/>
  </r>
  <r>
    <s v="ORD-00614"/>
    <x v="254"/>
    <s v="Customer 034"/>
    <x v="3"/>
    <x v="13"/>
    <x v="2"/>
    <s v="Pune"/>
    <x v="5"/>
    <n v="4"/>
    <n v="120"/>
    <n v="0.05"/>
    <n v="456"/>
    <n v="220"/>
    <n v="236"/>
    <n v="456"/>
    <n v="236"/>
    <n v="0.51754385964912286"/>
    <s v="Jun-2026"/>
    <x v="1"/>
    <s v="High"/>
  </r>
  <r>
    <s v="ORD-00645"/>
    <x v="254"/>
    <s v="Customer 192"/>
    <x v="0"/>
    <x v="16"/>
    <x v="0"/>
    <s v="Chennai"/>
    <x v="1"/>
    <n v="6"/>
    <n v="1200"/>
    <n v="0.05"/>
    <n v="6840"/>
    <n v="4320"/>
    <n v="2520"/>
    <n v="6840"/>
    <n v="2520"/>
    <n v="0.36842105263157893"/>
    <s v="Jun-2026"/>
    <x v="1"/>
    <s v="High"/>
  </r>
  <r>
    <s v="ORD-00781"/>
    <x v="254"/>
    <s v="Customer 186"/>
    <x v="1"/>
    <x v="1"/>
    <x v="3"/>
    <s v="Lucknow"/>
    <x v="3"/>
    <n v="2"/>
    <n v="600"/>
    <n v="0.05"/>
    <n v="1140"/>
    <n v="660"/>
    <n v="480"/>
    <n v="1140"/>
    <n v="480"/>
    <n v="0.42105263157894735"/>
    <s v="Jun-2026"/>
    <x v="1"/>
    <s v="High"/>
  </r>
  <r>
    <s v="ORD-00525"/>
    <x v="255"/>
    <s v="Customer 140"/>
    <x v="1"/>
    <x v="11"/>
    <x v="3"/>
    <s v="Delhi"/>
    <x v="3"/>
    <n v="6"/>
    <n v="550"/>
    <n v="0"/>
    <n v="3300"/>
    <n v="1800"/>
    <n v="1500"/>
    <n v="3300"/>
    <n v="1500"/>
    <n v="0.45454545454545453"/>
    <s v="Jun-2026"/>
    <x v="1"/>
    <s v="High"/>
  </r>
  <r>
    <s v="ORD-00858"/>
    <x v="255"/>
    <s v="Customer 008"/>
    <x v="0"/>
    <x v="0"/>
    <x v="3"/>
    <s v="Lucknow"/>
    <x v="2"/>
    <n v="5"/>
    <n v="1800"/>
    <n v="0.1"/>
    <n v="8100"/>
    <n v="5500"/>
    <n v="2600"/>
    <n v="8100"/>
    <n v="2600"/>
    <n v="0.32098765432098764"/>
    <s v="Jun-2026"/>
    <x v="1"/>
    <s v="High"/>
  </r>
  <r>
    <s v="ORD-00003"/>
    <x v="256"/>
    <s v="Customer 161"/>
    <x v="2"/>
    <x v="4"/>
    <x v="3"/>
    <s v="Jaipur"/>
    <x v="0"/>
    <n v="2"/>
    <n v="2200"/>
    <n v="0"/>
    <n v="4400"/>
    <n v="2900"/>
    <n v="1500"/>
    <n v="4400"/>
    <n v="1500"/>
    <n v="0.34090909090909088"/>
    <s v="Jun-2026"/>
    <x v="1"/>
    <s v="High"/>
  </r>
  <r>
    <s v="ORD-00034"/>
    <x v="256"/>
    <s v="Customer 048"/>
    <x v="3"/>
    <x v="14"/>
    <x v="2"/>
    <s v="Ahmedabad"/>
    <x v="0"/>
    <n v="1"/>
    <n v="280"/>
    <n v="0"/>
    <n v="280"/>
    <n v="150"/>
    <n v="130"/>
    <n v="280"/>
    <n v="130"/>
    <n v="0.4642857142857143"/>
    <s v="Jun-2026"/>
    <x v="1"/>
    <s v="High"/>
  </r>
  <r>
    <s v="ORD-00236"/>
    <x v="256"/>
    <s v="Customer 141"/>
    <x v="2"/>
    <x v="19"/>
    <x v="1"/>
    <s v="Patna"/>
    <x v="1"/>
    <n v="3"/>
    <n v="900"/>
    <n v="0"/>
    <n v="2700"/>
    <n v="1560"/>
    <n v="1140"/>
    <n v="2700"/>
    <n v="1140"/>
    <n v="0.42222222222222222"/>
    <s v="Jun-2026"/>
    <x v="1"/>
    <s v="High"/>
  </r>
  <r>
    <s v="ORD-00241"/>
    <x v="256"/>
    <s v="Customer 137"/>
    <x v="3"/>
    <x v="14"/>
    <x v="3"/>
    <s v="Lucknow"/>
    <x v="2"/>
    <n v="7"/>
    <n v="280"/>
    <n v="0.05"/>
    <n v="1862"/>
    <n v="1050"/>
    <n v="812"/>
    <n v="1862"/>
    <n v="812"/>
    <n v="0.43609022556390975"/>
    <s v="Jun-2026"/>
    <x v="1"/>
    <s v="High"/>
  </r>
  <r>
    <s v="ORD-00367"/>
    <x v="256"/>
    <s v="Customer 182"/>
    <x v="0"/>
    <x v="5"/>
    <x v="0"/>
    <s v="Kochi"/>
    <x v="3"/>
    <n v="9"/>
    <n v="650"/>
    <n v="0"/>
    <n v="5850"/>
    <n v="3420"/>
    <n v="2430"/>
    <n v="5850"/>
    <n v="2430"/>
    <n v="0.41538461538461541"/>
    <s v="Jun-2026"/>
    <x v="1"/>
    <s v="High"/>
  </r>
  <r>
    <s v="ORD-00441"/>
    <x v="257"/>
    <s v="Customer 098"/>
    <x v="2"/>
    <x v="19"/>
    <x v="2"/>
    <s v="Mumbai"/>
    <x v="5"/>
    <n v="10"/>
    <n v="900"/>
    <n v="0.15"/>
    <n v="7650"/>
    <n v="5200"/>
    <n v="2450"/>
    <n v="7650"/>
    <n v="2450"/>
    <n v="0.3202614379084967"/>
    <s v="Jun-2026"/>
    <x v="1"/>
    <s v="High"/>
  </r>
  <r>
    <s v="ORD-00585"/>
    <x v="257"/>
    <s v="Customer 040"/>
    <x v="0"/>
    <x v="16"/>
    <x v="0"/>
    <s v="Chennai"/>
    <x v="5"/>
    <n v="4"/>
    <n v="1200"/>
    <n v="0"/>
    <n v="4800"/>
    <n v="2880"/>
    <n v="1920"/>
    <n v="4800"/>
    <n v="1920"/>
    <n v="0.4"/>
    <s v="Jun-2026"/>
    <x v="1"/>
    <s v="High"/>
  </r>
  <r>
    <s v="ORD-00671"/>
    <x v="257"/>
    <s v="Customer 152"/>
    <x v="0"/>
    <x v="2"/>
    <x v="2"/>
    <s v="Nashik"/>
    <x v="4"/>
    <n v="7"/>
    <n v="1500"/>
    <n v="0"/>
    <n v="10500"/>
    <n v="6300"/>
    <n v="4200"/>
    <n v="10500"/>
    <n v="4200"/>
    <n v="0.4"/>
    <s v="Jun-2026"/>
    <x v="1"/>
    <s v="High"/>
  </r>
  <r>
    <s v="ORD-00229"/>
    <x v="258"/>
    <s v="Customer 083"/>
    <x v="3"/>
    <x v="15"/>
    <x v="3"/>
    <s v="Jaipur"/>
    <x v="5"/>
    <n v="2"/>
    <n v="450"/>
    <n v="0.1"/>
    <n v="810"/>
    <n v="500"/>
    <n v="310"/>
    <n v="810"/>
    <n v="310"/>
    <n v="0.38271604938271603"/>
    <s v="Jun-2026"/>
    <x v="1"/>
    <s v="High"/>
  </r>
  <r>
    <s v="ORD-00673"/>
    <x v="258"/>
    <s v="Customer 171"/>
    <x v="0"/>
    <x v="16"/>
    <x v="3"/>
    <s v="Chandigarh"/>
    <x v="1"/>
    <n v="9"/>
    <n v="1200"/>
    <n v="0"/>
    <n v="10800"/>
    <n v="6480"/>
    <n v="4320"/>
    <n v="10800"/>
    <n v="4320"/>
    <n v="0.4"/>
    <s v="Jun-2026"/>
    <x v="1"/>
    <s v="High"/>
  </r>
  <r>
    <s v="ORD-00895"/>
    <x v="258"/>
    <s v="Customer 135"/>
    <x v="1"/>
    <x v="3"/>
    <x v="2"/>
    <s v="Nashik"/>
    <x v="2"/>
    <n v="1"/>
    <n v="700"/>
    <n v="0"/>
    <n v="700"/>
    <n v="400"/>
    <n v="300"/>
    <n v="700"/>
    <n v="300"/>
    <n v="0.42857142857142855"/>
    <s v="Jun-2026"/>
    <x v="1"/>
    <s v="High"/>
  </r>
  <r>
    <s v="ORD-00629"/>
    <x v="259"/>
    <s v="Customer 149"/>
    <x v="3"/>
    <x v="12"/>
    <x v="2"/>
    <s v="Ahmedabad"/>
    <x v="2"/>
    <n v="4"/>
    <n v="150"/>
    <n v="0.05"/>
    <n v="570"/>
    <n v="300"/>
    <n v="270"/>
    <n v="570"/>
    <n v="270"/>
    <n v="0.47368421052631576"/>
    <s v="Jun-2026"/>
    <x v="1"/>
    <s v="High"/>
  </r>
  <r>
    <s v="ORD-00292"/>
    <x v="260"/>
    <s v="Customer 128"/>
    <x v="0"/>
    <x v="0"/>
    <x v="0"/>
    <s v="Bengaluru"/>
    <x v="5"/>
    <n v="7"/>
    <n v="1800"/>
    <n v="0.05"/>
    <n v="11970"/>
    <n v="7700"/>
    <n v="4270"/>
    <n v="11970"/>
    <n v="4270"/>
    <n v="0.35672514619883039"/>
    <s v="Jun-2026"/>
    <x v="1"/>
    <s v="High"/>
  </r>
  <r>
    <s v="ORD-00953"/>
    <x v="260"/>
    <s v="Customer 147"/>
    <x v="1"/>
    <x v="10"/>
    <x v="3"/>
    <s v="Delhi"/>
    <x v="3"/>
    <n v="4"/>
    <n v="950"/>
    <n v="0"/>
    <n v="3800"/>
    <n v="2240"/>
    <n v="1560"/>
    <n v="3800"/>
    <n v="1560"/>
    <n v="0.41052631578947368"/>
    <s v="Jun-2026"/>
    <x v="1"/>
    <s v="High"/>
  </r>
  <r>
    <s v="ORD-00080"/>
    <x v="261"/>
    <s v="Customer 063"/>
    <x v="1"/>
    <x v="9"/>
    <x v="1"/>
    <s v="Patna"/>
    <x v="4"/>
    <n v="1"/>
    <n v="350"/>
    <n v="0"/>
    <n v="350"/>
    <n v="180"/>
    <n v="170"/>
    <n v="350"/>
    <n v="170"/>
    <n v="0.48571428571428571"/>
    <s v="Jun-2026"/>
    <x v="1"/>
    <s v="High"/>
  </r>
  <r>
    <s v="ORD-00121"/>
    <x v="261"/>
    <s v="Customer 043"/>
    <x v="1"/>
    <x v="3"/>
    <x v="0"/>
    <s v="Chennai"/>
    <x v="3"/>
    <n v="3"/>
    <n v="700"/>
    <n v="0.05"/>
    <n v="1995"/>
    <n v="1200"/>
    <n v="795"/>
    <n v="1995"/>
    <n v="795"/>
    <n v="0.39849624060150374"/>
    <s v="Jun-2026"/>
    <x v="1"/>
    <s v="High"/>
  </r>
  <r>
    <s v="ORD-00896"/>
    <x v="261"/>
    <s v="Customer 133"/>
    <x v="0"/>
    <x v="2"/>
    <x v="3"/>
    <s v="Chandigarh"/>
    <x v="1"/>
    <n v="5"/>
    <n v="1500"/>
    <n v="0.1"/>
    <n v="6750"/>
    <n v="4500"/>
    <n v="2250"/>
    <n v="6750"/>
    <n v="2250"/>
    <n v="0.33333333333333331"/>
    <s v="Jun-2026"/>
    <x v="1"/>
    <s v="High"/>
  </r>
  <r>
    <s v="ORD-00020"/>
    <x v="262"/>
    <s v="Customer 190"/>
    <x v="0"/>
    <x v="5"/>
    <x v="0"/>
    <s v="Hyderabad"/>
    <x v="4"/>
    <n v="1"/>
    <n v="650"/>
    <n v="0"/>
    <n v="650"/>
    <n v="380"/>
    <n v="270"/>
    <n v="650"/>
    <n v="270"/>
    <n v="0.41538461538461541"/>
    <s v="Jun-2026"/>
    <x v="1"/>
    <s v="High"/>
  </r>
  <r>
    <s v="ORD-00722"/>
    <x v="262"/>
    <s v="Customer 171"/>
    <x v="0"/>
    <x v="5"/>
    <x v="1"/>
    <s v="Ranchi"/>
    <x v="3"/>
    <n v="4"/>
    <n v="650"/>
    <n v="0"/>
    <n v="2600"/>
    <n v="1520"/>
    <n v="1080"/>
    <n v="2600"/>
    <n v="1080"/>
    <n v="0.41538461538461541"/>
    <s v="Jun-2026"/>
    <x v="1"/>
    <s v="High"/>
  </r>
  <r>
    <s v="ORD-00706"/>
    <x v="263"/>
    <s v="Customer 131"/>
    <x v="3"/>
    <x v="6"/>
    <x v="3"/>
    <s v="Chandigarh"/>
    <x v="3"/>
    <n v="10"/>
    <n v="180"/>
    <n v="0"/>
    <n v="1800"/>
    <n v="900"/>
    <n v="900"/>
    <n v="1800"/>
    <n v="900"/>
    <n v="0.5"/>
    <s v="Jun-2026"/>
    <x v="1"/>
    <s v="High"/>
  </r>
  <r>
    <s v="ORD-00056"/>
    <x v="264"/>
    <s v="Customer 141"/>
    <x v="1"/>
    <x v="11"/>
    <x v="2"/>
    <s v="Ahmedabad"/>
    <x v="0"/>
    <n v="10"/>
    <n v="550"/>
    <n v="0"/>
    <n v="5500"/>
    <n v="3000"/>
    <n v="2500"/>
    <n v="5500"/>
    <n v="2500"/>
    <n v="0.45454545454545453"/>
    <s v="Jun-2026"/>
    <x v="1"/>
    <s v="High"/>
  </r>
  <r>
    <s v="ORD-00130"/>
    <x v="264"/>
    <s v="Customer 063"/>
    <x v="0"/>
    <x v="8"/>
    <x v="3"/>
    <s v="Delhi"/>
    <x v="3"/>
    <n v="8"/>
    <n v="2200"/>
    <n v="0"/>
    <n v="17600"/>
    <n v="11200"/>
    <n v="6400"/>
    <n v="17600"/>
    <n v="6400"/>
    <n v="0.36363636363636365"/>
    <s v="Jun-2026"/>
    <x v="1"/>
    <s v="High"/>
  </r>
  <r>
    <s v="ORD-00363"/>
    <x v="264"/>
    <s v="Customer 105"/>
    <x v="2"/>
    <x v="4"/>
    <x v="3"/>
    <s v="Lucknow"/>
    <x v="2"/>
    <n v="9"/>
    <n v="2200"/>
    <n v="0.1"/>
    <n v="17820"/>
    <n v="13050"/>
    <n v="4770"/>
    <n v="17820"/>
    <n v="4770"/>
    <n v="0.26767676767676768"/>
    <s v="Jun-2026"/>
    <x v="1"/>
    <s v="Medium"/>
  </r>
  <r>
    <s v="ORD-00636"/>
    <x v="264"/>
    <s v="Customer 070"/>
    <x v="0"/>
    <x v="2"/>
    <x v="0"/>
    <s v="Kochi"/>
    <x v="4"/>
    <n v="3"/>
    <n v="1500"/>
    <n v="0.1"/>
    <n v="4050"/>
    <n v="2700"/>
    <n v="1350"/>
    <n v="4050"/>
    <n v="1350"/>
    <n v="0.33333333333333331"/>
    <s v="Jun-2026"/>
    <x v="1"/>
    <s v="High"/>
  </r>
  <r>
    <s v="ORD-00875"/>
    <x v="264"/>
    <s v="Customer 054"/>
    <x v="0"/>
    <x v="8"/>
    <x v="1"/>
    <s v="Ranchi"/>
    <x v="2"/>
    <n v="7"/>
    <n v="2200"/>
    <n v="0"/>
    <n v="15400"/>
    <n v="9800"/>
    <n v="5600"/>
    <n v="15400"/>
    <n v="5600"/>
    <n v="0.36363636363636365"/>
    <s v="Jun-2026"/>
    <x v="1"/>
    <s v="High"/>
  </r>
  <r>
    <s v="ORD-00133"/>
    <x v="265"/>
    <s v="Customer 144"/>
    <x v="1"/>
    <x v="3"/>
    <x v="1"/>
    <s v="Patna"/>
    <x v="3"/>
    <n v="1"/>
    <n v="700"/>
    <n v="0"/>
    <n v="700"/>
    <n v="400"/>
    <n v="300"/>
    <n v="700"/>
    <n v="300"/>
    <n v="0.42857142857142855"/>
    <s v="Jun-2026"/>
    <x v="1"/>
    <s v="High"/>
  </r>
  <r>
    <s v="ORD-00147"/>
    <x v="266"/>
    <s v="Customer 134"/>
    <x v="2"/>
    <x v="7"/>
    <x v="3"/>
    <s v="Jaipur"/>
    <x v="3"/>
    <n v="5"/>
    <n v="500"/>
    <n v="0"/>
    <n v="2500"/>
    <n v="1400"/>
    <n v="1100"/>
    <n v="2500"/>
    <n v="1100"/>
    <n v="0.44"/>
    <s v="Jun-2026"/>
    <x v="1"/>
    <s v="High"/>
  </r>
  <r>
    <s v="ORD-00226"/>
    <x v="266"/>
    <s v="Customer 142"/>
    <x v="0"/>
    <x v="5"/>
    <x v="3"/>
    <s v="Chandigarh"/>
    <x v="5"/>
    <n v="1"/>
    <n v="650"/>
    <n v="0.05"/>
    <n v="617.5"/>
    <n v="380"/>
    <n v="237.5"/>
    <n v="617.5"/>
    <n v="237.5"/>
    <n v="0.38461538461538464"/>
    <s v="Jun-2026"/>
    <x v="1"/>
    <s v="High"/>
  </r>
  <r>
    <s v="ORD-00557"/>
    <x v="266"/>
    <s v="Customer 084"/>
    <x v="1"/>
    <x v="10"/>
    <x v="0"/>
    <s v="Bengaluru"/>
    <x v="1"/>
    <n v="4"/>
    <n v="950"/>
    <n v="0.05"/>
    <n v="3610"/>
    <n v="2240"/>
    <n v="1370"/>
    <n v="3610"/>
    <n v="1370"/>
    <n v="0.37950138504155123"/>
    <s v="Jun-2026"/>
    <x v="1"/>
    <s v="High"/>
  </r>
  <r>
    <s v="ORD-00982"/>
    <x v="266"/>
    <s v="Customer 123"/>
    <x v="1"/>
    <x v="10"/>
    <x v="3"/>
    <s v="Jaipur"/>
    <x v="1"/>
    <n v="6"/>
    <n v="950"/>
    <n v="0.05"/>
    <n v="5415"/>
    <n v="3360"/>
    <n v="2055"/>
    <n v="5415"/>
    <n v="2055"/>
    <n v="0.37950138504155123"/>
    <s v="Jun-2026"/>
    <x v="1"/>
    <s v="High"/>
  </r>
  <r>
    <s v="ORD-00135"/>
    <x v="267"/>
    <s v="Customer 010"/>
    <x v="1"/>
    <x v="1"/>
    <x v="2"/>
    <s v="Ahmedabad"/>
    <x v="2"/>
    <n v="7"/>
    <n v="600"/>
    <n v="0.1"/>
    <n v="3780"/>
    <n v="2310"/>
    <n v="1470"/>
    <n v="3780"/>
    <n v="1470"/>
    <n v="0.3888888888888889"/>
    <s v="Jun-2026"/>
    <x v="1"/>
    <s v="High"/>
  </r>
  <r>
    <s v="ORD-00136"/>
    <x v="267"/>
    <s v="Customer 178"/>
    <x v="2"/>
    <x v="17"/>
    <x v="1"/>
    <s v="Kolkata"/>
    <x v="5"/>
    <n v="7"/>
    <n v="650"/>
    <n v="0.15"/>
    <n v="3867.5"/>
    <n v="2450"/>
    <n v="1417.5"/>
    <n v="3867.5"/>
    <n v="1417.5"/>
    <n v="0.36651583710407237"/>
    <s v="Jun-2026"/>
    <x v="1"/>
    <s v="High"/>
  </r>
  <r>
    <s v="ORD-00206"/>
    <x v="267"/>
    <s v="Customer 051"/>
    <x v="0"/>
    <x v="8"/>
    <x v="2"/>
    <s v="Ahmedabad"/>
    <x v="0"/>
    <n v="7"/>
    <n v="2200"/>
    <n v="0"/>
    <n v="15400"/>
    <n v="9800"/>
    <n v="5600"/>
    <n v="15400"/>
    <n v="5600"/>
    <n v="0.36363636363636365"/>
    <s v="Jun-2026"/>
    <x v="1"/>
    <s v="High"/>
  </r>
  <r>
    <s v="ORD-00532"/>
    <x v="267"/>
    <s v="Customer 139"/>
    <x v="2"/>
    <x v="17"/>
    <x v="1"/>
    <s v="Bhubaneswar"/>
    <x v="5"/>
    <n v="9"/>
    <n v="650"/>
    <n v="0.05"/>
    <n v="5557.5"/>
    <n v="3150"/>
    <n v="2407.5"/>
    <n v="5557.5"/>
    <n v="2407.5"/>
    <n v="0.4331983805668016"/>
    <s v="Jun-2026"/>
    <x v="1"/>
    <s v="High"/>
  </r>
  <r>
    <s v="ORD-00564"/>
    <x v="267"/>
    <s v="Customer 015"/>
    <x v="2"/>
    <x v="19"/>
    <x v="1"/>
    <s v="Patna"/>
    <x v="0"/>
    <n v="2"/>
    <n v="900"/>
    <n v="0"/>
    <n v="1800"/>
    <n v="1040"/>
    <n v="760"/>
    <n v="1800"/>
    <n v="760"/>
    <n v="0.42222222222222222"/>
    <s v="Jun-2026"/>
    <x v="1"/>
    <s v="High"/>
  </r>
  <r>
    <s v="ORD-00618"/>
    <x v="267"/>
    <s v="Customer 066"/>
    <x v="2"/>
    <x v="18"/>
    <x v="2"/>
    <s v="Mumbai"/>
    <x v="3"/>
    <n v="3"/>
    <n v="350"/>
    <n v="0.15"/>
    <n v="892.5"/>
    <n v="510"/>
    <n v="382.5"/>
    <n v="892.5"/>
    <n v="382.5"/>
    <n v="0.42857142857142855"/>
    <s v="Jun-2026"/>
    <x v="1"/>
    <s v="High"/>
  </r>
  <r>
    <s v="ORD-00928"/>
    <x v="267"/>
    <s v="Customer 041"/>
    <x v="3"/>
    <x v="6"/>
    <x v="2"/>
    <s v="Pune"/>
    <x v="1"/>
    <n v="4"/>
    <n v="180"/>
    <n v="0"/>
    <n v="720"/>
    <n v="360"/>
    <n v="360"/>
    <n v="720"/>
    <n v="360"/>
    <n v="0.5"/>
    <s v="Jun-2026"/>
    <x v="1"/>
    <s v="High"/>
  </r>
  <r>
    <s v="ORD-00052"/>
    <x v="268"/>
    <s v="Customer 101"/>
    <x v="0"/>
    <x v="16"/>
    <x v="3"/>
    <s v="Chandigarh"/>
    <x v="2"/>
    <n v="5"/>
    <n v="1200"/>
    <n v="0.05"/>
    <n v="5700"/>
    <n v="3600"/>
    <n v="2100"/>
    <n v="5700"/>
    <n v="2100"/>
    <n v="0.36842105263157893"/>
    <s v="Jun-2026"/>
    <x v="1"/>
    <s v="High"/>
  </r>
  <r>
    <s v="ORD-00102"/>
    <x v="268"/>
    <s v="Customer 181"/>
    <x v="1"/>
    <x v="3"/>
    <x v="1"/>
    <s v="Patna"/>
    <x v="1"/>
    <n v="6"/>
    <n v="700"/>
    <n v="0.05"/>
    <n v="3990"/>
    <n v="2400"/>
    <n v="1590"/>
    <n v="3990"/>
    <n v="1590"/>
    <n v="0.39849624060150374"/>
    <s v="Jun-2026"/>
    <x v="1"/>
    <s v="High"/>
  </r>
  <r>
    <s v="ORD-00118"/>
    <x v="268"/>
    <s v="Customer 196"/>
    <x v="1"/>
    <x v="3"/>
    <x v="1"/>
    <s v="Kolkata"/>
    <x v="1"/>
    <n v="6"/>
    <n v="700"/>
    <n v="0.1"/>
    <n v="3780"/>
    <n v="2400"/>
    <n v="1380"/>
    <n v="3780"/>
    <n v="1380"/>
    <n v="0.36507936507936506"/>
    <s v="Jun-2026"/>
    <x v="1"/>
    <s v="High"/>
  </r>
  <r>
    <s v="ORD-00958"/>
    <x v="268"/>
    <s v="Customer 040"/>
    <x v="0"/>
    <x v="2"/>
    <x v="0"/>
    <s v="Kochi"/>
    <x v="5"/>
    <n v="1"/>
    <n v="1500"/>
    <n v="0.05"/>
    <n v="1425"/>
    <n v="900"/>
    <n v="525"/>
    <n v="1425"/>
    <n v="525"/>
    <n v="0.36842105263157893"/>
    <s v="Jun-2026"/>
    <x v="1"/>
    <s v="High"/>
  </r>
  <r>
    <s v="ORD-00473"/>
    <x v="269"/>
    <s v="Customer 150"/>
    <x v="1"/>
    <x v="1"/>
    <x v="0"/>
    <s v="Chennai"/>
    <x v="3"/>
    <n v="2"/>
    <n v="600"/>
    <n v="0"/>
    <n v="1200"/>
    <n v="660"/>
    <n v="540"/>
    <n v="1200"/>
    <n v="540"/>
    <n v="0.45"/>
    <s v="Jun-2026"/>
    <x v="1"/>
    <s v="High"/>
  </r>
  <r>
    <s v="ORD-00482"/>
    <x v="269"/>
    <s v="Customer 040"/>
    <x v="0"/>
    <x v="5"/>
    <x v="2"/>
    <s v="Pune"/>
    <x v="3"/>
    <n v="5"/>
    <n v="650"/>
    <n v="0"/>
    <n v="3250"/>
    <n v="1900"/>
    <n v="1350"/>
    <n v="3250"/>
    <n v="1350"/>
    <n v="0.41538461538461541"/>
    <s v="Jun-2026"/>
    <x v="1"/>
    <s v="High"/>
  </r>
  <r>
    <s v="ORD-00154"/>
    <x v="270"/>
    <s v="Customer 131"/>
    <x v="3"/>
    <x v="14"/>
    <x v="0"/>
    <s v="Kochi"/>
    <x v="2"/>
    <n v="10"/>
    <n v="280"/>
    <n v="0.05"/>
    <n v="2660"/>
    <n v="1500"/>
    <n v="1160"/>
    <n v="2660"/>
    <n v="1160"/>
    <n v="0.43609022556390975"/>
    <s v="Jun-2026"/>
    <x v="1"/>
    <s v="High"/>
  </r>
  <r>
    <s v="ORD-00231"/>
    <x v="270"/>
    <s v="Customer 172"/>
    <x v="3"/>
    <x v="14"/>
    <x v="2"/>
    <s v="Mumbai"/>
    <x v="1"/>
    <n v="1"/>
    <n v="280"/>
    <n v="0.05"/>
    <n v="266"/>
    <n v="150"/>
    <n v="116"/>
    <n v="266"/>
    <n v="116"/>
    <n v="0.43609022556390975"/>
    <s v="Jun-2026"/>
    <x v="1"/>
    <s v="High"/>
  </r>
  <r>
    <s v="ORD-00354"/>
    <x v="270"/>
    <s v="Customer 176"/>
    <x v="2"/>
    <x v="7"/>
    <x v="2"/>
    <s v="Mumbai"/>
    <x v="5"/>
    <n v="3"/>
    <n v="500"/>
    <n v="0"/>
    <n v="1500"/>
    <n v="840"/>
    <n v="660"/>
    <n v="1500"/>
    <n v="660"/>
    <n v="0.44"/>
    <s v="Jun-2026"/>
    <x v="1"/>
    <s v="High"/>
  </r>
  <r>
    <s v="ORD-00732"/>
    <x v="270"/>
    <s v="Customer 114"/>
    <x v="1"/>
    <x v="3"/>
    <x v="1"/>
    <s v="Patna"/>
    <x v="5"/>
    <n v="3"/>
    <n v="700"/>
    <n v="0"/>
    <n v="2100"/>
    <n v="1200"/>
    <n v="900"/>
    <n v="2100"/>
    <n v="900"/>
    <n v="0.42857142857142855"/>
    <s v="Jun-2026"/>
    <x v="1"/>
    <s v="High"/>
  </r>
  <r>
    <s v="ORD-00257"/>
    <x v="271"/>
    <s v="Customer 151"/>
    <x v="1"/>
    <x v="1"/>
    <x v="3"/>
    <s v="Chandigarh"/>
    <x v="2"/>
    <n v="2"/>
    <n v="600"/>
    <n v="0"/>
    <n v="1200"/>
    <n v="660"/>
    <n v="540"/>
    <n v="1200"/>
    <n v="540"/>
    <n v="0.45"/>
    <s v="Jun-2026"/>
    <x v="1"/>
    <s v="High"/>
  </r>
  <r>
    <s v="ORD-00656"/>
    <x v="271"/>
    <s v="Customer 178"/>
    <x v="0"/>
    <x v="16"/>
    <x v="2"/>
    <s v="Mumbai"/>
    <x v="0"/>
    <n v="3"/>
    <n v="1200"/>
    <n v="0"/>
    <n v="3600"/>
    <n v="2160"/>
    <n v="1440"/>
    <n v="3600"/>
    <n v="1440"/>
    <n v="0.4"/>
    <s v="Jun-2026"/>
    <x v="1"/>
    <s v="High"/>
  </r>
  <r>
    <s v="ORD-00794"/>
    <x v="271"/>
    <s v="Customer 025"/>
    <x v="0"/>
    <x v="8"/>
    <x v="3"/>
    <s v="Chandigarh"/>
    <x v="0"/>
    <n v="2"/>
    <n v="2200"/>
    <n v="0"/>
    <n v="4400"/>
    <n v="2800"/>
    <n v="1600"/>
    <n v="4400"/>
    <n v="1600"/>
    <n v="0.36363636363636365"/>
    <s v="Jun-2026"/>
    <x v="1"/>
    <s v="High"/>
  </r>
  <r>
    <s v="ORD-00124"/>
    <x v="272"/>
    <s v="Customer 072"/>
    <x v="1"/>
    <x v="1"/>
    <x v="1"/>
    <s v="Ranchi"/>
    <x v="2"/>
    <n v="4"/>
    <n v="600"/>
    <n v="0.1"/>
    <n v="2160"/>
    <n v="1320"/>
    <n v="840"/>
    <n v="2160"/>
    <n v="840"/>
    <n v="0.3888888888888889"/>
    <s v="Jun-2026"/>
    <x v="1"/>
    <s v="High"/>
  </r>
  <r>
    <s v="ORD-00168"/>
    <x v="272"/>
    <s v="Customer 061"/>
    <x v="0"/>
    <x v="5"/>
    <x v="2"/>
    <s v="Ahmedabad"/>
    <x v="5"/>
    <n v="4"/>
    <n v="650"/>
    <n v="0"/>
    <n v="2600"/>
    <n v="1520"/>
    <n v="1080"/>
    <n v="2600"/>
    <n v="1080"/>
    <n v="0.41538461538461541"/>
    <s v="Jun-2026"/>
    <x v="1"/>
    <s v="High"/>
  </r>
  <r>
    <s v="ORD-00245"/>
    <x v="272"/>
    <s v="Customer 143"/>
    <x v="1"/>
    <x v="9"/>
    <x v="2"/>
    <s v="Nashik"/>
    <x v="3"/>
    <n v="5"/>
    <n v="350"/>
    <n v="0"/>
    <n v="1750"/>
    <n v="900"/>
    <n v="850"/>
    <n v="1750"/>
    <n v="850"/>
    <n v="0.48571428571428571"/>
    <s v="Jun-2026"/>
    <x v="1"/>
    <s v="High"/>
  </r>
  <r>
    <s v="ORD-00569"/>
    <x v="272"/>
    <s v="Customer 115"/>
    <x v="1"/>
    <x v="3"/>
    <x v="1"/>
    <s v="Bhubaneswar"/>
    <x v="0"/>
    <n v="2"/>
    <n v="700"/>
    <n v="0.05"/>
    <n v="1330"/>
    <n v="800"/>
    <n v="530"/>
    <n v="1330"/>
    <n v="530"/>
    <n v="0.39849624060150374"/>
    <s v="Jun-2026"/>
    <x v="1"/>
    <s v="High"/>
  </r>
  <r>
    <s v="ORD-00865"/>
    <x v="272"/>
    <s v="Customer 148"/>
    <x v="1"/>
    <x v="9"/>
    <x v="3"/>
    <s v="Lucknow"/>
    <x v="0"/>
    <n v="2"/>
    <n v="350"/>
    <n v="0"/>
    <n v="700"/>
    <n v="360"/>
    <n v="340"/>
    <n v="700"/>
    <n v="340"/>
    <n v="0.48571428571428571"/>
    <s v="Jun-2026"/>
    <x v="1"/>
    <s v="High"/>
  </r>
  <r>
    <s v="ORD-00681"/>
    <x v="273"/>
    <s v="Customer 077"/>
    <x v="2"/>
    <x v="18"/>
    <x v="3"/>
    <s v="Lucknow"/>
    <x v="1"/>
    <n v="3"/>
    <n v="350"/>
    <n v="0.05"/>
    <n v="997.5"/>
    <n v="510"/>
    <n v="487.5"/>
    <n v="997.5"/>
    <n v="487.5"/>
    <n v="0.48872180451127817"/>
    <s v="Jun-2026"/>
    <x v="1"/>
    <s v="High"/>
  </r>
  <r>
    <s v="ORD-00773"/>
    <x v="273"/>
    <s v="Customer 189"/>
    <x v="3"/>
    <x v="12"/>
    <x v="1"/>
    <s v="Patna"/>
    <x v="0"/>
    <n v="7"/>
    <n v="150"/>
    <n v="0"/>
    <n v="1050"/>
    <n v="525"/>
    <n v="525"/>
    <n v="1050"/>
    <n v="525"/>
    <n v="0.5"/>
    <s v="Jun-2026"/>
    <x v="1"/>
    <s v="High"/>
  </r>
  <r>
    <s v="ORD-00502"/>
    <x v="274"/>
    <s v="Customer 128"/>
    <x v="0"/>
    <x v="2"/>
    <x v="1"/>
    <s v="Kolkata"/>
    <x v="2"/>
    <n v="5"/>
    <n v="1500"/>
    <n v="0"/>
    <n v="7500"/>
    <n v="4500"/>
    <n v="3000"/>
    <n v="7500"/>
    <n v="3000"/>
    <n v="0.4"/>
    <s v="Jun-2026"/>
    <x v="1"/>
    <s v="High"/>
  </r>
  <r>
    <s v="ORD-00114"/>
    <x v="275"/>
    <s v="Customer 072"/>
    <x v="3"/>
    <x v="12"/>
    <x v="2"/>
    <s v="Mumbai"/>
    <x v="1"/>
    <n v="10"/>
    <n v="150"/>
    <n v="0"/>
    <n v="1500"/>
    <n v="750"/>
    <n v="750"/>
    <n v="1500"/>
    <n v="750"/>
    <n v="0.5"/>
    <s v="Jun-2026"/>
    <x v="1"/>
    <s v="High"/>
  </r>
  <r>
    <s v="ORD-00125"/>
    <x v="275"/>
    <s v="Customer 041"/>
    <x v="1"/>
    <x v="9"/>
    <x v="2"/>
    <s v="Pune"/>
    <x v="1"/>
    <n v="3"/>
    <n v="350"/>
    <n v="0.05"/>
    <n v="997.5"/>
    <n v="540"/>
    <n v="457.5"/>
    <n v="997.5"/>
    <n v="457.5"/>
    <n v="0.45864661654135336"/>
    <s v="Jun-2026"/>
    <x v="1"/>
    <s v="High"/>
  </r>
  <r>
    <s v="ORD-00827"/>
    <x v="276"/>
    <s v="Customer 119"/>
    <x v="3"/>
    <x v="12"/>
    <x v="3"/>
    <s v="Delhi"/>
    <x v="2"/>
    <n v="4"/>
    <n v="150"/>
    <n v="0"/>
    <n v="600"/>
    <n v="300"/>
    <n v="300"/>
    <n v="600"/>
    <n v="300"/>
    <n v="0.5"/>
    <s v="Jun-2026"/>
    <x v="1"/>
    <s v="High"/>
  </r>
  <r>
    <s v="ORD-00905"/>
    <x v="276"/>
    <s v="Customer 130"/>
    <x v="1"/>
    <x v="10"/>
    <x v="2"/>
    <s v="Nashik"/>
    <x v="5"/>
    <n v="2"/>
    <n v="950"/>
    <n v="0"/>
    <n v="1900"/>
    <n v="1120"/>
    <n v="780"/>
    <n v="1900"/>
    <n v="780"/>
    <n v="0.41052631578947368"/>
    <s v="Jun-2026"/>
    <x v="1"/>
    <s v="High"/>
  </r>
  <r>
    <s v="ORD-00606"/>
    <x v="277"/>
    <s v="Customer 054"/>
    <x v="2"/>
    <x v="19"/>
    <x v="1"/>
    <s v="Bhubaneswar"/>
    <x v="3"/>
    <n v="2"/>
    <n v="900"/>
    <n v="0.1"/>
    <n v="1620"/>
    <n v="1040"/>
    <n v="580"/>
    <n v="1620"/>
    <n v="580"/>
    <n v="0.35802469135802467"/>
    <s v="Jun-2026"/>
    <x v="1"/>
    <s v="High"/>
  </r>
  <r>
    <s v="ORD-00697"/>
    <x v="277"/>
    <s v="Customer 141"/>
    <x v="2"/>
    <x v="19"/>
    <x v="3"/>
    <s v="Delhi"/>
    <x v="0"/>
    <n v="3"/>
    <n v="900"/>
    <n v="0.1"/>
    <n v="2430"/>
    <n v="1560"/>
    <n v="870"/>
    <n v="2430"/>
    <n v="870"/>
    <n v="0.35802469135802467"/>
    <s v="Jun-2026"/>
    <x v="1"/>
    <s v="High"/>
  </r>
  <r>
    <s v="ORD-00432"/>
    <x v="278"/>
    <s v="Customer 080"/>
    <x v="2"/>
    <x v="4"/>
    <x v="1"/>
    <s v="Patna"/>
    <x v="2"/>
    <n v="2"/>
    <n v="2200"/>
    <n v="0.05"/>
    <n v="4180"/>
    <n v="2900"/>
    <n v="1280"/>
    <n v="4180"/>
    <n v="1280"/>
    <n v="0.30622009569377989"/>
    <s v="Jun-2026"/>
    <x v="1"/>
    <s v="High"/>
  </r>
  <r>
    <s v="ORD-00538"/>
    <x v="278"/>
    <s v="Customer 150"/>
    <x v="0"/>
    <x v="8"/>
    <x v="3"/>
    <s v="Jaipur"/>
    <x v="0"/>
    <n v="8"/>
    <n v="2200"/>
    <n v="0"/>
    <n v="17600"/>
    <n v="11200"/>
    <n v="6400"/>
    <n v="17600"/>
    <n v="6400"/>
    <n v="0.36363636363636365"/>
    <s v="Jun-2026"/>
    <x v="1"/>
    <s v="High"/>
  </r>
  <r>
    <s v="ORD-00252"/>
    <x v="279"/>
    <s v="Customer 186"/>
    <x v="3"/>
    <x v="15"/>
    <x v="3"/>
    <s v="Lucknow"/>
    <x v="0"/>
    <n v="4"/>
    <n v="450"/>
    <n v="0"/>
    <n v="1800"/>
    <n v="1000"/>
    <n v="800"/>
    <n v="1800"/>
    <n v="800"/>
    <n v="0.44444444444444442"/>
    <s v="Jun-2026"/>
    <x v="1"/>
    <s v="High"/>
  </r>
  <r>
    <s v="ORD-00888"/>
    <x v="279"/>
    <s v="Customer 074"/>
    <x v="1"/>
    <x v="9"/>
    <x v="2"/>
    <s v="Pune"/>
    <x v="3"/>
    <n v="5"/>
    <n v="350"/>
    <n v="0"/>
    <n v="1750"/>
    <n v="900"/>
    <n v="850"/>
    <n v="1750"/>
    <n v="850"/>
    <n v="0.48571428571428571"/>
    <s v="Jun-2026"/>
    <x v="1"/>
    <s v="High"/>
  </r>
  <r>
    <s v="ORD-00011"/>
    <x v="280"/>
    <s v="Customer 065"/>
    <x v="1"/>
    <x v="11"/>
    <x v="1"/>
    <s v="Ranchi"/>
    <x v="4"/>
    <n v="9"/>
    <n v="550"/>
    <n v="0"/>
    <n v="4950"/>
    <n v="2700"/>
    <n v="2250"/>
    <n v="4950"/>
    <n v="2250"/>
    <n v="0.45454545454545453"/>
    <s v="Jun-2026"/>
    <x v="1"/>
    <s v="High"/>
  </r>
  <r>
    <s v="ORD-00197"/>
    <x v="280"/>
    <s v="Customer 033"/>
    <x v="0"/>
    <x v="16"/>
    <x v="3"/>
    <s v="Lucknow"/>
    <x v="0"/>
    <n v="6"/>
    <n v="1200"/>
    <n v="0"/>
    <n v="7200"/>
    <n v="4320"/>
    <n v="2880"/>
    <n v="7200"/>
    <n v="2880"/>
    <n v="0.4"/>
    <s v="Jun-2026"/>
    <x v="1"/>
    <s v="High"/>
  </r>
  <r>
    <s v="ORD-00677"/>
    <x v="280"/>
    <s v="Customer 114"/>
    <x v="0"/>
    <x v="8"/>
    <x v="3"/>
    <s v="Jaipur"/>
    <x v="0"/>
    <n v="2"/>
    <n v="2200"/>
    <n v="0.05"/>
    <n v="4180"/>
    <n v="2800"/>
    <n v="1380"/>
    <n v="4180"/>
    <n v="1380"/>
    <n v="0.33014354066985646"/>
    <s v="Jun-2026"/>
    <x v="1"/>
    <s v="High"/>
  </r>
  <r>
    <s v="ORD-00960"/>
    <x v="281"/>
    <s v="Customer 022"/>
    <x v="2"/>
    <x v="17"/>
    <x v="2"/>
    <s v="Nashik"/>
    <x v="3"/>
    <n v="7"/>
    <n v="650"/>
    <n v="0.05"/>
    <n v="4322.5"/>
    <n v="2450"/>
    <n v="1872.5"/>
    <n v="4322.5"/>
    <n v="1872.5"/>
    <n v="0.4331983805668016"/>
    <s v="Jun-2026"/>
    <x v="1"/>
    <s v="High"/>
  </r>
  <r>
    <s v="ORD-00964"/>
    <x v="281"/>
    <s v="Customer 136"/>
    <x v="1"/>
    <x v="11"/>
    <x v="2"/>
    <s v="Mumbai"/>
    <x v="2"/>
    <n v="4"/>
    <n v="550"/>
    <n v="0"/>
    <n v="2200"/>
    <n v="1200"/>
    <n v="1000"/>
    <n v="2200"/>
    <n v="1000"/>
    <n v="0.45454545454545453"/>
    <s v="Jun-2026"/>
    <x v="1"/>
    <s v="High"/>
  </r>
  <r>
    <s v="ORD-00156"/>
    <x v="282"/>
    <s v="Customer 012"/>
    <x v="2"/>
    <x v="19"/>
    <x v="2"/>
    <s v="Mumbai"/>
    <x v="1"/>
    <n v="10"/>
    <n v="900"/>
    <n v="0.05"/>
    <n v="8550"/>
    <n v="5200"/>
    <n v="3350"/>
    <n v="8550"/>
    <n v="3350"/>
    <n v="0.391812865497076"/>
    <s v="Jun-2026"/>
    <x v="1"/>
    <s v="High"/>
  </r>
  <r>
    <s v="ORD-00527"/>
    <x v="283"/>
    <s v="Customer 035"/>
    <x v="3"/>
    <x v="15"/>
    <x v="1"/>
    <s v="Patna"/>
    <x v="1"/>
    <n v="5"/>
    <n v="450"/>
    <n v="0.1"/>
    <n v="2025"/>
    <n v="1250"/>
    <n v="775"/>
    <n v="2025"/>
    <n v="775"/>
    <n v="0.38271604938271603"/>
    <s v="Jul-2026"/>
    <x v="1"/>
    <s v="High"/>
  </r>
  <r>
    <s v="ORD-00623"/>
    <x v="284"/>
    <s v="Customer 144"/>
    <x v="2"/>
    <x v="4"/>
    <x v="0"/>
    <s v="Hyderabad"/>
    <x v="2"/>
    <n v="1"/>
    <n v="2200"/>
    <n v="0.1"/>
    <n v="1980"/>
    <n v="1450"/>
    <n v="530"/>
    <n v="1980"/>
    <n v="530"/>
    <n v="0.26767676767676768"/>
    <s v="Jul-2026"/>
    <x v="1"/>
    <s v="Medium"/>
  </r>
  <r>
    <s v="ORD-00649"/>
    <x v="284"/>
    <s v="Customer 007"/>
    <x v="1"/>
    <x v="11"/>
    <x v="1"/>
    <s v="Bhubaneswar"/>
    <x v="1"/>
    <n v="4"/>
    <n v="550"/>
    <n v="0"/>
    <n v="2200"/>
    <n v="1200"/>
    <n v="1000"/>
    <n v="2200"/>
    <n v="1000"/>
    <n v="0.45454545454545453"/>
    <s v="Jul-2026"/>
    <x v="1"/>
    <s v="High"/>
  </r>
  <r>
    <s v="ORD-00948"/>
    <x v="284"/>
    <s v="Customer 098"/>
    <x v="2"/>
    <x v="7"/>
    <x v="1"/>
    <s v="Ranchi"/>
    <x v="1"/>
    <n v="4"/>
    <n v="500"/>
    <n v="0.1"/>
    <n v="1800"/>
    <n v="1120"/>
    <n v="680"/>
    <n v="1800"/>
    <n v="680"/>
    <n v="0.37777777777777777"/>
    <s v="Jul-2026"/>
    <x v="1"/>
    <s v="High"/>
  </r>
  <r>
    <s v="ORD-00622"/>
    <x v="285"/>
    <s v="Customer 171"/>
    <x v="1"/>
    <x v="1"/>
    <x v="1"/>
    <s v="Patna"/>
    <x v="3"/>
    <n v="10"/>
    <n v="600"/>
    <n v="0"/>
    <n v="6000"/>
    <n v="3300"/>
    <n v="2700"/>
    <n v="6000"/>
    <n v="2700"/>
    <n v="0.45"/>
    <s v="Jul-2026"/>
    <x v="1"/>
    <s v="High"/>
  </r>
  <r>
    <s v="ORD-00654"/>
    <x v="285"/>
    <s v="Customer 052"/>
    <x v="2"/>
    <x v="19"/>
    <x v="3"/>
    <s v="Jaipur"/>
    <x v="4"/>
    <n v="9"/>
    <n v="900"/>
    <n v="0.05"/>
    <n v="7695"/>
    <n v="4680"/>
    <n v="3015"/>
    <n v="7695"/>
    <n v="3015"/>
    <n v="0.391812865497076"/>
    <s v="Jul-2026"/>
    <x v="1"/>
    <s v="High"/>
  </r>
  <r>
    <s v="ORD-00672"/>
    <x v="285"/>
    <s v="Customer 012"/>
    <x v="1"/>
    <x v="11"/>
    <x v="3"/>
    <s v="Lucknow"/>
    <x v="4"/>
    <n v="8"/>
    <n v="550"/>
    <n v="0"/>
    <n v="4400"/>
    <n v="2400"/>
    <n v="2000"/>
    <n v="4400"/>
    <n v="2000"/>
    <n v="0.45454545454545453"/>
    <s v="Jul-2026"/>
    <x v="1"/>
    <s v="High"/>
  </r>
  <r>
    <s v="ORD-00046"/>
    <x v="286"/>
    <s v="Customer 144"/>
    <x v="3"/>
    <x v="14"/>
    <x v="1"/>
    <s v="Ranchi"/>
    <x v="5"/>
    <n v="3"/>
    <n v="280"/>
    <n v="0.05"/>
    <n v="798"/>
    <n v="450"/>
    <n v="348"/>
    <n v="798"/>
    <n v="348"/>
    <n v="0.43609022556390975"/>
    <s v="Jul-2026"/>
    <x v="1"/>
    <s v="High"/>
  </r>
  <r>
    <s v="ORD-00087"/>
    <x v="286"/>
    <s v="Customer 166"/>
    <x v="2"/>
    <x v="17"/>
    <x v="3"/>
    <s v="Jaipur"/>
    <x v="4"/>
    <n v="3"/>
    <n v="650"/>
    <n v="0.1"/>
    <n v="1755"/>
    <n v="1050"/>
    <n v="705"/>
    <n v="1755"/>
    <n v="705"/>
    <n v="0.40170940170940173"/>
    <s v="Jul-2026"/>
    <x v="1"/>
    <s v="High"/>
  </r>
  <r>
    <s v="ORD-00570"/>
    <x v="286"/>
    <s v="Customer 058"/>
    <x v="1"/>
    <x v="9"/>
    <x v="2"/>
    <s v="Nashik"/>
    <x v="4"/>
    <n v="4"/>
    <n v="350"/>
    <n v="0.15"/>
    <n v="1190"/>
    <n v="720"/>
    <n v="470"/>
    <n v="1190"/>
    <n v="470"/>
    <n v="0.3949579831932773"/>
    <s v="Jul-2026"/>
    <x v="1"/>
    <s v="High"/>
  </r>
  <r>
    <s v="ORD-00962"/>
    <x v="286"/>
    <s v="Customer 118"/>
    <x v="3"/>
    <x v="12"/>
    <x v="0"/>
    <s v="Bengaluru"/>
    <x v="5"/>
    <n v="1"/>
    <n v="150"/>
    <n v="0.05"/>
    <n v="142.5"/>
    <n v="75"/>
    <n v="67.5"/>
    <n v="142.5"/>
    <n v="67.5"/>
    <n v="0.47368421052631576"/>
    <s v="Jul-2026"/>
    <x v="1"/>
    <s v="High"/>
  </r>
  <r>
    <s v="ORD-00127"/>
    <x v="287"/>
    <s v="Customer 137"/>
    <x v="2"/>
    <x v="18"/>
    <x v="1"/>
    <s v="Patna"/>
    <x v="2"/>
    <n v="5"/>
    <n v="350"/>
    <n v="0"/>
    <n v="1750"/>
    <n v="850"/>
    <n v="900"/>
    <n v="1750"/>
    <n v="900"/>
    <n v="0.51428571428571423"/>
    <s v="Jul-2026"/>
    <x v="1"/>
    <s v="High"/>
  </r>
  <r>
    <s v="ORD-00771"/>
    <x v="287"/>
    <s v="Customer 010"/>
    <x v="1"/>
    <x v="11"/>
    <x v="3"/>
    <s v="Chandigarh"/>
    <x v="5"/>
    <n v="10"/>
    <n v="550"/>
    <n v="0"/>
    <n v="5500"/>
    <n v="3000"/>
    <n v="2500"/>
    <n v="5500"/>
    <n v="2500"/>
    <n v="0.45454545454545453"/>
    <s v="Jul-2026"/>
    <x v="1"/>
    <s v="High"/>
  </r>
  <r>
    <s v="ORD-00789"/>
    <x v="287"/>
    <s v="Customer 106"/>
    <x v="0"/>
    <x v="2"/>
    <x v="0"/>
    <s v="Kochi"/>
    <x v="4"/>
    <n v="8"/>
    <n v="1500"/>
    <n v="0.05"/>
    <n v="11400"/>
    <n v="7200"/>
    <n v="4200"/>
    <n v="11400"/>
    <n v="4200"/>
    <n v="0.36842105263157893"/>
    <s v="Jul-2026"/>
    <x v="1"/>
    <s v="High"/>
  </r>
  <r>
    <s v="ORD-00588"/>
    <x v="288"/>
    <s v="Customer 027"/>
    <x v="2"/>
    <x v="18"/>
    <x v="3"/>
    <s v="Jaipur"/>
    <x v="5"/>
    <n v="8"/>
    <n v="350"/>
    <n v="0.1"/>
    <n v="2520"/>
    <n v="1360"/>
    <n v="1160"/>
    <n v="2520"/>
    <n v="1160"/>
    <n v="0.46031746031746029"/>
    <s v="Jul-2026"/>
    <x v="1"/>
    <s v="High"/>
  </r>
  <r>
    <s v="ORD-00990"/>
    <x v="289"/>
    <s v="Customer 025"/>
    <x v="0"/>
    <x v="5"/>
    <x v="1"/>
    <s v="Kolkata"/>
    <x v="2"/>
    <n v="5"/>
    <n v="650"/>
    <n v="0.1"/>
    <n v="2925"/>
    <n v="1900"/>
    <n v="1025"/>
    <n v="2925"/>
    <n v="1025"/>
    <n v="0.3504273504273504"/>
    <s v="Jul-2026"/>
    <x v="1"/>
    <s v="High"/>
  </r>
  <r>
    <s v="ORD-00448"/>
    <x v="290"/>
    <s v="Customer 138"/>
    <x v="3"/>
    <x v="14"/>
    <x v="2"/>
    <s v="Ahmedabad"/>
    <x v="1"/>
    <n v="6"/>
    <n v="280"/>
    <n v="0"/>
    <n v="1680"/>
    <n v="900"/>
    <n v="780"/>
    <n v="1680"/>
    <n v="780"/>
    <n v="0.4642857142857143"/>
    <s v="Jul-2026"/>
    <x v="1"/>
    <s v="High"/>
  </r>
  <r>
    <s v="ORD-00563"/>
    <x v="290"/>
    <s v="Customer 052"/>
    <x v="3"/>
    <x v="12"/>
    <x v="0"/>
    <s v="Bengaluru"/>
    <x v="4"/>
    <n v="7"/>
    <n v="150"/>
    <n v="0.05"/>
    <n v="997.5"/>
    <n v="525"/>
    <n v="472.5"/>
    <n v="997.5"/>
    <n v="472.5"/>
    <n v="0.47368421052631576"/>
    <s v="Jul-2026"/>
    <x v="1"/>
    <s v="High"/>
  </r>
  <r>
    <s v="ORD-00684"/>
    <x v="290"/>
    <s v="Customer 103"/>
    <x v="1"/>
    <x v="10"/>
    <x v="0"/>
    <s v="Hyderabad"/>
    <x v="3"/>
    <n v="7"/>
    <n v="950"/>
    <n v="0"/>
    <n v="6650"/>
    <n v="3920"/>
    <n v="2730"/>
    <n v="6650"/>
    <n v="2730"/>
    <n v="0.41052631578947368"/>
    <s v="Jul-2026"/>
    <x v="1"/>
    <s v="High"/>
  </r>
  <r>
    <s v="ORD-00836"/>
    <x v="290"/>
    <s v="Customer 181"/>
    <x v="2"/>
    <x v="7"/>
    <x v="1"/>
    <s v="Patna"/>
    <x v="5"/>
    <n v="7"/>
    <n v="500"/>
    <n v="0"/>
    <n v="3500"/>
    <n v="1960"/>
    <n v="1540"/>
    <n v="3500"/>
    <n v="1540"/>
    <n v="0.44"/>
    <s v="Jul-2026"/>
    <x v="1"/>
    <s v="High"/>
  </r>
  <r>
    <s v="ORD-00993"/>
    <x v="290"/>
    <s v="Customer 075"/>
    <x v="2"/>
    <x v="18"/>
    <x v="0"/>
    <s v="Bengaluru"/>
    <x v="2"/>
    <n v="2"/>
    <n v="350"/>
    <n v="0"/>
    <n v="700"/>
    <n v="340"/>
    <n v="360"/>
    <n v="700"/>
    <n v="360"/>
    <n v="0.51428571428571423"/>
    <s v="Jul-2026"/>
    <x v="1"/>
    <s v="High"/>
  </r>
  <r>
    <s v="ORD-00277"/>
    <x v="291"/>
    <s v="Customer 188"/>
    <x v="1"/>
    <x v="11"/>
    <x v="2"/>
    <s v="Pune"/>
    <x v="5"/>
    <n v="1"/>
    <n v="550"/>
    <n v="0.1"/>
    <n v="495"/>
    <n v="300"/>
    <n v="195"/>
    <n v="495"/>
    <n v="195"/>
    <n v="0.39393939393939392"/>
    <s v="Jul-2026"/>
    <x v="1"/>
    <s v="High"/>
  </r>
  <r>
    <s v="ORD-00335"/>
    <x v="291"/>
    <s v="Customer 075"/>
    <x v="0"/>
    <x v="8"/>
    <x v="3"/>
    <s v="Delhi"/>
    <x v="4"/>
    <n v="3"/>
    <n v="2200"/>
    <n v="0.05"/>
    <n v="6270"/>
    <n v="4200"/>
    <n v="2070"/>
    <n v="6270"/>
    <n v="2070"/>
    <n v="0.33014354066985646"/>
    <s v="Jul-2026"/>
    <x v="1"/>
    <s v="High"/>
  </r>
  <r>
    <s v="ORD-00459"/>
    <x v="291"/>
    <s v="Customer 033"/>
    <x v="3"/>
    <x v="15"/>
    <x v="0"/>
    <s v="Kochi"/>
    <x v="1"/>
    <n v="3"/>
    <n v="450"/>
    <n v="0"/>
    <n v="1350"/>
    <n v="750"/>
    <n v="600"/>
    <n v="1350"/>
    <n v="600"/>
    <n v="0.44444444444444442"/>
    <s v="Jul-2026"/>
    <x v="1"/>
    <s v="High"/>
  </r>
  <r>
    <s v="ORD-00503"/>
    <x v="291"/>
    <s v="Customer 049"/>
    <x v="3"/>
    <x v="14"/>
    <x v="2"/>
    <s v="Pune"/>
    <x v="5"/>
    <n v="1"/>
    <n v="280"/>
    <n v="0.05"/>
    <n v="266"/>
    <n v="150"/>
    <n v="116"/>
    <n v="266"/>
    <n v="116"/>
    <n v="0.43609022556390975"/>
    <s v="Jul-2026"/>
    <x v="1"/>
    <s v="High"/>
  </r>
  <r>
    <s v="ORD-00604"/>
    <x v="291"/>
    <s v="Customer 094"/>
    <x v="0"/>
    <x v="2"/>
    <x v="1"/>
    <s v="Ranchi"/>
    <x v="4"/>
    <n v="9"/>
    <n v="1500"/>
    <n v="0.1"/>
    <n v="12150"/>
    <n v="8100"/>
    <n v="4050"/>
    <n v="12150"/>
    <n v="4050"/>
    <n v="0.33333333333333331"/>
    <s v="Jul-2026"/>
    <x v="1"/>
    <s v="High"/>
  </r>
  <r>
    <s v="ORD-00864"/>
    <x v="291"/>
    <s v="Customer 070"/>
    <x v="3"/>
    <x v="6"/>
    <x v="3"/>
    <s v="Delhi"/>
    <x v="5"/>
    <n v="3"/>
    <n v="180"/>
    <n v="0.05"/>
    <n v="513"/>
    <n v="270"/>
    <n v="243"/>
    <n v="513"/>
    <n v="243"/>
    <n v="0.47368421052631576"/>
    <s v="Jul-2026"/>
    <x v="1"/>
    <s v="High"/>
  </r>
  <r>
    <s v="ORD-00931"/>
    <x v="292"/>
    <s v="Customer 029"/>
    <x v="2"/>
    <x v="17"/>
    <x v="3"/>
    <s v="Lucknow"/>
    <x v="2"/>
    <n v="10"/>
    <n v="650"/>
    <n v="0"/>
    <n v="6500"/>
    <n v="3500"/>
    <n v="3000"/>
    <n v="6500"/>
    <n v="3000"/>
    <n v="0.46153846153846156"/>
    <s v="Jul-2026"/>
    <x v="1"/>
    <s v="High"/>
  </r>
  <r>
    <s v="ORD-00266"/>
    <x v="293"/>
    <s v="Customer 191"/>
    <x v="2"/>
    <x v="4"/>
    <x v="2"/>
    <s v="Nashik"/>
    <x v="1"/>
    <n v="4"/>
    <n v="2200"/>
    <n v="0"/>
    <n v="8800"/>
    <n v="5800"/>
    <n v="3000"/>
    <n v="8800"/>
    <n v="3000"/>
    <n v="0.34090909090909088"/>
    <s v="Jul-2026"/>
    <x v="1"/>
    <s v="High"/>
  </r>
  <r>
    <s v="ORD-00405"/>
    <x v="293"/>
    <s v="Customer 120"/>
    <x v="1"/>
    <x v="11"/>
    <x v="3"/>
    <s v="Lucknow"/>
    <x v="2"/>
    <n v="10"/>
    <n v="550"/>
    <n v="0.05"/>
    <n v="5225"/>
    <n v="3000"/>
    <n v="2225"/>
    <n v="5225"/>
    <n v="2225"/>
    <n v="0.42583732057416268"/>
    <s v="Jul-2026"/>
    <x v="1"/>
    <s v="High"/>
  </r>
  <r>
    <s v="ORD-00494"/>
    <x v="294"/>
    <s v="Customer 137"/>
    <x v="3"/>
    <x v="13"/>
    <x v="0"/>
    <s v="Kochi"/>
    <x v="1"/>
    <n v="1"/>
    <n v="120"/>
    <n v="0"/>
    <n v="120"/>
    <n v="55"/>
    <n v="65"/>
    <n v="120"/>
    <n v="65"/>
    <n v="0.54166666666666663"/>
    <s v="Jul-2026"/>
    <x v="1"/>
    <s v="High"/>
  </r>
  <r>
    <s v="ORD-00929"/>
    <x v="294"/>
    <s v="Customer 166"/>
    <x v="3"/>
    <x v="12"/>
    <x v="2"/>
    <s v="Pune"/>
    <x v="3"/>
    <n v="9"/>
    <n v="150"/>
    <n v="0.05"/>
    <n v="1282.5"/>
    <n v="675"/>
    <n v="607.5"/>
    <n v="1282.5"/>
    <n v="607.5"/>
    <n v="0.47368421052631576"/>
    <s v="Jul-2026"/>
    <x v="1"/>
    <s v="High"/>
  </r>
  <r>
    <s v="ORD-00613"/>
    <x v="295"/>
    <s v="Customer 164"/>
    <x v="2"/>
    <x v="18"/>
    <x v="0"/>
    <s v="Kochi"/>
    <x v="2"/>
    <n v="4"/>
    <n v="350"/>
    <n v="0.05"/>
    <n v="1330"/>
    <n v="680"/>
    <n v="650"/>
    <n v="1330"/>
    <n v="650"/>
    <n v="0.48872180451127817"/>
    <s v="Jul-2026"/>
    <x v="1"/>
    <s v="High"/>
  </r>
  <r>
    <s v="ORD-00674"/>
    <x v="295"/>
    <s v="Customer 185"/>
    <x v="1"/>
    <x v="3"/>
    <x v="2"/>
    <s v="Pune"/>
    <x v="0"/>
    <n v="2"/>
    <n v="700"/>
    <n v="0.05"/>
    <n v="1330"/>
    <n v="800"/>
    <n v="530"/>
    <n v="1330"/>
    <n v="530"/>
    <n v="0.39849624060150374"/>
    <s v="Jul-2026"/>
    <x v="1"/>
    <s v="High"/>
  </r>
  <r>
    <s v="ORD-00107"/>
    <x v="296"/>
    <s v="Customer 038"/>
    <x v="0"/>
    <x v="8"/>
    <x v="2"/>
    <s v="Ahmedabad"/>
    <x v="5"/>
    <n v="1"/>
    <n v="2200"/>
    <n v="0.05"/>
    <n v="2090"/>
    <n v="1400"/>
    <n v="690"/>
    <n v="2090"/>
    <n v="690"/>
    <n v="0.33014354066985646"/>
    <s v="Jul-2026"/>
    <x v="1"/>
    <s v="High"/>
  </r>
  <r>
    <s v="ORD-00461"/>
    <x v="296"/>
    <s v="Customer 190"/>
    <x v="3"/>
    <x v="15"/>
    <x v="1"/>
    <s v="Bhubaneswar"/>
    <x v="3"/>
    <n v="8"/>
    <n v="450"/>
    <n v="0"/>
    <n v="3600"/>
    <n v="2000"/>
    <n v="1600"/>
    <n v="3600"/>
    <n v="1600"/>
    <n v="0.44444444444444442"/>
    <s v="Jul-2026"/>
    <x v="1"/>
    <s v="High"/>
  </r>
  <r>
    <s v="ORD-00109"/>
    <x v="297"/>
    <s v="Customer 063"/>
    <x v="0"/>
    <x v="8"/>
    <x v="3"/>
    <s v="Delhi"/>
    <x v="5"/>
    <n v="8"/>
    <n v="2200"/>
    <n v="0.1"/>
    <n v="15840"/>
    <n v="11200"/>
    <n v="4640"/>
    <n v="15840"/>
    <n v="4640"/>
    <n v="0.29292929292929293"/>
    <s v="Jul-2026"/>
    <x v="1"/>
    <s v="Medium"/>
  </r>
  <r>
    <s v="ORD-00433"/>
    <x v="297"/>
    <s v="Customer 171"/>
    <x v="2"/>
    <x v="7"/>
    <x v="3"/>
    <s v="Chandigarh"/>
    <x v="4"/>
    <n v="4"/>
    <n v="500"/>
    <n v="0"/>
    <n v="2000"/>
    <n v="1120"/>
    <n v="880"/>
    <n v="2000"/>
    <n v="880"/>
    <n v="0.44"/>
    <s v="Jul-2026"/>
    <x v="1"/>
    <s v="High"/>
  </r>
  <r>
    <s v="ORD-00454"/>
    <x v="297"/>
    <s v="Customer 191"/>
    <x v="2"/>
    <x v="19"/>
    <x v="0"/>
    <s v="Bengaluru"/>
    <x v="4"/>
    <n v="5"/>
    <n v="900"/>
    <n v="0"/>
    <n v="4500"/>
    <n v="2600"/>
    <n v="1900"/>
    <n v="4500"/>
    <n v="1900"/>
    <n v="0.42222222222222222"/>
    <s v="Jul-2026"/>
    <x v="1"/>
    <s v="High"/>
  </r>
  <r>
    <s v="ORD-00505"/>
    <x v="297"/>
    <s v="Customer 093"/>
    <x v="0"/>
    <x v="5"/>
    <x v="3"/>
    <s v="Chandigarh"/>
    <x v="4"/>
    <n v="9"/>
    <n v="650"/>
    <n v="0.05"/>
    <n v="5557.5"/>
    <n v="3420"/>
    <n v="2137.5"/>
    <n v="5557.5"/>
    <n v="2137.5"/>
    <n v="0.38461538461538464"/>
    <s v="Jul-2026"/>
    <x v="1"/>
    <s v="High"/>
  </r>
  <r>
    <s v="ORD-00945"/>
    <x v="297"/>
    <s v="Customer 018"/>
    <x v="0"/>
    <x v="16"/>
    <x v="1"/>
    <s v="Patna"/>
    <x v="0"/>
    <n v="6"/>
    <n v="1200"/>
    <n v="0"/>
    <n v="7200"/>
    <n v="4320"/>
    <n v="2880"/>
    <n v="7200"/>
    <n v="2880"/>
    <n v="0.4"/>
    <s v="Jul-2026"/>
    <x v="1"/>
    <s v="High"/>
  </r>
  <r>
    <s v="ORD-00537"/>
    <x v="298"/>
    <s v="Customer 037"/>
    <x v="1"/>
    <x v="3"/>
    <x v="1"/>
    <s v="Ranchi"/>
    <x v="4"/>
    <n v="10"/>
    <n v="700"/>
    <n v="0"/>
    <n v="7000"/>
    <n v="4000"/>
    <n v="3000"/>
    <n v="7000"/>
    <n v="3000"/>
    <n v="0.42857142857142855"/>
    <s v="Jul-2026"/>
    <x v="1"/>
    <s v="High"/>
  </r>
  <r>
    <s v="ORD-00813"/>
    <x v="299"/>
    <s v="Customer 153"/>
    <x v="2"/>
    <x v="18"/>
    <x v="3"/>
    <s v="Delhi"/>
    <x v="5"/>
    <n v="3"/>
    <n v="350"/>
    <n v="0"/>
    <n v="1050"/>
    <n v="510"/>
    <n v="540"/>
    <n v="1050"/>
    <n v="540"/>
    <n v="0.51428571428571423"/>
    <s v="Jul-2026"/>
    <x v="1"/>
    <s v="High"/>
  </r>
  <r>
    <s v="ORD-00835"/>
    <x v="299"/>
    <s v="Customer 188"/>
    <x v="3"/>
    <x v="15"/>
    <x v="0"/>
    <s v="Hyderabad"/>
    <x v="2"/>
    <n v="6"/>
    <n v="450"/>
    <n v="0"/>
    <n v="2700"/>
    <n v="1500"/>
    <n v="1200"/>
    <n v="2700"/>
    <n v="1200"/>
    <n v="0.44444444444444442"/>
    <s v="Jul-2026"/>
    <x v="1"/>
    <s v="High"/>
  </r>
  <r>
    <s v="ORD-00904"/>
    <x v="299"/>
    <s v="Customer 139"/>
    <x v="1"/>
    <x v="9"/>
    <x v="0"/>
    <s v="Bengaluru"/>
    <x v="4"/>
    <n v="4"/>
    <n v="350"/>
    <n v="0.15"/>
    <n v="1190"/>
    <n v="720"/>
    <n v="470"/>
    <n v="1190"/>
    <n v="470"/>
    <n v="0.3949579831932773"/>
    <s v="Jul-2026"/>
    <x v="1"/>
    <s v="High"/>
  </r>
  <r>
    <s v="ORD-00025"/>
    <x v="300"/>
    <s v="Customer 183"/>
    <x v="1"/>
    <x v="10"/>
    <x v="1"/>
    <s v="Bhubaneswar"/>
    <x v="3"/>
    <n v="6"/>
    <n v="950"/>
    <n v="0"/>
    <n v="5700"/>
    <n v="3360"/>
    <n v="2340"/>
    <n v="5700"/>
    <n v="2340"/>
    <n v="0.41052631578947368"/>
    <s v="Jul-2026"/>
    <x v="1"/>
    <s v="High"/>
  </r>
  <r>
    <s v="ORD-00348"/>
    <x v="300"/>
    <s v="Customer 035"/>
    <x v="0"/>
    <x v="8"/>
    <x v="2"/>
    <s v="Mumbai"/>
    <x v="4"/>
    <n v="9"/>
    <n v="2200"/>
    <n v="0.1"/>
    <n v="17820"/>
    <n v="12600"/>
    <n v="5220"/>
    <n v="17820"/>
    <n v="5220"/>
    <n v="0.29292929292929293"/>
    <s v="Jul-2026"/>
    <x v="1"/>
    <s v="Medium"/>
  </r>
  <r>
    <s v="ORD-00996"/>
    <x v="300"/>
    <s v="Customer 186"/>
    <x v="0"/>
    <x v="0"/>
    <x v="2"/>
    <s v="Nashik"/>
    <x v="1"/>
    <n v="7"/>
    <n v="1800"/>
    <n v="0.05"/>
    <n v="11970"/>
    <n v="7700"/>
    <n v="4270"/>
    <n v="11970"/>
    <n v="4270"/>
    <n v="0.35672514619883039"/>
    <s v="Jul-2026"/>
    <x v="1"/>
    <s v="High"/>
  </r>
  <r>
    <s v="ORD-00213"/>
    <x v="301"/>
    <s v="Customer 166"/>
    <x v="0"/>
    <x v="8"/>
    <x v="3"/>
    <s v="Jaipur"/>
    <x v="5"/>
    <n v="2"/>
    <n v="2200"/>
    <n v="0"/>
    <n v="4400"/>
    <n v="2800"/>
    <n v="1600"/>
    <n v="4400"/>
    <n v="1600"/>
    <n v="0.36363636363636365"/>
    <s v="Jul-2026"/>
    <x v="1"/>
    <s v="High"/>
  </r>
  <r>
    <s v="ORD-00305"/>
    <x v="301"/>
    <s v="Customer 061"/>
    <x v="1"/>
    <x v="1"/>
    <x v="0"/>
    <s v="Chennai"/>
    <x v="2"/>
    <n v="9"/>
    <n v="600"/>
    <n v="0.15"/>
    <n v="4590"/>
    <n v="2970"/>
    <n v="1620"/>
    <n v="4590"/>
    <n v="1620"/>
    <n v="0.35294117647058826"/>
    <s v="Jul-2026"/>
    <x v="1"/>
    <s v="High"/>
  </r>
  <r>
    <s v="ORD-00331"/>
    <x v="301"/>
    <s v="Customer 025"/>
    <x v="0"/>
    <x v="16"/>
    <x v="0"/>
    <s v="Chennai"/>
    <x v="3"/>
    <n v="7"/>
    <n v="1200"/>
    <n v="0"/>
    <n v="8400"/>
    <n v="5040"/>
    <n v="3360"/>
    <n v="8400"/>
    <n v="3360"/>
    <n v="0.4"/>
    <s v="Jul-2026"/>
    <x v="1"/>
    <s v="High"/>
  </r>
  <r>
    <s v="ORD-00373"/>
    <x v="301"/>
    <s v="Customer 158"/>
    <x v="2"/>
    <x v="4"/>
    <x v="3"/>
    <s v="Delhi"/>
    <x v="3"/>
    <n v="4"/>
    <n v="2200"/>
    <n v="0"/>
    <n v="8800"/>
    <n v="5800"/>
    <n v="3000"/>
    <n v="8800"/>
    <n v="3000"/>
    <n v="0.34090909090909088"/>
    <s v="Jul-2026"/>
    <x v="1"/>
    <s v="High"/>
  </r>
  <r>
    <s v="ORD-00469"/>
    <x v="301"/>
    <s v="Customer 156"/>
    <x v="0"/>
    <x v="2"/>
    <x v="3"/>
    <s v="Delhi"/>
    <x v="1"/>
    <n v="2"/>
    <n v="1500"/>
    <n v="0.15"/>
    <n v="2550"/>
    <n v="1800"/>
    <n v="750"/>
    <n v="2550"/>
    <n v="750"/>
    <n v="0.29411764705882354"/>
    <s v="Jul-2026"/>
    <x v="1"/>
    <s v="Medium"/>
  </r>
  <r>
    <s v="ORD-00701"/>
    <x v="301"/>
    <s v="Customer 059"/>
    <x v="3"/>
    <x v="15"/>
    <x v="3"/>
    <s v="Lucknow"/>
    <x v="0"/>
    <n v="6"/>
    <n v="450"/>
    <n v="0"/>
    <n v="2700"/>
    <n v="1500"/>
    <n v="1200"/>
    <n v="2700"/>
    <n v="1200"/>
    <n v="0.44444444444444442"/>
    <s v="Jul-2026"/>
    <x v="1"/>
    <s v="High"/>
  </r>
  <r>
    <s v="ORD-00309"/>
    <x v="302"/>
    <s v="Customer 041"/>
    <x v="1"/>
    <x v="9"/>
    <x v="0"/>
    <s v="Bengaluru"/>
    <x v="1"/>
    <n v="8"/>
    <n v="350"/>
    <n v="0.05"/>
    <n v="2660"/>
    <n v="1440"/>
    <n v="1220"/>
    <n v="2660"/>
    <n v="1220"/>
    <n v="0.45864661654135336"/>
    <s v="Jul-2026"/>
    <x v="1"/>
    <s v="High"/>
  </r>
  <r>
    <s v="ORD-00474"/>
    <x v="302"/>
    <s v="Customer 187"/>
    <x v="3"/>
    <x v="15"/>
    <x v="3"/>
    <s v="Delhi"/>
    <x v="0"/>
    <n v="1"/>
    <n v="450"/>
    <n v="0.05"/>
    <n v="427.5"/>
    <n v="250"/>
    <n v="177.5"/>
    <n v="427.5"/>
    <n v="177.5"/>
    <n v="0.41520467836257308"/>
    <s v="Jul-2026"/>
    <x v="1"/>
    <s v="High"/>
  </r>
  <r>
    <s v="ORD-00521"/>
    <x v="302"/>
    <s v="Customer 084"/>
    <x v="2"/>
    <x v="17"/>
    <x v="0"/>
    <s v="Bengaluru"/>
    <x v="2"/>
    <n v="4"/>
    <n v="650"/>
    <n v="0.05"/>
    <n v="2470"/>
    <n v="1400"/>
    <n v="1070"/>
    <n v="2470"/>
    <n v="1070"/>
    <n v="0.4331983805668016"/>
    <s v="Jul-2026"/>
    <x v="1"/>
    <s v="High"/>
  </r>
  <r>
    <s v="ORD-00840"/>
    <x v="302"/>
    <s v="Customer 125"/>
    <x v="0"/>
    <x v="5"/>
    <x v="1"/>
    <s v="Patna"/>
    <x v="3"/>
    <n v="7"/>
    <n v="650"/>
    <n v="0.1"/>
    <n v="4095"/>
    <n v="2660"/>
    <n v="1435"/>
    <n v="4095"/>
    <n v="1435"/>
    <n v="0.3504273504273504"/>
    <s v="Jul-2026"/>
    <x v="1"/>
    <s v="High"/>
  </r>
  <r>
    <s v="ORD-00068"/>
    <x v="303"/>
    <s v="Customer 045"/>
    <x v="2"/>
    <x v="7"/>
    <x v="2"/>
    <s v="Pune"/>
    <x v="0"/>
    <n v="4"/>
    <n v="500"/>
    <n v="0"/>
    <n v="2000"/>
    <n v="1120"/>
    <n v="880"/>
    <n v="2000"/>
    <n v="880"/>
    <n v="0.44"/>
    <s v="Jul-2026"/>
    <x v="1"/>
    <s v="High"/>
  </r>
  <r>
    <s v="ORD-00620"/>
    <x v="303"/>
    <s v="Customer 154"/>
    <x v="0"/>
    <x v="0"/>
    <x v="1"/>
    <s v="Kolkata"/>
    <x v="2"/>
    <n v="7"/>
    <n v="1800"/>
    <n v="0"/>
    <n v="12600"/>
    <n v="7700"/>
    <n v="4900"/>
    <n v="12600"/>
    <n v="4900"/>
    <n v="0.3888888888888889"/>
    <s v="Jul-2026"/>
    <x v="1"/>
    <s v="High"/>
  </r>
  <r>
    <s v="ORD-00860"/>
    <x v="303"/>
    <s v="Customer 151"/>
    <x v="1"/>
    <x v="1"/>
    <x v="1"/>
    <s v="Kolkata"/>
    <x v="4"/>
    <n v="6"/>
    <n v="600"/>
    <n v="0"/>
    <n v="3600"/>
    <n v="1980"/>
    <n v="1620"/>
    <n v="3600"/>
    <n v="1620"/>
    <n v="0.45"/>
    <s v="Jul-2026"/>
    <x v="1"/>
    <s v="High"/>
  </r>
  <r>
    <s v="ORD-00973"/>
    <x v="303"/>
    <s v="Customer 166"/>
    <x v="0"/>
    <x v="0"/>
    <x v="2"/>
    <s v="Nashik"/>
    <x v="3"/>
    <n v="3"/>
    <n v="1800"/>
    <n v="0.1"/>
    <n v="4860"/>
    <n v="3300"/>
    <n v="1560"/>
    <n v="4860"/>
    <n v="1560"/>
    <n v="0.32098765432098764"/>
    <s v="Jul-2026"/>
    <x v="1"/>
    <s v="High"/>
  </r>
  <r>
    <s v="ORD-00559"/>
    <x v="304"/>
    <s v="Customer 109"/>
    <x v="0"/>
    <x v="5"/>
    <x v="0"/>
    <s v="Bengaluru"/>
    <x v="1"/>
    <n v="1"/>
    <n v="650"/>
    <n v="0"/>
    <n v="650"/>
    <n v="380"/>
    <n v="270"/>
    <n v="650"/>
    <n v="270"/>
    <n v="0.41538461538461541"/>
    <s v="Jul-2026"/>
    <x v="1"/>
    <s v="High"/>
  </r>
  <r>
    <s v="ORD-00646"/>
    <x v="304"/>
    <s v="Customer 187"/>
    <x v="0"/>
    <x v="5"/>
    <x v="3"/>
    <s v="Chandigarh"/>
    <x v="0"/>
    <n v="1"/>
    <n v="650"/>
    <n v="0.15"/>
    <n v="552.5"/>
    <n v="380"/>
    <n v="172.5"/>
    <n v="552.5"/>
    <n v="172.5"/>
    <n v="0.31221719457013575"/>
    <s v="Jul-2026"/>
    <x v="1"/>
    <s v="High"/>
  </r>
  <r>
    <s v="ORD-00283"/>
    <x v="305"/>
    <s v="Customer 194"/>
    <x v="0"/>
    <x v="8"/>
    <x v="2"/>
    <s v="Nashik"/>
    <x v="2"/>
    <n v="8"/>
    <n v="2200"/>
    <n v="0.1"/>
    <n v="15840"/>
    <n v="11200"/>
    <n v="4640"/>
    <n v="15840"/>
    <n v="4640"/>
    <n v="0.29292929292929293"/>
    <s v="Jul-2026"/>
    <x v="1"/>
    <s v="Medium"/>
  </r>
  <r>
    <s v="ORD-00615"/>
    <x v="305"/>
    <s v="Customer 147"/>
    <x v="0"/>
    <x v="2"/>
    <x v="1"/>
    <s v="Bhubaneswar"/>
    <x v="1"/>
    <n v="4"/>
    <n v="1500"/>
    <n v="0.1"/>
    <n v="5400"/>
    <n v="3600"/>
    <n v="1800"/>
    <n v="5400"/>
    <n v="1800"/>
    <n v="0.33333333333333331"/>
    <s v="Jul-2026"/>
    <x v="1"/>
    <s v="High"/>
  </r>
  <r>
    <s v="ORD-00075"/>
    <x v="306"/>
    <s v="Customer 016"/>
    <x v="1"/>
    <x v="3"/>
    <x v="1"/>
    <s v="Patna"/>
    <x v="1"/>
    <n v="9"/>
    <n v="700"/>
    <n v="0.1"/>
    <n v="5670"/>
    <n v="3600"/>
    <n v="2070"/>
    <n v="5670"/>
    <n v="2070"/>
    <n v="0.36507936507936506"/>
    <s v="Jul-2026"/>
    <x v="1"/>
    <s v="High"/>
  </r>
  <r>
    <s v="ORD-00170"/>
    <x v="306"/>
    <s v="Customer 107"/>
    <x v="3"/>
    <x v="14"/>
    <x v="0"/>
    <s v="Hyderabad"/>
    <x v="2"/>
    <n v="5"/>
    <n v="280"/>
    <n v="0.1"/>
    <n v="1260"/>
    <n v="750"/>
    <n v="510"/>
    <n v="1260"/>
    <n v="510"/>
    <n v="0.40476190476190477"/>
    <s v="Jul-2026"/>
    <x v="1"/>
    <s v="High"/>
  </r>
  <r>
    <s v="ORD-00667"/>
    <x v="306"/>
    <s v="Customer 039"/>
    <x v="2"/>
    <x v="7"/>
    <x v="0"/>
    <s v="Bengaluru"/>
    <x v="2"/>
    <n v="10"/>
    <n v="500"/>
    <n v="0"/>
    <n v="5000"/>
    <n v="2800"/>
    <n v="2200"/>
    <n v="5000"/>
    <n v="2200"/>
    <n v="0.44"/>
    <s v="Jul-2026"/>
    <x v="1"/>
    <s v="High"/>
  </r>
  <r>
    <s v="ORD-00696"/>
    <x v="306"/>
    <s v="Customer 189"/>
    <x v="2"/>
    <x v="17"/>
    <x v="2"/>
    <s v="Mumbai"/>
    <x v="4"/>
    <n v="4"/>
    <n v="650"/>
    <n v="0.15"/>
    <n v="2210"/>
    <n v="1400"/>
    <n v="810"/>
    <n v="2210"/>
    <n v="810"/>
    <n v="0.36651583710407237"/>
    <s v="Jul-2026"/>
    <x v="1"/>
    <s v="High"/>
  </r>
  <r>
    <s v="ORD-00019"/>
    <x v="307"/>
    <s v="Customer 128"/>
    <x v="2"/>
    <x v="4"/>
    <x v="1"/>
    <s v="Ranchi"/>
    <x v="2"/>
    <n v="4"/>
    <n v="2200"/>
    <n v="0.1"/>
    <n v="7920"/>
    <n v="5800"/>
    <n v="2120"/>
    <n v="7920"/>
    <n v="2120"/>
    <n v="0.26767676767676768"/>
    <s v="Jul-2026"/>
    <x v="1"/>
    <s v="Medium"/>
  </r>
  <r>
    <s v="ORD-00258"/>
    <x v="307"/>
    <s v="Customer 067"/>
    <x v="3"/>
    <x v="6"/>
    <x v="2"/>
    <s v="Pune"/>
    <x v="0"/>
    <n v="9"/>
    <n v="180"/>
    <n v="0.05"/>
    <n v="1539"/>
    <n v="810"/>
    <n v="729"/>
    <n v="1539"/>
    <n v="729"/>
    <n v="0.47368421052631576"/>
    <s v="Jul-2026"/>
    <x v="1"/>
    <s v="High"/>
  </r>
  <r>
    <s v="ORD-00349"/>
    <x v="308"/>
    <s v="Customer 182"/>
    <x v="0"/>
    <x v="5"/>
    <x v="1"/>
    <s v="Kolkata"/>
    <x v="0"/>
    <n v="7"/>
    <n v="650"/>
    <n v="0"/>
    <n v="4550"/>
    <n v="2660"/>
    <n v="1890"/>
    <n v="4550"/>
    <n v="1890"/>
    <n v="0.41538461538461541"/>
    <s v="Jul-2026"/>
    <x v="1"/>
    <s v="High"/>
  </r>
  <r>
    <s v="ORD-00449"/>
    <x v="308"/>
    <s v="Customer 038"/>
    <x v="0"/>
    <x v="8"/>
    <x v="0"/>
    <s v="Kochi"/>
    <x v="3"/>
    <n v="3"/>
    <n v="2200"/>
    <n v="0"/>
    <n v="6600"/>
    <n v="4200"/>
    <n v="2400"/>
    <n v="6600"/>
    <n v="2400"/>
    <n v="0.36363636363636365"/>
    <s v="Jul-2026"/>
    <x v="1"/>
    <s v="High"/>
  </r>
  <r>
    <s v="ORD-00516"/>
    <x v="308"/>
    <s v="Customer 170"/>
    <x v="1"/>
    <x v="1"/>
    <x v="3"/>
    <s v="Delhi"/>
    <x v="5"/>
    <n v="5"/>
    <n v="600"/>
    <n v="0.05"/>
    <n v="2850"/>
    <n v="1650"/>
    <n v="1200"/>
    <n v="2850"/>
    <n v="1200"/>
    <n v="0.42105263157894735"/>
    <s v="Jul-2026"/>
    <x v="1"/>
    <s v="High"/>
  </r>
  <r>
    <s v="ORD-00630"/>
    <x v="308"/>
    <s v="Customer 150"/>
    <x v="3"/>
    <x v="14"/>
    <x v="3"/>
    <s v="Chandigarh"/>
    <x v="1"/>
    <n v="2"/>
    <n v="280"/>
    <n v="0.1"/>
    <n v="504"/>
    <n v="300"/>
    <n v="204"/>
    <n v="504"/>
    <n v="204"/>
    <n v="0.40476190476190477"/>
    <s v="Jul-2026"/>
    <x v="1"/>
    <s v="High"/>
  </r>
  <r>
    <s v="ORD-00608"/>
    <x v="309"/>
    <s v="Customer 132"/>
    <x v="1"/>
    <x v="3"/>
    <x v="0"/>
    <s v="Chennai"/>
    <x v="1"/>
    <n v="10"/>
    <n v="700"/>
    <n v="0.05"/>
    <n v="6650"/>
    <n v="4000"/>
    <n v="2650"/>
    <n v="6650"/>
    <n v="2650"/>
    <n v="0.39849624060150374"/>
    <s v="Jul-2026"/>
    <x v="1"/>
    <s v="High"/>
  </r>
  <r>
    <s v="ORD-00219"/>
    <x v="310"/>
    <s v="Customer 130"/>
    <x v="2"/>
    <x v="4"/>
    <x v="1"/>
    <s v="Ranchi"/>
    <x v="4"/>
    <n v="6"/>
    <n v="2200"/>
    <n v="0"/>
    <n v="13200"/>
    <n v="8700"/>
    <n v="4500"/>
    <n v="13200"/>
    <n v="4500"/>
    <n v="0.34090909090909088"/>
    <s v="Jul-2026"/>
    <x v="1"/>
    <s v="High"/>
  </r>
  <r>
    <s v="ORD-00345"/>
    <x v="310"/>
    <s v="Customer 041"/>
    <x v="3"/>
    <x v="6"/>
    <x v="3"/>
    <s v="Lucknow"/>
    <x v="0"/>
    <n v="5"/>
    <n v="180"/>
    <n v="0"/>
    <n v="900"/>
    <n v="450"/>
    <n v="450"/>
    <n v="900"/>
    <n v="450"/>
    <n v="0.5"/>
    <s v="Jul-2026"/>
    <x v="1"/>
    <s v="High"/>
  </r>
  <r>
    <s v="ORD-00465"/>
    <x v="310"/>
    <s v="Customer 069"/>
    <x v="0"/>
    <x v="8"/>
    <x v="2"/>
    <s v="Pune"/>
    <x v="1"/>
    <n v="1"/>
    <n v="2200"/>
    <n v="0"/>
    <n v="2200"/>
    <n v="1400"/>
    <n v="800"/>
    <n v="2200"/>
    <n v="800"/>
    <n v="0.36363636363636365"/>
    <s v="Jul-2026"/>
    <x v="1"/>
    <s v="High"/>
  </r>
  <r>
    <s v="ORD-00399"/>
    <x v="311"/>
    <s v="Customer 022"/>
    <x v="1"/>
    <x v="9"/>
    <x v="1"/>
    <s v="Bhubaneswar"/>
    <x v="1"/>
    <n v="4"/>
    <n v="350"/>
    <n v="0"/>
    <n v="1400"/>
    <n v="720"/>
    <n v="680"/>
    <n v="1400"/>
    <n v="680"/>
    <n v="0.48571428571428571"/>
    <s v="Aug-2026"/>
    <x v="1"/>
    <s v="High"/>
  </r>
  <r>
    <s v="ORD-00586"/>
    <x v="311"/>
    <s v="Customer 022"/>
    <x v="1"/>
    <x v="11"/>
    <x v="2"/>
    <s v="Nashik"/>
    <x v="1"/>
    <n v="10"/>
    <n v="550"/>
    <n v="0"/>
    <n v="5500"/>
    <n v="3000"/>
    <n v="2500"/>
    <n v="5500"/>
    <n v="2500"/>
    <n v="0.45454545454545453"/>
    <s v="Aug-2026"/>
    <x v="1"/>
    <s v="High"/>
  </r>
  <r>
    <s v="ORD-00235"/>
    <x v="312"/>
    <s v="Customer 047"/>
    <x v="1"/>
    <x v="3"/>
    <x v="0"/>
    <s v="Bengaluru"/>
    <x v="5"/>
    <n v="5"/>
    <n v="700"/>
    <n v="0"/>
    <n v="3500"/>
    <n v="2000"/>
    <n v="1500"/>
    <n v="3500"/>
    <n v="1500"/>
    <n v="0.42857142857142855"/>
    <s v="Aug-2026"/>
    <x v="1"/>
    <s v="High"/>
  </r>
  <r>
    <s v="ORD-00057"/>
    <x v="313"/>
    <s v="Customer 090"/>
    <x v="0"/>
    <x v="16"/>
    <x v="2"/>
    <s v="Nashik"/>
    <x v="5"/>
    <n v="2"/>
    <n v="1200"/>
    <n v="0.05"/>
    <n v="2280"/>
    <n v="1440"/>
    <n v="840"/>
    <n v="2280"/>
    <n v="840"/>
    <n v="0.36842105263157893"/>
    <s v="Aug-2026"/>
    <x v="1"/>
    <s v="High"/>
  </r>
  <r>
    <s v="ORD-00306"/>
    <x v="313"/>
    <s v="Customer 109"/>
    <x v="3"/>
    <x v="14"/>
    <x v="0"/>
    <s v="Bengaluru"/>
    <x v="3"/>
    <n v="6"/>
    <n v="280"/>
    <n v="0"/>
    <n v="1680"/>
    <n v="900"/>
    <n v="780"/>
    <n v="1680"/>
    <n v="780"/>
    <n v="0.4642857142857143"/>
    <s v="Aug-2026"/>
    <x v="1"/>
    <s v="High"/>
  </r>
  <r>
    <s v="ORD-00414"/>
    <x v="313"/>
    <s v="Customer 100"/>
    <x v="1"/>
    <x v="10"/>
    <x v="2"/>
    <s v="Pune"/>
    <x v="1"/>
    <n v="8"/>
    <n v="950"/>
    <n v="0.1"/>
    <n v="6840"/>
    <n v="4480"/>
    <n v="2360"/>
    <n v="6840"/>
    <n v="2360"/>
    <n v="0.34502923976608185"/>
    <s v="Aug-2026"/>
    <x v="1"/>
    <s v="High"/>
  </r>
  <r>
    <s v="ORD-00600"/>
    <x v="313"/>
    <s v="Customer 041"/>
    <x v="1"/>
    <x v="9"/>
    <x v="0"/>
    <s v="Chennai"/>
    <x v="3"/>
    <n v="1"/>
    <n v="350"/>
    <n v="0.05"/>
    <n v="332.5"/>
    <n v="180"/>
    <n v="152.5"/>
    <n v="332.5"/>
    <n v="152.5"/>
    <n v="0.45864661654135336"/>
    <s v="Aug-2026"/>
    <x v="1"/>
    <s v="High"/>
  </r>
  <r>
    <s v="ORD-00010"/>
    <x v="314"/>
    <s v="Customer 111"/>
    <x v="0"/>
    <x v="5"/>
    <x v="3"/>
    <s v="Chandigarh"/>
    <x v="5"/>
    <n v="5"/>
    <n v="650"/>
    <n v="0"/>
    <n v="3250"/>
    <n v="1900"/>
    <n v="1350"/>
    <n v="3250"/>
    <n v="1350"/>
    <n v="0.41538461538461541"/>
    <s v="Aug-2026"/>
    <x v="1"/>
    <s v="High"/>
  </r>
  <r>
    <s v="ORD-00033"/>
    <x v="314"/>
    <s v="Customer 194"/>
    <x v="0"/>
    <x v="5"/>
    <x v="0"/>
    <s v="Bengaluru"/>
    <x v="1"/>
    <n v="2"/>
    <n v="650"/>
    <n v="0"/>
    <n v="1300"/>
    <n v="760"/>
    <n v="540"/>
    <n v="1300"/>
    <n v="540"/>
    <n v="0.41538461538461541"/>
    <s v="Aug-2026"/>
    <x v="1"/>
    <s v="High"/>
  </r>
  <r>
    <s v="ORD-00361"/>
    <x v="314"/>
    <s v="Customer 146"/>
    <x v="0"/>
    <x v="2"/>
    <x v="0"/>
    <s v="Chennai"/>
    <x v="2"/>
    <n v="1"/>
    <n v="1500"/>
    <n v="0.05"/>
    <n v="1425"/>
    <n v="900"/>
    <n v="525"/>
    <n v="1425"/>
    <n v="525"/>
    <n v="0.36842105263157893"/>
    <s v="Aug-2026"/>
    <x v="1"/>
    <s v="High"/>
  </r>
  <r>
    <s v="ORD-00483"/>
    <x v="314"/>
    <s v="Customer 094"/>
    <x v="3"/>
    <x v="15"/>
    <x v="3"/>
    <s v="Jaipur"/>
    <x v="2"/>
    <n v="1"/>
    <n v="450"/>
    <n v="0.05"/>
    <n v="427.5"/>
    <n v="250"/>
    <n v="177.5"/>
    <n v="427.5"/>
    <n v="177.5"/>
    <n v="0.41520467836257308"/>
    <s v="Aug-2026"/>
    <x v="1"/>
    <s v="High"/>
  </r>
  <r>
    <s v="ORD-00547"/>
    <x v="314"/>
    <s v="Customer 192"/>
    <x v="3"/>
    <x v="12"/>
    <x v="2"/>
    <s v="Pune"/>
    <x v="1"/>
    <n v="6"/>
    <n v="150"/>
    <n v="0.1"/>
    <n v="810"/>
    <n v="450"/>
    <n v="360"/>
    <n v="810"/>
    <n v="360"/>
    <n v="0.44444444444444442"/>
    <s v="Aug-2026"/>
    <x v="1"/>
    <s v="High"/>
  </r>
  <r>
    <s v="ORD-00113"/>
    <x v="315"/>
    <s v="Customer 123"/>
    <x v="1"/>
    <x v="1"/>
    <x v="3"/>
    <s v="Lucknow"/>
    <x v="1"/>
    <n v="5"/>
    <n v="600"/>
    <n v="0"/>
    <n v="3000"/>
    <n v="1650"/>
    <n v="1350"/>
    <n v="3000"/>
    <n v="1350"/>
    <n v="0.45"/>
    <s v="Aug-2026"/>
    <x v="1"/>
    <s v="High"/>
  </r>
  <r>
    <s v="ORD-00568"/>
    <x v="315"/>
    <s v="Customer 103"/>
    <x v="3"/>
    <x v="6"/>
    <x v="2"/>
    <s v="Nashik"/>
    <x v="0"/>
    <n v="2"/>
    <n v="180"/>
    <n v="0.05"/>
    <n v="342"/>
    <n v="180"/>
    <n v="162"/>
    <n v="342"/>
    <n v="162"/>
    <n v="0.47368421052631576"/>
    <s v="Aug-2026"/>
    <x v="1"/>
    <s v="High"/>
  </r>
  <r>
    <s v="ORD-00416"/>
    <x v="316"/>
    <s v="Customer 119"/>
    <x v="3"/>
    <x v="12"/>
    <x v="3"/>
    <s v="Chandigarh"/>
    <x v="0"/>
    <n v="10"/>
    <n v="150"/>
    <n v="0.05"/>
    <n v="1425"/>
    <n v="750"/>
    <n v="675"/>
    <n v="1425"/>
    <n v="675"/>
    <n v="0.47368421052631576"/>
    <s v="Aug-2026"/>
    <x v="1"/>
    <s v="High"/>
  </r>
  <r>
    <s v="ORD-00577"/>
    <x v="316"/>
    <s v="Customer 177"/>
    <x v="3"/>
    <x v="13"/>
    <x v="3"/>
    <s v="Lucknow"/>
    <x v="0"/>
    <n v="10"/>
    <n v="120"/>
    <n v="0.05"/>
    <n v="1140"/>
    <n v="550"/>
    <n v="590"/>
    <n v="1140"/>
    <n v="590"/>
    <n v="0.51754385964912286"/>
    <s v="Aug-2026"/>
    <x v="1"/>
    <s v="High"/>
  </r>
  <r>
    <s v="ORD-00639"/>
    <x v="316"/>
    <s v="Customer 070"/>
    <x v="2"/>
    <x v="17"/>
    <x v="2"/>
    <s v="Nashik"/>
    <x v="5"/>
    <n v="1"/>
    <n v="650"/>
    <n v="0"/>
    <n v="650"/>
    <n v="350"/>
    <n v="300"/>
    <n v="650"/>
    <n v="300"/>
    <n v="0.46153846153846156"/>
    <s v="Aug-2026"/>
    <x v="1"/>
    <s v="High"/>
  </r>
  <r>
    <s v="ORD-00737"/>
    <x v="316"/>
    <s v="Customer 129"/>
    <x v="3"/>
    <x v="14"/>
    <x v="1"/>
    <s v="Bhubaneswar"/>
    <x v="1"/>
    <n v="6"/>
    <n v="280"/>
    <n v="0.05"/>
    <n v="1596"/>
    <n v="900"/>
    <n v="696"/>
    <n v="1596"/>
    <n v="696"/>
    <n v="0.43609022556390975"/>
    <s v="Aug-2026"/>
    <x v="1"/>
    <s v="High"/>
  </r>
  <r>
    <s v="ORD-00381"/>
    <x v="317"/>
    <s v="Customer 008"/>
    <x v="3"/>
    <x v="6"/>
    <x v="1"/>
    <s v="Bhubaneswar"/>
    <x v="0"/>
    <n v="3"/>
    <n v="180"/>
    <n v="0"/>
    <n v="540"/>
    <n v="270"/>
    <n v="270"/>
    <n v="540"/>
    <n v="270"/>
    <n v="0.5"/>
    <s v="Aug-2026"/>
    <x v="1"/>
    <s v="High"/>
  </r>
  <r>
    <s v="ORD-00749"/>
    <x v="317"/>
    <s v="Customer 149"/>
    <x v="0"/>
    <x v="16"/>
    <x v="1"/>
    <s v="Bhubaneswar"/>
    <x v="2"/>
    <n v="8"/>
    <n v="1200"/>
    <n v="0.05"/>
    <n v="9120"/>
    <n v="5760"/>
    <n v="3360"/>
    <n v="9120"/>
    <n v="3360"/>
    <n v="0.36842105263157893"/>
    <s v="Aug-2026"/>
    <x v="1"/>
    <s v="High"/>
  </r>
  <r>
    <s v="ORD-00914"/>
    <x v="317"/>
    <s v="Customer 093"/>
    <x v="0"/>
    <x v="2"/>
    <x v="2"/>
    <s v="Pune"/>
    <x v="0"/>
    <n v="5"/>
    <n v="1500"/>
    <n v="0.15"/>
    <n v="6375"/>
    <n v="4500"/>
    <n v="1875"/>
    <n v="6375"/>
    <n v="1875"/>
    <n v="0.29411764705882354"/>
    <s v="Aug-2026"/>
    <x v="1"/>
    <s v="Medium"/>
  </r>
  <r>
    <s v="ORD-00044"/>
    <x v="318"/>
    <s v="Customer 049"/>
    <x v="1"/>
    <x v="3"/>
    <x v="2"/>
    <s v="Pune"/>
    <x v="0"/>
    <n v="6"/>
    <n v="700"/>
    <n v="0.05"/>
    <n v="3990"/>
    <n v="2400"/>
    <n v="1590"/>
    <n v="3990"/>
    <n v="1590"/>
    <n v="0.39849624060150374"/>
    <s v="Aug-2026"/>
    <x v="1"/>
    <s v="High"/>
  </r>
  <r>
    <s v="ORD-00772"/>
    <x v="318"/>
    <s v="Customer 149"/>
    <x v="2"/>
    <x v="4"/>
    <x v="2"/>
    <s v="Pune"/>
    <x v="0"/>
    <n v="6"/>
    <n v="2200"/>
    <n v="0.05"/>
    <n v="12540"/>
    <n v="8700"/>
    <n v="3840"/>
    <n v="12540"/>
    <n v="3840"/>
    <n v="0.30622009569377989"/>
    <s v="Aug-2026"/>
    <x v="1"/>
    <s v="High"/>
  </r>
  <r>
    <s v="ORD-00801"/>
    <x v="318"/>
    <s v="Customer 114"/>
    <x v="2"/>
    <x v="4"/>
    <x v="1"/>
    <s v="Ranchi"/>
    <x v="4"/>
    <n v="4"/>
    <n v="2200"/>
    <n v="0.1"/>
    <n v="7920"/>
    <n v="5800"/>
    <n v="2120"/>
    <n v="7920"/>
    <n v="2120"/>
    <n v="0.26767676767676768"/>
    <s v="Aug-2026"/>
    <x v="1"/>
    <s v="Medium"/>
  </r>
  <r>
    <s v="ORD-01000"/>
    <x v="318"/>
    <s v="Customer 133"/>
    <x v="2"/>
    <x v="19"/>
    <x v="3"/>
    <s v="Delhi"/>
    <x v="0"/>
    <n v="9"/>
    <n v="900"/>
    <n v="0"/>
    <n v="8100"/>
    <n v="4680"/>
    <n v="3420"/>
    <n v="8100"/>
    <n v="3420"/>
    <n v="0.42222222222222222"/>
    <s v="Aug-2026"/>
    <x v="1"/>
    <s v="High"/>
  </r>
  <r>
    <s v="ORD-00024"/>
    <x v="319"/>
    <s v="Customer 129"/>
    <x v="2"/>
    <x v="18"/>
    <x v="2"/>
    <s v="Pune"/>
    <x v="3"/>
    <n v="2"/>
    <n v="350"/>
    <n v="0"/>
    <n v="700"/>
    <n v="340"/>
    <n v="360"/>
    <n v="700"/>
    <n v="360"/>
    <n v="0.51428571428571423"/>
    <s v="Aug-2026"/>
    <x v="1"/>
    <s v="High"/>
  </r>
  <r>
    <s v="ORD-00234"/>
    <x v="319"/>
    <s v="Customer 070"/>
    <x v="3"/>
    <x v="14"/>
    <x v="0"/>
    <s v="Kochi"/>
    <x v="1"/>
    <n v="4"/>
    <n v="280"/>
    <n v="0.05"/>
    <n v="1064"/>
    <n v="600"/>
    <n v="464"/>
    <n v="1064"/>
    <n v="464"/>
    <n v="0.43609022556390975"/>
    <s v="Aug-2026"/>
    <x v="1"/>
    <s v="High"/>
  </r>
  <r>
    <s v="ORD-00402"/>
    <x v="319"/>
    <s v="Customer 088"/>
    <x v="3"/>
    <x v="13"/>
    <x v="3"/>
    <s v="Chandigarh"/>
    <x v="2"/>
    <n v="6"/>
    <n v="120"/>
    <n v="0.05"/>
    <n v="684"/>
    <n v="330"/>
    <n v="354"/>
    <n v="684"/>
    <n v="354"/>
    <n v="0.51754385964912286"/>
    <s v="Aug-2026"/>
    <x v="1"/>
    <s v="High"/>
  </r>
  <r>
    <s v="ORD-00533"/>
    <x v="319"/>
    <s v="Customer 169"/>
    <x v="1"/>
    <x v="9"/>
    <x v="1"/>
    <s v="Patna"/>
    <x v="3"/>
    <n v="5"/>
    <n v="350"/>
    <n v="0.05"/>
    <n v="1662.5"/>
    <n v="900"/>
    <n v="762.5"/>
    <n v="1662.5"/>
    <n v="762.5"/>
    <n v="0.45864661654135336"/>
    <s v="Aug-2026"/>
    <x v="1"/>
    <s v="High"/>
  </r>
  <r>
    <s v="ORD-00341"/>
    <x v="320"/>
    <s v="Customer 014"/>
    <x v="3"/>
    <x v="15"/>
    <x v="0"/>
    <s v="Hyderabad"/>
    <x v="2"/>
    <n v="4"/>
    <n v="450"/>
    <n v="0"/>
    <n v="1800"/>
    <n v="1000"/>
    <n v="800"/>
    <n v="1800"/>
    <n v="800"/>
    <n v="0.44444444444444442"/>
    <s v="Aug-2026"/>
    <x v="1"/>
    <s v="High"/>
  </r>
  <r>
    <s v="ORD-00819"/>
    <x v="320"/>
    <s v="Customer 099"/>
    <x v="0"/>
    <x v="16"/>
    <x v="2"/>
    <s v="Nashik"/>
    <x v="4"/>
    <n v="2"/>
    <n v="1200"/>
    <n v="0"/>
    <n v="2400"/>
    <n v="1440"/>
    <n v="960"/>
    <n v="2400"/>
    <n v="960"/>
    <n v="0.4"/>
    <s v="Aug-2026"/>
    <x v="1"/>
    <s v="High"/>
  </r>
  <r>
    <s v="ORD-00926"/>
    <x v="320"/>
    <s v="Customer 085"/>
    <x v="1"/>
    <x v="9"/>
    <x v="1"/>
    <s v="Kolkata"/>
    <x v="3"/>
    <n v="4"/>
    <n v="350"/>
    <n v="0.15"/>
    <n v="1190"/>
    <n v="720"/>
    <n v="470"/>
    <n v="1190"/>
    <n v="470"/>
    <n v="0.3949579831932773"/>
    <s v="Aug-2026"/>
    <x v="1"/>
    <s v="High"/>
  </r>
  <r>
    <s v="ORD-00992"/>
    <x v="320"/>
    <s v="Customer 080"/>
    <x v="1"/>
    <x v="11"/>
    <x v="2"/>
    <s v="Nashik"/>
    <x v="4"/>
    <n v="3"/>
    <n v="550"/>
    <n v="0.05"/>
    <n v="1567.5"/>
    <n v="900"/>
    <n v="667.5"/>
    <n v="1567.5"/>
    <n v="667.5"/>
    <n v="0.42583732057416268"/>
    <s v="Aug-2026"/>
    <x v="1"/>
    <s v="High"/>
  </r>
  <r>
    <s v="ORD-00979"/>
    <x v="321"/>
    <s v="Customer 096"/>
    <x v="0"/>
    <x v="5"/>
    <x v="3"/>
    <s v="Delhi"/>
    <x v="1"/>
    <n v="2"/>
    <n v="650"/>
    <n v="0"/>
    <n v="1300"/>
    <n v="760"/>
    <n v="540"/>
    <n v="1300"/>
    <n v="540"/>
    <n v="0.41538461538461541"/>
    <s v="Aug-2026"/>
    <x v="1"/>
    <s v="High"/>
  </r>
  <r>
    <s v="ORD-00006"/>
    <x v="322"/>
    <s v="Customer 053"/>
    <x v="3"/>
    <x v="13"/>
    <x v="1"/>
    <s v="Kolkata"/>
    <x v="2"/>
    <n v="2"/>
    <n v="120"/>
    <n v="0"/>
    <n v="240"/>
    <n v="110"/>
    <n v="130"/>
    <n v="240"/>
    <n v="130"/>
    <n v="0.54166666666666663"/>
    <s v="Aug-2026"/>
    <x v="1"/>
    <s v="High"/>
  </r>
  <r>
    <s v="ORD-00093"/>
    <x v="322"/>
    <s v="Customer 046"/>
    <x v="0"/>
    <x v="2"/>
    <x v="3"/>
    <s v="Delhi"/>
    <x v="2"/>
    <n v="5"/>
    <n v="1500"/>
    <n v="0.05"/>
    <n v="7125"/>
    <n v="4500"/>
    <n v="2625"/>
    <n v="7125"/>
    <n v="2625"/>
    <n v="0.36842105263157893"/>
    <s v="Aug-2026"/>
    <x v="1"/>
    <s v="High"/>
  </r>
  <r>
    <s v="ORD-00518"/>
    <x v="322"/>
    <s v="Customer 023"/>
    <x v="1"/>
    <x v="11"/>
    <x v="3"/>
    <s v="Jaipur"/>
    <x v="2"/>
    <n v="2"/>
    <n v="550"/>
    <n v="0"/>
    <n v="1100"/>
    <n v="600"/>
    <n v="500"/>
    <n v="1100"/>
    <n v="500"/>
    <n v="0.45454545454545453"/>
    <s v="Aug-2026"/>
    <x v="1"/>
    <s v="High"/>
  </r>
  <r>
    <s v="ORD-00607"/>
    <x v="322"/>
    <s v="Customer 144"/>
    <x v="0"/>
    <x v="5"/>
    <x v="0"/>
    <s v="Hyderabad"/>
    <x v="1"/>
    <n v="3"/>
    <n v="650"/>
    <n v="0"/>
    <n v="1950"/>
    <n v="1140"/>
    <n v="810"/>
    <n v="1950"/>
    <n v="810"/>
    <n v="0.41538461538461541"/>
    <s v="Aug-2026"/>
    <x v="1"/>
    <s v="High"/>
  </r>
  <r>
    <s v="ORD-00752"/>
    <x v="322"/>
    <s v="Customer 180"/>
    <x v="0"/>
    <x v="0"/>
    <x v="0"/>
    <s v="Kochi"/>
    <x v="2"/>
    <n v="5"/>
    <n v="1800"/>
    <n v="0.1"/>
    <n v="8100"/>
    <n v="5500"/>
    <n v="2600"/>
    <n v="8100"/>
    <n v="2600"/>
    <n v="0.32098765432098764"/>
    <s v="Aug-2026"/>
    <x v="1"/>
    <s v="High"/>
  </r>
  <r>
    <s v="ORD-00909"/>
    <x v="322"/>
    <s v="Customer 146"/>
    <x v="1"/>
    <x v="11"/>
    <x v="1"/>
    <s v="Kolkata"/>
    <x v="4"/>
    <n v="5"/>
    <n v="550"/>
    <n v="0.05"/>
    <n v="2612.5"/>
    <n v="1500"/>
    <n v="1112.5"/>
    <n v="2612.5"/>
    <n v="1112.5"/>
    <n v="0.42583732057416268"/>
    <s v="Aug-2026"/>
    <x v="1"/>
    <s v="High"/>
  </r>
  <r>
    <s v="ORD-00352"/>
    <x v="323"/>
    <s v="Customer 183"/>
    <x v="3"/>
    <x v="14"/>
    <x v="0"/>
    <s v="Hyderabad"/>
    <x v="4"/>
    <n v="2"/>
    <n v="280"/>
    <n v="0"/>
    <n v="560"/>
    <n v="300"/>
    <n v="260"/>
    <n v="560"/>
    <n v="260"/>
    <n v="0.4642857142857143"/>
    <s v="Aug-2026"/>
    <x v="1"/>
    <s v="High"/>
  </r>
  <r>
    <s v="ORD-00526"/>
    <x v="323"/>
    <s v="Customer 163"/>
    <x v="2"/>
    <x v="18"/>
    <x v="1"/>
    <s v="Kolkata"/>
    <x v="5"/>
    <n v="10"/>
    <n v="350"/>
    <n v="0"/>
    <n v="3500"/>
    <n v="1700"/>
    <n v="1800"/>
    <n v="3500"/>
    <n v="1800"/>
    <n v="0.51428571428571423"/>
    <s v="Aug-2026"/>
    <x v="1"/>
    <s v="High"/>
  </r>
  <r>
    <s v="ORD-00932"/>
    <x v="323"/>
    <s v="Customer 025"/>
    <x v="0"/>
    <x v="8"/>
    <x v="1"/>
    <s v="Bhubaneswar"/>
    <x v="3"/>
    <n v="8"/>
    <n v="2200"/>
    <n v="0.1"/>
    <n v="15840"/>
    <n v="11200"/>
    <n v="4640"/>
    <n v="15840"/>
    <n v="4640"/>
    <n v="0.29292929292929293"/>
    <s v="Aug-2026"/>
    <x v="1"/>
    <s v="Medium"/>
  </r>
  <r>
    <s v="ORD-00351"/>
    <x v="324"/>
    <s v="Customer 028"/>
    <x v="3"/>
    <x v="6"/>
    <x v="2"/>
    <s v="Nashik"/>
    <x v="0"/>
    <n v="4"/>
    <n v="180"/>
    <n v="0.05"/>
    <n v="684"/>
    <n v="360"/>
    <n v="324"/>
    <n v="684"/>
    <n v="324"/>
    <n v="0.47368421052631576"/>
    <s v="Aug-2026"/>
    <x v="1"/>
    <s v="High"/>
  </r>
  <r>
    <s v="ORD-00668"/>
    <x v="324"/>
    <s v="Customer 029"/>
    <x v="0"/>
    <x v="2"/>
    <x v="0"/>
    <s v="Chennai"/>
    <x v="3"/>
    <n v="3"/>
    <n v="1500"/>
    <n v="0"/>
    <n v="4500"/>
    <n v="2700"/>
    <n v="1800"/>
    <n v="4500"/>
    <n v="1800"/>
    <n v="0.4"/>
    <s v="Aug-2026"/>
    <x v="1"/>
    <s v="High"/>
  </r>
  <r>
    <s v="ORD-00112"/>
    <x v="325"/>
    <s v="Customer 072"/>
    <x v="3"/>
    <x v="6"/>
    <x v="1"/>
    <s v="Ranchi"/>
    <x v="3"/>
    <n v="6"/>
    <n v="180"/>
    <n v="0"/>
    <n v="1080"/>
    <n v="540"/>
    <n v="540"/>
    <n v="1080"/>
    <n v="540"/>
    <n v="0.5"/>
    <s v="Aug-2026"/>
    <x v="1"/>
    <s v="High"/>
  </r>
  <r>
    <s v="ORD-00307"/>
    <x v="325"/>
    <s v="Customer 064"/>
    <x v="2"/>
    <x v="17"/>
    <x v="0"/>
    <s v="Hyderabad"/>
    <x v="5"/>
    <n v="10"/>
    <n v="650"/>
    <n v="0.1"/>
    <n v="5850"/>
    <n v="3500"/>
    <n v="2350"/>
    <n v="5850"/>
    <n v="2350"/>
    <n v="0.40170940170940173"/>
    <s v="Aug-2026"/>
    <x v="1"/>
    <s v="High"/>
  </r>
  <r>
    <s v="ORD-00439"/>
    <x v="325"/>
    <s v="Customer 181"/>
    <x v="3"/>
    <x v="13"/>
    <x v="3"/>
    <s v="Delhi"/>
    <x v="3"/>
    <n v="2"/>
    <n v="120"/>
    <n v="0.15"/>
    <n v="204"/>
    <n v="110"/>
    <n v="94"/>
    <n v="204"/>
    <n v="94"/>
    <n v="0.46078431372549017"/>
    <s v="Aug-2026"/>
    <x v="1"/>
    <s v="High"/>
  </r>
  <r>
    <s v="ORD-00365"/>
    <x v="326"/>
    <s v="Customer 040"/>
    <x v="0"/>
    <x v="0"/>
    <x v="2"/>
    <s v="Pune"/>
    <x v="2"/>
    <n v="6"/>
    <n v="1800"/>
    <n v="0.1"/>
    <n v="9720"/>
    <n v="6600"/>
    <n v="3120"/>
    <n v="9720"/>
    <n v="3120"/>
    <n v="0.32098765432098764"/>
    <s v="Aug-2026"/>
    <x v="1"/>
    <s v="High"/>
  </r>
  <r>
    <s v="ORD-00447"/>
    <x v="327"/>
    <s v="Customer 181"/>
    <x v="2"/>
    <x v="7"/>
    <x v="1"/>
    <s v="Ranchi"/>
    <x v="1"/>
    <n v="7"/>
    <n v="500"/>
    <n v="0.1"/>
    <n v="3150"/>
    <n v="1960"/>
    <n v="1190"/>
    <n v="3150"/>
    <n v="1190"/>
    <n v="0.37777777777777777"/>
    <s v="Aug-2026"/>
    <x v="1"/>
    <s v="High"/>
  </r>
  <r>
    <s v="ORD-00091"/>
    <x v="328"/>
    <s v="Customer 195"/>
    <x v="0"/>
    <x v="8"/>
    <x v="1"/>
    <s v="Ranchi"/>
    <x v="3"/>
    <n v="8"/>
    <n v="2200"/>
    <n v="0"/>
    <n v="17600"/>
    <n v="11200"/>
    <n v="6400"/>
    <n v="17600"/>
    <n v="6400"/>
    <n v="0.36363636363636365"/>
    <s v="Aug-2026"/>
    <x v="1"/>
    <s v="High"/>
  </r>
  <r>
    <s v="ORD-00282"/>
    <x v="328"/>
    <s v="Customer 008"/>
    <x v="0"/>
    <x v="0"/>
    <x v="3"/>
    <s v="Delhi"/>
    <x v="2"/>
    <n v="5"/>
    <n v="1800"/>
    <n v="0.05"/>
    <n v="8550"/>
    <n v="5500"/>
    <n v="3050"/>
    <n v="8550"/>
    <n v="3050"/>
    <n v="0.35672514619883039"/>
    <s v="Aug-2026"/>
    <x v="1"/>
    <s v="High"/>
  </r>
  <r>
    <s v="ORD-00208"/>
    <x v="329"/>
    <s v="Customer 135"/>
    <x v="0"/>
    <x v="0"/>
    <x v="0"/>
    <s v="Bengaluru"/>
    <x v="0"/>
    <n v="6"/>
    <n v="1800"/>
    <n v="0"/>
    <n v="10800"/>
    <n v="6600"/>
    <n v="4200"/>
    <n v="10800"/>
    <n v="4200"/>
    <n v="0.3888888888888889"/>
    <s v="Aug-2026"/>
    <x v="1"/>
    <s v="High"/>
  </r>
  <r>
    <s v="ORD-00883"/>
    <x v="329"/>
    <s v="Customer 092"/>
    <x v="2"/>
    <x v="19"/>
    <x v="2"/>
    <s v="Pune"/>
    <x v="0"/>
    <n v="4"/>
    <n v="900"/>
    <n v="0"/>
    <n v="3600"/>
    <n v="2080"/>
    <n v="1520"/>
    <n v="3600"/>
    <n v="1520"/>
    <n v="0.42222222222222222"/>
    <s v="Aug-2026"/>
    <x v="1"/>
    <s v="High"/>
  </r>
  <r>
    <s v="ORD-00957"/>
    <x v="329"/>
    <s v="Customer 111"/>
    <x v="2"/>
    <x v="4"/>
    <x v="0"/>
    <s v="Kochi"/>
    <x v="1"/>
    <n v="5"/>
    <n v="2200"/>
    <n v="0.05"/>
    <n v="10450"/>
    <n v="7250"/>
    <n v="3200"/>
    <n v="10450"/>
    <n v="3200"/>
    <n v="0.30622009569377989"/>
    <s v="Aug-2026"/>
    <x v="1"/>
    <s v="High"/>
  </r>
  <r>
    <s v="ORD-00178"/>
    <x v="330"/>
    <s v="Customer 040"/>
    <x v="3"/>
    <x v="14"/>
    <x v="0"/>
    <s v="Hyderabad"/>
    <x v="3"/>
    <n v="3"/>
    <n v="280"/>
    <n v="0"/>
    <n v="840"/>
    <n v="450"/>
    <n v="390"/>
    <n v="840"/>
    <n v="390"/>
    <n v="0.4642857142857143"/>
    <s v="Aug-2026"/>
    <x v="1"/>
    <s v="High"/>
  </r>
  <r>
    <s v="ORD-00378"/>
    <x v="330"/>
    <s v="Customer 160"/>
    <x v="3"/>
    <x v="14"/>
    <x v="0"/>
    <s v="Chennai"/>
    <x v="5"/>
    <n v="3"/>
    <n v="280"/>
    <n v="0"/>
    <n v="840"/>
    <n v="450"/>
    <n v="390"/>
    <n v="840"/>
    <n v="390"/>
    <n v="0.4642857142857143"/>
    <s v="Aug-2026"/>
    <x v="1"/>
    <s v="High"/>
  </r>
  <r>
    <s v="ORD-00142"/>
    <x v="331"/>
    <s v="Customer 086"/>
    <x v="2"/>
    <x v="7"/>
    <x v="3"/>
    <s v="Chandigarh"/>
    <x v="0"/>
    <n v="9"/>
    <n v="500"/>
    <n v="0"/>
    <n v="4500"/>
    <n v="2520"/>
    <n v="1980"/>
    <n v="4500"/>
    <n v="1980"/>
    <n v="0.44"/>
    <s v="Aug-2026"/>
    <x v="1"/>
    <s v="High"/>
  </r>
  <r>
    <s v="ORD-00635"/>
    <x v="331"/>
    <s v="Customer 017"/>
    <x v="0"/>
    <x v="8"/>
    <x v="0"/>
    <s v="Kochi"/>
    <x v="0"/>
    <n v="1"/>
    <n v="2200"/>
    <n v="0"/>
    <n v="2200"/>
    <n v="1400"/>
    <n v="800"/>
    <n v="2200"/>
    <n v="800"/>
    <n v="0.36363636363636365"/>
    <s v="Aug-2026"/>
    <x v="1"/>
    <s v="High"/>
  </r>
  <r>
    <s v="ORD-00180"/>
    <x v="332"/>
    <s v="Customer 191"/>
    <x v="2"/>
    <x v="19"/>
    <x v="2"/>
    <s v="Nashik"/>
    <x v="3"/>
    <n v="9"/>
    <n v="900"/>
    <n v="0.1"/>
    <n v="7290"/>
    <n v="4680"/>
    <n v="2610"/>
    <n v="7290"/>
    <n v="2610"/>
    <n v="0.35802469135802467"/>
    <s v="Aug-2026"/>
    <x v="1"/>
    <s v="High"/>
  </r>
  <r>
    <s v="ORD-00182"/>
    <x v="332"/>
    <s v="Customer 002"/>
    <x v="0"/>
    <x v="0"/>
    <x v="2"/>
    <s v="Pune"/>
    <x v="1"/>
    <n v="7"/>
    <n v="1800"/>
    <n v="0"/>
    <n v="12600"/>
    <n v="7700"/>
    <n v="4900"/>
    <n v="12600"/>
    <n v="4900"/>
    <n v="0.3888888888888889"/>
    <s v="Aug-2026"/>
    <x v="1"/>
    <s v="High"/>
  </r>
  <r>
    <s v="ORD-00412"/>
    <x v="332"/>
    <s v="Customer 021"/>
    <x v="1"/>
    <x v="10"/>
    <x v="1"/>
    <s v="Ranchi"/>
    <x v="0"/>
    <n v="6"/>
    <n v="950"/>
    <n v="0"/>
    <n v="5700"/>
    <n v="3360"/>
    <n v="2340"/>
    <n v="5700"/>
    <n v="2340"/>
    <n v="0.41052631578947368"/>
    <s v="Aug-2026"/>
    <x v="1"/>
    <s v="High"/>
  </r>
  <r>
    <s v="ORD-00762"/>
    <x v="332"/>
    <s v="Customer 022"/>
    <x v="2"/>
    <x v="18"/>
    <x v="3"/>
    <s v="Chandigarh"/>
    <x v="2"/>
    <n v="6"/>
    <n v="350"/>
    <n v="0.05"/>
    <n v="1995"/>
    <n v="1020"/>
    <n v="975"/>
    <n v="1995"/>
    <n v="975"/>
    <n v="0.48872180451127817"/>
    <s v="Aug-2026"/>
    <x v="1"/>
    <s v="High"/>
  </r>
  <r>
    <s v="ORD-00804"/>
    <x v="332"/>
    <s v="Customer 052"/>
    <x v="3"/>
    <x v="14"/>
    <x v="0"/>
    <s v="Hyderabad"/>
    <x v="3"/>
    <n v="2"/>
    <n v="280"/>
    <n v="0"/>
    <n v="560"/>
    <n v="300"/>
    <n v="260"/>
    <n v="560"/>
    <n v="260"/>
    <n v="0.4642857142857143"/>
    <s v="Aug-2026"/>
    <x v="1"/>
    <s v="High"/>
  </r>
  <r>
    <s v="ORD-00366"/>
    <x v="333"/>
    <s v="Customer 062"/>
    <x v="0"/>
    <x v="8"/>
    <x v="0"/>
    <s v="Chennai"/>
    <x v="4"/>
    <n v="1"/>
    <n v="2200"/>
    <n v="0"/>
    <n v="2200"/>
    <n v="1400"/>
    <n v="800"/>
    <n v="2200"/>
    <n v="800"/>
    <n v="0.36363636363636365"/>
    <s v="Aug-2026"/>
    <x v="1"/>
    <s v="High"/>
  </r>
  <r>
    <s v="ORD-00513"/>
    <x v="333"/>
    <s v="Customer 112"/>
    <x v="1"/>
    <x v="11"/>
    <x v="1"/>
    <s v="Ranchi"/>
    <x v="5"/>
    <n v="9"/>
    <n v="550"/>
    <n v="0.05"/>
    <n v="4702.5"/>
    <n v="2700"/>
    <n v="2002.5"/>
    <n v="4702.5"/>
    <n v="2002.5"/>
    <n v="0.42583732057416268"/>
    <s v="Aug-2026"/>
    <x v="1"/>
    <s v="High"/>
  </r>
  <r>
    <s v="ORD-00998"/>
    <x v="333"/>
    <s v="Customer 084"/>
    <x v="3"/>
    <x v="13"/>
    <x v="3"/>
    <s v="Chandigarh"/>
    <x v="4"/>
    <n v="1"/>
    <n v="120"/>
    <n v="0"/>
    <n v="120"/>
    <n v="55"/>
    <n v="65"/>
    <n v="120"/>
    <n v="65"/>
    <n v="0.54166666666666663"/>
    <s v="Aug-2026"/>
    <x v="1"/>
    <s v="High"/>
  </r>
  <r>
    <s v="ORD-00431"/>
    <x v="334"/>
    <s v="Customer 118"/>
    <x v="0"/>
    <x v="2"/>
    <x v="2"/>
    <s v="Pune"/>
    <x v="2"/>
    <n v="3"/>
    <n v="1500"/>
    <n v="0"/>
    <n v="4500"/>
    <n v="2700"/>
    <n v="1800"/>
    <n v="4500"/>
    <n v="1800"/>
    <n v="0.4"/>
    <s v="Aug-2026"/>
    <x v="1"/>
    <s v="High"/>
  </r>
  <r>
    <s v="ORD-00484"/>
    <x v="334"/>
    <s v="Customer 065"/>
    <x v="2"/>
    <x v="18"/>
    <x v="1"/>
    <s v="Patna"/>
    <x v="3"/>
    <n v="8"/>
    <n v="350"/>
    <n v="0"/>
    <n v="2800"/>
    <n v="1360"/>
    <n v="1440"/>
    <n v="2800"/>
    <n v="1440"/>
    <n v="0.51428571428571423"/>
    <s v="Aug-2026"/>
    <x v="1"/>
    <s v="High"/>
  </r>
  <r>
    <s v="ORD-00582"/>
    <x v="334"/>
    <s v="Customer 093"/>
    <x v="0"/>
    <x v="2"/>
    <x v="0"/>
    <s v="Bengaluru"/>
    <x v="5"/>
    <n v="8"/>
    <n v="1500"/>
    <n v="0"/>
    <n v="12000"/>
    <n v="7200"/>
    <n v="4800"/>
    <n v="12000"/>
    <n v="4800"/>
    <n v="0.4"/>
    <s v="Aug-2026"/>
    <x v="1"/>
    <s v="High"/>
  </r>
  <r>
    <s v="ORD-00652"/>
    <x v="334"/>
    <s v="Customer 106"/>
    <x v="2"/>
    <x v="4"/>
    <x v="2"/>
    <s v="Mumbai"/>
    <x v="3"/>
    <n v="8"/>
    <n v="2200"/>
    <n v="0.15"/>
    <n v="14960"/>
    <n v="11600"/>
    <n v="3360"/>
    <n v="14960"/>
    <n v="3360"/>
    <n v="0.22459893048128343"/>
    <s v="Aug-2026"/>
    <x v="1"/>
    <s v="Medium"/>
  </r>
  <r>
    <s v="ORD-00298"/>
    <x v="335"/>
    <s v="Customer 149"/>
    <x v="2"/>
    <x v="18"/>
    <x v="3"/>
    <s v="Delhi"/>
    <x v="2"/>
    <n v="6"/>
    <n v="350"/>
    <n v="0"/>
    <n v="2100"/>
    <n v="1020"/>
    <n v="1080"/>
    <n v="2100"/>
    <n v="1080"/>
    <n v="0.51428571428571423"/>
    <s v="Aug-2026"/>
    <x v="1"/>
    <s v="High"/>
  </r>
  <r>
    <s v="ORD-00379"/>
    <x v="335"/>
    <s v="Customer 068"/>
    <x v="0"/>
    <x v="5"/>
    <x v="2"/>
    <s v="Pune"/>
    <x v="3"/>
    <n v="5"/>
    <n v="650"/>
    <n v="0.15"/>
    <n v="2762.5"/>
    <n v="1900"/>
    <n v="862.5"/>
    <n v="2762.5"/>
    <n v="862.5"/>
    <n v="0.31221719457013575"/>
    <s v="Aug-2026"/>
    <x v="1"/>
    <s v="High"/>
  </r>
  <r>
    <s v="ORD-00700"/>
    <x v="335"/>
    <s v="Customer 106"/>
    <x v="3"/>
    <x v="6"/>
    <x v="2"/>
    <s v="Pune"/>
    <x v="1"/>
    <n v="9"/>
    <n v="180"/>
    <n v="0.05"/>
    <n v="1539"/>
    <n v="810"/>
    <n v="729"/>
    <n v="1539"/>
    <n v="729"/>
    <n v="0.47368421052631576"/>
    <s v="Aug-2026"/>
    <x v="1"/>
    <s v="High"/>
  </r>
  <r>
    <s v="ORD-00707"/>
    <x v="335"/>
    <s v="Customer 059"/>
    <x v="2"/>
    <x v="18"/>
    <x v="3"/>
    <s v="Chandigarh"/>
    <x v="3"/>
    <n v="5"/>
    <n v="350"/>
    <n v="0.05"/>
    <n v="1662.5"/>
    <n v="850"/>
    <n v="812.5"/>
    <n v="1662.5"/>
    <n v="812.5"/>
    <n v="0.48872180451127817"/>
    <s v="Aug-2026"/>
    <x v="1"/>
    <s v="High"/>
  </r>
  <r>
    <s v="ORD-00768"/>
    <x v="335"/>
    <s v="Customer 004"/>
    <x v="0"/>
    <x v="0"/>
    <x v="3"/>
    <s v="Lucknow"/>
    <x v="2"/>
    <n v="3"/>
    <n v="1800"/>
    <n v="0.05"/>
    <n v="5130"/>
    <n v="3300"/>
    <n v="1830"/>
    <n v="5130"/>
    <n v="1830"/>
    <n v="0.35672514619883039"/>
    <s v="Aug-2026"/>
    <x v="1"/>
    <s v="High"/>
  </r>
  <r>
    <s v="ORD-00826"/>
    <x v="335"/>
    <s v="Customer 146"/>
    <x v="0"/>
    <x v="16"/>
    <x v="2"/>
    <s v="Ahmedabad"/>
    <x v="2"/>
    <n v="2"/>
    <n v="1200"/>
    <n v="0"/>
    <n v="2400"/>
    <n v="1440"/>
    <n v="960"/>
    <n v="2400"/>
    <n v="960"/>
    <n v="0.4"/>
    <s v="Aug-2026"/>
    <x v="1"/>
    <s v="High"/>
  </r>
  <r>
    <s v="ORD-00040"/>
    <x v="336"/>
    <s v="Customer 174"/>
    <x v="3"/>
    <x v="13"/>
    <x v="2"/>
    <s v="Pune"/>
    <x v="2"/>
    <n v="6"/>
    <n v="120"/>
    <n v="0.05"/>
    <n v="684"/>
    <n v="330"/>
    <n v="354"/>
    <n v="684"/>
    <n v="354"/>
    <n v="0.51754385964912286"/>
    <s v="Aug-2026"/>
    <x v="1"/>
    <s v="High"/>
  </r>
  <r>
    <s v="ORD-00183"/>
    <x v="336"/>
    <s v="Customer 098"/>
    <x v="1"/>
    <x v="1"/>
    <x v="0"/>
    <s v="Hyderabad"/>
    <x v="0"/>
    <n v="1"/>
    <n v="600"/>
    <n v="0.05"/>
    <n v="570"/>
    <n v="330"/>
    <n v="240"/>
    <n v="570"/>
    <n v="240"/>
    <n v="0.42105263157894735"/>
    <s v="Aug-2026"/>
    <x v="1"/>
    <s v="High"/>
  </r>
  <r>
    <s v="ORD-00369"/>
    <x v="336"/>
    <s v="Customer 075"/>
    <x v="0"/>
    <x v="0"/>
    <x v="0"/>
    <s v="Kochi"/>
    <x v="2"/>
    <n v="9"/>
    <n v="1800"/>
    <n v="0"/>
    <n v="16200"/>
    <n v="9900"/>
    <n v="6300"/>
    <n v="16200"/>
    <n v="6300"/>
    <n v="0.3888888888888889"/>
    <s v="Aug-2026"/>
    <x v="1"/>
    <s v="High"/>
  </r>
  <r>
    <s v="ORD-00545"/>
    <x v="336"/>
    <s v="Customer 139"/>
    <x v="2"/>
    <x v="19"/>
    <x v="1"/>
    <s v="Ranchi"/>
    <x v="1"/>
    <n v="8"/>
    <n v="900"/>
    <n v="0"/>
    <n v="7200"/>
    <n v="4160"/>
    <n v="3040"/>
    <n v="7200"/>
    <n v="3040"/>
    <n v="0.42222222222222222"/>
    <s v="Aug-2026"/>
    <x v="1"/>
    <s v="High"/>
  </r>
  <r>
    <s v="ORD-00592"/>
    <x v="336"/>
    <s v="Customer 152"/>
    <x v="1"/>
    <x v="1"/>
    <x v="1"/>
    <s v="Patna"/>
    <x v="5"/>
    <n v="10"/>
    <n v="600"/>
    <n v="0.1"/>
    <n v="5400"/>
    <n v="3300"/>
    <n v="2100"/>
    <n v="5400"/>
    <n v="2100"/>
    <n v="0.3888888888888889"/>
    <s v="Aug-2026"/>
    <x v="1"/>
    <s v="High"/>
  </r>
  <r>
    <s v="ORD-00061"/>
    <x v="337"/>
    <s v="Customer 030"/>
    <x v="1"/>
    <x v="1"/>
    <x v="2"/>
    <s v="Nashik"/>
    <x v="4"/>
    <n v="7"/>
    <n v="600"/>
    <n v="0.1"/>
    <n v="3780"/>
    <n v="2310"/>
    <n v="1470"/>
    <n v="3780"/>
    <n v="1470"/>
    <n v="0.3888888888888889"/>
    <s v="Aug-2026"/>
    <x v="1"/>
    <s v="High"/>
  </r>
  <r>
    <s v="ORD-00207"/>
    <x v="337"/>
    <s v="Customer 059"/>
    <x v="1"/>
    <x v="9"/>
    <x v="0"/>
    <s v="Hyderabad"/>
    <x v="3"/>
    <n v="5"/>
    <n v="350"/>
    <n v="0.15"/>
    <n v="1487.5"/>
    <n v="900"/>
    <n v="587.5"/>
    <n v="1487.5"/>
    <n v="587.5"/>
    <n v="0.3949579831932773"/>
    <s v="Aug-2026"/>
    <x v="1"/>
    <s v="High"/>
  </r>
  <r>
    <s v="ORD-00838"/>
    <x v="338"/>
    <s v="Customer 116"/>
    <x v="3"/>
    <x v="14"/>
    <x v="3"/>
    <s v="Lucknow"/>
    <x v="2"/>
    <n v="7"/>
    <n v="280"/>
    <n v="0"/>
    <n v="1960"/>
    <n v="1050"/>
    <n v="910"/>
    <n v="1960"/>
    <n v="910"/>
    <n v="0.4642857142857143"/>
    <s v="Aug-2026"/>
    <x v="1"/>
    <s v="High"/>
  </r>
  <r>
    <s v="ORD-00879"/>
    <x v="338"/>
    <s v="Customer 137"/>
    <x v="1"/>
    <x v="9"/>
    <x v="1"/>
    <s v="Bhubaneswar"/>
    <x v="4"/>
    <n v="1"/>
    <n v="350"/>
    <n v="0.15"/>
    <n v="297.5"/>
    <n v="180"/>
    <n v="117.5"/>
    <n v="297.5"/>
    <n v="117.5"/>
    <n v="0.3949579831932773"/>
    <s v="Aug-2026"/>
    <x v="1"/>
    <s v="High"/>
  </r>
  <r>
    <s v="ORD-00975"/>
    <x v="338"/>
    <s v="Customer 125"/>
    <x v="1"/>
    <x v="9"/>
    <x v="1"/>
    <s v="Ranchi"/>
    <x v="4"/>
    <n v="8"/>
    <n v="350"/>
    <n v="0"/>
    <n v="2800"/>
    <n v="1440"/>
    <n v="1360"/>
    <n v="2800"/>
    <n v="1360"/>
    <n v="0.48571428571428571"/>
    <s v="Aug-2026"/>
    <x v="1"/>
    <s v="High"/>
  </r>
  <r>
    <s v="ORD-00149"/>
    <x v="339"/>
    <s v="Customer 193"/>
    <x v="3"/>
    <x v="13"/>
    <x v="3"/>
    <s v="Chandigarh"/>
    <x v="3"/>
    <n v="2"/>
    <n v="120"/>
    <n v="0"/>
    <n v="240"/>
    <n v="110"/>
    <n v="130"/>
    <n v="240"/>
    <n v="130"/>
    <n v="0.54166666666666663"/>
    <s v="Aug-2026"/>
    <x v="1"/>
    <s v="High"/>
  </r>
  <r>
    <s v="ORD-00720"/>
    <x v="339"/>
    <s v="Customer 100"/>
    <x v="1"/>
    <x v="11"/>
    <x v="2"/>
    <s v="Pune"/>
    <x v="1"/>
    <n v="9"/>
    <n v="550"/>
    <n v="0"/>
    <n v="4950"/>
    <n v="2700"/>
    <n v="2250"/>
    <n v="4950"/>
    <n v="2250"/>
    <n v="0.45454545454545453"/>
    <s v="Aug-2026"/>
    <x v="1"/>
    <s v="High"/>
  </r>
  <r>
    <s v="ORD-00727"/>
    <x v="339"/>
    <s v="Customer 029"/>
    <x v="1"/>
    <x v="9"/>
    <x v="2"/>
    <s v="Ahmedabad"/>
    <x v="5"/>
    <n v="1"/>
    <n v="350"/>
    <n v="0.1"/>
    <n v="315"/>
    <n v="180"/>
    <n v="135"/>
    <n v="315"/>
    <n v="135"/>
    <n v="0.42857142857142855"/>
    <s v="Aug-2026"/>
    <x v="1"/>
    <s v="High"/>
  </r>
  <r>
    <s v="ORD-00972"/>
    <x v="339"/>
    <s v="Customer 054"/>
    <x v="0"/>
    <x v="2"/>
    <x v="0"/>
    <s v="Bengaluru"/>
    <x v="5"/>
    <n v="5"/>
    <n v="1500"/>
    <n v="0.15"/>
    <n v="6375"/>
    <n v="4500"/>
    <n v="1875"/>
    <n v="6375"/>
    <n v="1875"/>
    <n v="0.29411764705882354"/>
    <s v="Aug-2026"/>
    <x v="1"/>
    <s v="Medium"/>
  </r>
  <r>
    <s v="ORD-00129"/>
    <x v="340"/>
    <s v="Customer 179"/>
    <x v="2"/>
    <x v="17"/>
    <x v="0"/>
    <s v="Hyderabad"/>
    <x v="1"/>
    <n v="1"/>
    <n v="650"/>
    <n v="0.05"/>
    <n v="617.5"/>
    <n v="350"/>
    <n v="267.5"/>
    <n v="617.5"/>
    <n v="267.5"/>
    <n v="0.4331983805668016"/>
    <s v="Aug-2026"/>
    <x v="1"/>
    <s v="High"/>
  </r>
  <r>
    <s v="ORD-00333"/>
    <x v="340"/>
    <s v="Customer 108"/>
    <x v="2"/>
    <x v="4"/>
    <x v="3"/>
    <s v="Jaipur"/>
    <x v="4"/>
    <n v="6"/>
    <n v="2200"/>
    <n v="0.05"/>
    <n v="12540"/>
    <n v="8700"/>
    <n v="3840"/>
    <n v="12540"/>
    <n v="3840"/>
    <n v="0.30622009569377989"/>
    <s v="Aug-2026"/>
    <x v="1"/>
    <s v="High"/>
  </r>
  <r>
    <s v="ORD-00406"/>
    <x v="340"/>
    <s v="Customer 011"/>
    <x v="0"/>
    <x v="2"/>
    <x v="2"/>
    <s v="Nashik"/>
    <x v="4"/>
    <n v="5"/>
    <n v="1500"/>
    <n v="0.15"/>
    <n v="6375"/>
    <n v="4500"/>
    <n v="1875"/>
    <n v="6375"/>
    <n v="1875"/>
    <n v="0.29411764705882354"/>
    <s v="Aug-2026"/>
    <x v="1"/>
    <s v="Medium"/>
  </r>
  <r>
    <s v="ORD-00436"/>
    <x v="340"/>
    <s v="Customer 141"/>
    <x v="3"/>
    <x v="15"/>
    <x v="3"/>
    <s v="Delhi"/>
    <x v="5"/>
    <n v="9"/>
    <n v="450"/>
    <n v="0"/>
    <n v="4050"/>
    <n v="2250"/>
    <n v="1800"/>
    <n v="4050"/>
    <n v="1800"/>
    <n v="0.44444444444444442"/>
    <s v="Aug-2026"/>
    <x v="1"/>
    <s v="High"/>
  </r>
  <r>
    <s v="ORD-00543"/>
    <x v="340"/>
    <s v="Customer 058"/>
    <x v="2"/>
    <x v="18"/>
    <x v="3"/>
    <s v="Lucknow"/>
    <x v="2"/>
    <n v="2"/>
    <n v="350"/>
    <n v="0"/>
    <n v="700"/>
    <n v="340"/>
    <n v="360"/>
    <n v="700"/>
    <n v="360"/>
    <n v="0.51428571428571423"/>
    <s v="Aug-2026"/>
    <x v="1"/>
    <s v="High"/>
  </r>
  <r>
    <s v="ORD-00640"/>
    <x v="340"/>
    <s v="Customer 109"/>
    <x v="1"/>
    <x v="11"/>
    <x v="0"/>
    <s v="Kochi"/>
    <x v="0"/>
    <n v="3"/>
    <n v="550"/>
    <n v="0.05"/>
    <n v="1567.5"/>
    <n v="900"/>
    <n v="667.5"/>
    <n v="1567.5"/>
    <n v="667.5"/>
    <n v="0.42583732057416268"/>
    <s v="Aug-2026"/>
    <x v="1"/>
    <s v="High"/>
  </r>
  <r>
    <s v="ORD-00950"/>
    <x v="340"/>
    <s v="Customer 112"/>
    <x v="3"/>
    <x v="14"/>
    <x v="3"/>
    <s v="Jaipur"/>
    <x v="4"/>
    <n v="4"/>
    <n v="280"/>
    <n v="0"/>
    <n v="1120"/>
    <n v="600"/>
    <n v="520"/>
    <n v="1120"/>
    <n v="520"/>
    <n v="0.4642857142857143"/>
    <s v="Aug-2026"/>
    <x v="1"/>
    <s v="High"/>
  </r>
  <r>
    <s v="ORD-00642"/>
    <x v="341"/>
    <s v="Customer 086"/>
    <x v="1"/>
    <x v="11"/>
    <x v="3"/>
    <s v="Chandigarh"/>
    <x v="3"/>
    <n v="4"/>
    <n v="550"/>
    <n v="0.05"/>
    <n v="2090"/>
    <n v="1200"/>
    <n v="890"/>
    <n v="2090"/>
    <n v="890"/>
    <n v="0.42583732057416268"/>
    <s v="Aug-2026"/>
    <x v="1"/>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Category">
  <location ref="N2:P3" firstHeaderRow="0" firstDataRow="1" firstDataCol="0"/>
  <pivotFields count="20">
    <pivotField dataField="1" showAll="0"/>
    <pivotField showAll="0"/>
    <pivotField showAll="0"/>
    <pivotField showAll="0">
      <items count="5">
        <item x="0"/>
        <item x="2"/>
        <item x="1"/>
        <item x="3"/>
        <item t="default"/>
      </items>
    </pivotField>
    <pivotField showAll="0"/>
    <pivotField showAll="0">
      <items count="5">
        <item x="1"/>
        <item x="3"/>
        <item x="0"/>
        <item x="2"/>
        <item t="default"/>
      </items>
    </pivotField>
    <pivotField showAll="0"/>
    <pivotField showAll="0">
      <items count="7">
        <item x="4"/>
        <item x="1"/>
        <item x="2"/>
        <item x="3"/>
        <item x="0"/>
        <item x="5"/>
        <item t="default"/>
      </items>
    </pivotField>
    <pivotField showAll="0"/>
    <pivotField numFmtId="164" showAll="0"/>
    <pivotField numFmtId="9" showAll="0"/>
    <pivotField dataField="1" numFmtId="44" showAll="0"/>
    <pivotField numFmtId="44" showAll="0"/>
    <pivotField dataField="1" numFmtId="44" showAll="0"/>
    <pivotField numFmtId="44" showAll="0"/>
    <pivotField numFmtId="44" showAll="0"/>
    <pivotField numFmtId="166" showAll="0"/>
    <pivotField showAll="0"/>
    <pivotField showAll="0">
      <items count="3">
        <item x="0"/>
        <item x="1"/>
        <item t="default"/>
      </items>
    </pivotField>
    <pivotField showAll="0"/>
  </pivotFields>
  <rowItems count="1">
    <i/>
  </rowItems>
  <colFields count="1">
    <field x="-2"/>
  </colFields>
  <colItems count="3">
    <i>
      <x/>
    </i>
    <i i="1">
      <x v="1"/>
    </i>
    <i i="2">
      <x v="2"/>
    </i>
  </colItems>
  <dataFields count="3">
    <dataField name="Sum of Sales" fld="11" baseField="0" baseItem="0"/>
    <dataField name="Sum of Profit" fld="13"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Monthly Sales Trend"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24:C27" firstHeaderRow="0" firstDataRow="1" firstDataCol="1"/>
  <pivotFields count="20">
    <pivotField showAll="0"/>
    <pivotField axis="axisRow" showAll="0">
      <items count="3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t="default"/>
      </items>
    </pivotField>
    <pivotField showAll="0"/>
    <pivotField showAll="0">
      <items count="5">
        <item x="0"/>
        <item x="2"/>
        <item x="1"/>
        <item x="3"/>
        <item t="default"/>
      </items>
    </pivotField>
    <pivotField showAll="0"/>
    <pivotField showAll="0">
      <items count="5">
        <item x="1"/>
        <item x="3"/>
        <item x="0"/>
        <item x="2"/>
        <item t="default"/>
      </items>
    </pivotField>
    <pivotField showAll="0"/>
    <pivotField showAll="0">
      <items count="7">
        <item x="4"/>
        <item x="1"/>
        <item x="2"/>
        <item x="3"/>
        <item x="0"/>
        <item x="5"/>
        <item t="default"/>
      </items>
    </pivotField>
    <pivotField showAll="0"/>
    <pivotField numFmtId="164" showAll="0"/>
    <pivotField numFmtId="9" showAll="0"/>
    <pivotField dataField="1" numFmtId="44" showAll="0"/>
    <pivotField numFmtId="44" showAll="0"/>
    <pivotField dataField="1" numFmtId="44" showAll="0"/>
    <pivotField numFmtId="44" showAll="0"/>
    <pivotField numFmtId="44" showAll="0"/>
    <pivotField numFmtId="166" showAll="0"/>
    <pivotField showAll="0"/>
    <pivotField axis="axisRow" showAll="0">
      <items count="3">
        <item sd="0" x="0"/>
        <item sd="0" x="1"/>
        <item t="default"/>
      </items>
    </pivotField>
    <pivotField showAll="0"/>
  </pivotFields>
  <rowFields count="2">
    <field x="18"/>
    <field x="1"/>
  </rowFields>
  <rowItems count="3">
    <i>
      <x/>
    </i>
    <i>
      <x v="1"/>
    </i>
    <i t="grand">
      <x/>
    </i>
  </rowItems>
  <colFields count="1">
    <field x="-2"/>
  </colFields>
  <colItems count="2">
    <i>
      <x/>
    </i>
    <i i="1">
      <x v="1"/>
    </i>
  </colItems>
  <dataFields count="2">
    <dataField name="Sum of Sales" fld="11" baseField="0" baseItem="0"/>
    <dataField name="Sum of Profit" fld="13" baseField="0" baseItem="0"/>
  </dataFields>
  <chartFormats count="10">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roduct">
  <location ref="F19:G30" firstHeaderRow="1" firstDataRow="1" firstDataCol="1"/>
  <pivotFields count="20">
    <pivotField showAll="0"/>
    <pivotField showAll="0"/>
    <pivotField showAll="0"/>
    <pivotField showAll="0">
      <items count="5">
        <item x="0"/>
        <item x="2"/>
        <item x="1"/>
        <item x="3"/>
        <item t="default"/>
      </items>
    </pivotField>
    <pivotField axis="axisRow" showAll="0" measureFilter="1" sortType="descending">
      <items count="21">
        <item x="13"/>
        <item x="8"/>
        <item x="9"/>
        <item x="15"/>
        <item x="4"/>
        <item x="12"/>
        <item x="7"/>
        <item x="16"/>
        <item x="10"/>
        <item x="3"/>
        <item x="6"/>
        <item x="2"/>
        <item x="17"/>
        <item x="18"/>
        <item x="14"/>
        <item x="1"/>
        <item x="0"/>
        <item x="11"/>
        <item x="5"/>
        <item x="19"/>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items count="7">
        <item x="4"/>
        <item x="1"/>
        <item x="2"/>
        <item x="3"/>
        <item x="0"/>
        <item x="5"/>
        <item t="default"/>
      </items>
    </pivotField>
    <pivotField showAll="0"/>
    <pivotField numFmtId="164" showAll="0"/>
    <pivotField numFmtId="9" showAll="0"/>
    <pivotField dataField="1" numFmtId="44" showAll="0"/>
    <pivotField numFmtId="44" showAll="0"/>
    <pivotField numFmtId="44" showAll="0"/>
    <pivotField numFmtId="44" showAll="0"/>
    <pivotField numFmtId="44" showAll="0"/>
    <pivotField numFmtId="166" showAll="0"/>
    <pivotField showAll="0"/>
    <pivotField showAll="0">
      <items count="3">
        <item x="0"/>
        <item x="1"/>
        <item t="default"/>
      </items>
    </pivotField>
    <pivotField showAll="0"/>
  </pivotFields>
  <rowFields count="1">
    <field x="4"/>
  </rowFields>
  <rowItems count="11">
    <i>
      <x v="1"/>
    </i>
    <i>
      <x v="16"/>
    </i>
    <i>
      <x v="11"/>
    </i>
    <i>
      <x v="4"/>
    </i>
    <i>
      <x v="7"/>
    </i>
    <i>
      <x v="9"/>
    </i>
    <i>
      <x v="19"/>
    </i>
    <i>
      <x v="8"/>
    </i>
    <i>
      <x v="17"/>
    </i>
    <i>
      <x v="18"/>
    </i>
    <i t="grand">
      <x/>
    </i>
  </rowItems>
  <colItems count="1">
    <i/>
  </colItems>
  <dataFields count="1">
    <dataField name="Sum of Sales" fld="11" baseField="0" baseItem="0"/>
  </dataFields>
  <chartFormats count="1">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Category">
  <location ref="K2:L7" firstHeaderRow="1" firstDataRow="1" firstDataCol="1"/>
  <pivotFields count="20">
    <pivotField showAll="0"/>
    <pivotField showAll="0"/>
    <pivotField showAll="0"/>
    <pivotField axis="axisRow" showAll="0">
      <items count="5">
        <item x="0"/>
        <item x="2"/>
        <item x="1"/>
        <item x="3"/>
        <item t="default"/>
      </items>
    </pivotField>
    <pivotField showAll="0"/>
    <pivotField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items count="7">
        <item x="4"/>
        <item x="1"/>
        <item x="2"/>
        <item x="3"/>
        <item x="0"/>
        <item x="5"/>
        <item t="default"/>
      </items>
    </pivotField>
    <pivotField showAll="0"/>
    <pivotField numFmtId="164" showAll="0"/>
    <pivotField numFmtId="9" showAll="0"/>
    <pivotField dataField="1" numFmtId="44" showAll="0"/>
    <pivotField numFmtId="44" showAll="0"/>
    <pivotField numFmtId="44" showAll="0"/>
    <pivotField numFmtId="44" showAll="0"/>
    <pivotField numFmtId="44" showAll="0"/>
    <pivotField numFmtId="166" showAll="0"/>
    <pivotField showAll="0"/>
    <pivotField showAll="0">
      <items count="3">
        <item x="0"/>
        <item x="1"/>
        <item t="default"/>
      </items>
    </pivotField>
    <pivotField showAll="0"/>
  </pivotFields>
  <rowFields count="1">
    <field x="3"/>
  </rowFields>
  <rowItems count="5">
    <i>
      <x/>
    </i>
    <i>
      <x v="1"/>
    </i>
    <i>
      <x v="2"/>
    </i>
    <i>
      <x v="3"/>
    </i>
    <i t="grand">
      <x/>
    </i>
  </rowItems>
  <colItems count="1">
    <i/>
  </colItems>
  <dataFields count="1">
    <dataField name="Sum of Sales" fld="11" baseField="0" baseItem="0"/>
  </dataFields>
  <chartFormats count="4">
    <chartFormat chart="0" format="3"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Salesperson Performance"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alesperson">
  <location ref="F10:H17" firstHeaderRow="0" firstDataRow="1" firstDataCol="1"/>
  <pivotFields count="20">
    <pivotField showAll="0"/>
    <pivotField showAll="0"/>
    <pivotField showAll="0"/>
    <pivotField showAll="0">
      <items count="5">
        <item x="0"/>
        <item x="2"/>
        <item x="1"/>
        <item x="3"/>
        <item t="default"/>
      </items>
    </pivotField>
    <pivotField showAll="0"/>
    <pivotField showAll="0">
      <items count="5">
        <item x="1"/>
        <item x="3"/>
        <item x="0"/>
        <item x="2"/>
        <item t="default"/>
      </items>
    </pivotField>
    <pivotField showAll="0"/>
    <pivotField axis="axisRow" showAll="0">
      <items count="7">
        <item x="4"/>
        <item x="1"/>
        <item x="2"/>
        <item x="3"/>
        <item x="0"/>
        <item x="5"/>
        <item t="default"/>
      </items>
    </pivotField>
    <pivotField showAll="0"/>
    <pivotField numFmtId="164" showAll="0"/>
    <pivotField numFmtId="9" showAll="0"/>
    <pivotField dataField="1" numFmtId="44" showAll="0"/>
    <pivotField numFmtId="44" showAll="0"/>
    <pivotField dataField="1" numFmtId="44" showAll="0"/>
    <pivotField numFmtId="44" showAll="0"/>
    <pivotField numFmtId="44" showAll="0"/>
    <pivotField numFmtId="166" showAll="0"/>
    <pivotField showAll="0"/>
    <pivotField showAll="0">
      <items count="3">
        <item x="0"/>
        <item x="1"/>
        <item t="default"/>
      </items>
    </pivotField>
    <pivotField showAll="0"/>
  </pivotFields>
  <rowFields count="1">
    <field x="7"/>
  </rowFields>
  <rowItems count="7">
    <i>
      <x/>
    </i>
    <i>
      <x v="1"/>
    </i>
    <i>
      <x v="2"/>
    </i>
    <i>
      <x v="3"/>
    </i>
    <i>
      <x v="4"/>
    </i>
    <i>
      <x v="5"/>
    </i>
    <i t="grand">
      <x/>
    </i>
  </rowItems>
  <colFields count="1">
    <field x="-2"/>
  </colFields>
  <colItems count="2">
    <i>
      <x/>
    </i>
    <i i="1">
      <x v="1"/>
    </i>
  </colItems>
  <dataFields count="2">
    <dataField name="Sum of Sales" fld="11" baseField="0" baseItem="0"/>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Regional Performance"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Region">
  <location ref="A17:B22" firstHeaderRow="1" firstDataRow="1" firstDataCol="1"/>
  <pivotFields count="20">
    <pivotField showAll="0"/>
    <pivotField showAll="0"/>
    <pivotField showAll="0"/>
    <pivotField showAll="0">
      <items count="5">
        <item x="0"/>
        <item x="2"/>
        <item x="1"/>
        <item x="3"/>
        <item t="default"/>
      </items>
    </pivotField>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items count="7">
        <item x="4"/>
        <item x="1"/>
        <item x="2"/>
        <item x="3"/>
        <item x="0"/>
        <item x="5"/>
        <item t="default"/>
      </items>
    </pivotField>
    <pivotField showAll="0"/>
    <pivotField numFmtId="164" showAll="0"/>
    <pivotField numFmtId="9" showAll="0"/>
    <pivotField dataField="1" numFmtId="44" showAll="0"/>
    <pivotField numFmtId="44" showAll="0"/>
    <pivotField numFmtId="44" showAll="0"/>
    <pivotField numFmtId="44" showAll="0"/>
    <pivotField numFmtId="44" showAll="0"/>
    <pivotField numFmtId="166" showAll="0"/>
    <pivotField showAll="0"/>
    <pivotField showAll="0">
      <items count="3">
        <item x="0"/>
        <item x="1"/>
        <item t="default"/>
      </items>
    </pivotField>
    <pivotField showAll="0"/>
  </pivotFields>
  <rowFields count="1">
    <field x="5"/>
  </rowFields>
  <rowItems count="5">
    <i>
      <x v="1"/>
    </i>
    <i>
      <x v="3"/>
    </i>
    <i>
      <x/>
    </i>
    <i>
      <x v="2"/>
    </i>
    <i t="grand">
      <x/>
    </i>
  </rowItems>
  <colItems count="1">
    <i/>
  </colItems>
  <dataFields count="1">
    <dataField name="Sum of Sales" fld="11" baseField="0" baseItem="0"/>
  </dataFields>
  <chartFormats count="1">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Sales &amp; Profit by 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ategory">
  <location ref="A10:B15" firstHeaderRow="1" firstDataRow="1" firstDataCol="1"/>
  <pivotFields count="14">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Sum of Sales" fld="11" baseField="0" baseItem="0"/>
  </dataFields>
  <chartFormats count="2">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Regional Performance"/>
    <pivotTable tabId="4" name="Monthly Sales Trend"/>
    <pivotTable tabId="4" name="PivotTable5"/>
    <pivotTable tabId="4" name="Salesperson Performance"/>
    <pivotTable tabId="4" name="PivotTable1"/>
    <pivotTable tabId="4" name="PivotTable2"/>
  </pivotTables>
  <data>
    <tabular pivotCacheId="1">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1" sourceName="Category">
  <pivotTables>
    <pivotTable tabId="4" name="PivotTable1"/>
    <pivotTable tabId="4" name="Monthly Sales Trend"/>
    <pivotTable tabId="4" name="PivotTable5"/>
    <pivotTable tabId="4" name="Regional Performance"/>
    <pivotTable tabId="4" name="Salesperson Performance"/>
    <pivotTable tabId="4" name="PivotTable2"/>
  </pivotTables>
  <data>
    <tabular pivotCacheId="1">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4" name="PivotTable1"/>
    <pivotTable tabId="4" name="Monthly Sales Trend"/>
    <pivotTable tabId="4" name="PivotTable5"/>
    <pivotTable tabId="4" name="Regional Performance"/>
    <pivotTable tabId="4" name="Salesperson Performance"/>
    <pivotTable tabId="4" name="PivotTable2"/>
  </pivotTables>
  <data>
    <tabular pivotCacheId="1">
      <items count="6">
        <i x="4" s="1"/>
        <i x="1" s="1"/>
        <i x="2" s="1"/>
        <i x="3" s="1"/>
        <i x="0"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rder_Year" sourceName="Order Year">
  <pivotTables>
    <pivotTable tabId="4" name="Monthly Sales Trend"/>
    <pivotTable tabId="4" name="PivotTable1"/>
    <pivotTable tabId="4" name="PivotTable2"/>
    <pivotTable tabId="4" name="PivotTable5"/>
    <pivotTable tabId="4" name="Regional Performance"/>
    <pivotTable tabId="4" name="Salesperson Performance"/>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1" cache="Slicer_Category1"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Other2" rowHeight="241300"/>
  <slicer name="Category" cache="Slicer_Category1" caption="Category" style="SlicerStyleOther2" rowHeight="241300"/>
  <slicer name="Salesperson" cache="Slicer_Salesperson" caption="Salesperson" style="SlicerStyleOther2" rowHeight="241300"/>
  <slicer name="Order Year" cache="Slicer_Order_Year" caption="Order Year" style="SlicerStyleOther2" rowHeight="241300"/>
</slicers>
</file>

<file path=xl/tables/table1.xml><?xml version="1.0" encoding="utf-8"?>
<table xmlns="http://schemas.openxmlformats.org/spreadsheetml/2006/main" id="1" name="SalesData" displayName="SalesData" ref="A1:T1001" totalsRowShown="0" headerRowDxfId="12" headerRowBorderDxfId="11" tableBorderDxfId="10">
  <autoFilter ref="A1:T1001"/>
  <tableColumns count="20">
    <tableColumn id="1" name="Order ID"/>
    <tableColumn id="2" name="Order Date" dataDxfId="2"/>
    <tableColumn id="3" name="Customer"/>
    <tableColumn id="4" name="Category"/>
    <tableColumn id="5" name="Product"/>
    <tableColumn id="6" name="Region"/>
    <tableColumn id="7" name="City"/>
    <tableColumn id="8" name="Salesperson"/>
    <tableColumn id="9" name="Quantity"/>
    <tableColumn id="10" name="Unit Price" dataDxfId="9"/>
    <tableColumn id="11" name="Discount" dataCellStyle="Percent"/>
    <tableColumn id="12" name="Sales" dataCellStyle="Currency"/>
    <tableColumn id="13" name="Cost" dataCellStyle="Currency"/>
    <tableColumn id="14" name="Profit" dataCellStyle="Currency"/>
    <tableColumn id="15" name="Sales_Check" dataDxfId="8" dataCellStyle="Currency">
      <calculatedColumnFormula>SalesData[[#This Row],[Quantity]]*SalesData[[#This Row],[Unit Price]]*(1-SalesData[[#This Row],[Discount]])</calculatedColumnFormula>
    </tableColumn>
    <tableColumn id="17" name="Profit_Check" dataDxfId="7" dataCellStyle="Currency">
      <calculatedColumnFormula>SalesData[[#This Row],[Sales_Check]]-SalesData[[#This Row],[Cost]]</calculatedColumnFormula>
    </tableColumn>
    <tableColumn id="19" name="Profit Margin" dataDxfId="6" dataCellStyle="Percent">
      <calculatedColumnFormula>IFERROR(SalesData[[#This Row],[Profit]]/SalesData[[#This Row],[Sales]],0)</calculatedColumnFormula>
    </tableColumn>
    <tableColumn id="20" name="Order Month" dataDxfId="5">
      <calculatedColumnFormula>TEXT(SalesData[[#This Row],[Order Date]],"mmm-yyyy")</calculatedColumnFormula>
    </tableColumn>
    <tableColumn id="21" name="Order Year" dataDxfId="4">
      <calculatedColumnFormula>YEAR(SalesData[[#This Row],[Order Date]])</calculatedColumnFormula>
    </tableColumn>
    <tableColumn id="22" name="Profit Category" dataDxfId="3">
      <calculatedColumnFormula>IF(SalesData[[#This Row],[Profit Margin]]&gt;=30%,"High",IF(SalesData[[#This Row],[Profit Margin]]&gt;=15%,"Medium","Low"))</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B2" sqref="B2"/>
    </sheetView>
  </sheetViews>
  <sheetFormatPr defaultRowHeight="14.5" x14ac:dyDescent="0.35"/>
  <cols>
    <col min="2" max="2" width="10.1796875"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t="s">
        <v>15</v>
      </c>
      <c r="C2" t="s">
        <v>16</v>
      </c>
      <c r="D2" t="s">
        <v>17</v>
      </c>
      <c r="E2" t="s">
        <v>18</v>
      </c>
      <c r="F2" t="s">
        <v>19</v>
      </c>
      <c r="G2" t="s">
        <v>20</v>
      </c>
      <c r="H2" t="s">
        <v>21</v>
      </c>
      <c r="I2">
        <v>8</v>
      </c>
      <c r="J2">
        <v>1800</v>
      </c>
      <c r="K2">
        <v>0.1</v>
      </c>
      <c r="L2">
        <v>12960</v>
      </c>
      <c r="M2">
        <v>8800</v>
      </c>
      <c r="N2">
        <v>4160</v>
      </c>
    </row>
    <row r="3" spans="1:14" x14ac:dyDescent="0.35">
      <c r="A3" t="s">
        <v>22</v>
      </c>
      <c r="B3" t="s">
        <v>23</v>
      </c>
      <c r="C3" t="s">
        <v>24</v>
      </c>
      <c r="D3" t="s">
        <v>25</v>
      </c>
      <c r="E3" t="s">
        <v>26</v>
      </c>
      <c r="F3" t="s">
        <v>27</v>
      </c>
      <c r="G3" t="s">
        <v>28</v>
      </c>
      <c r="H3" t="s">
        <v>29</v>
      </c>
      <c r="I3">
        <v>9</v>
      </c>
      <c r="J3">
        <v>600</v>
      </c>
      <c r="K3">
        <v>0.05</v>
      </c>
      <c r="L3">
        <v>5130</v>
      </c>
      <c r="M3">
        <v>2970</v>
      </c>
      <c r="N3">
        <v>2160</v>
      </c>
    </row>
    <row r="4" spans="1:14" x14ac:dyDescent="0.35">
      <c r="A4" t="s">
        <v>30</v>
      </c>
      <c r="B4" t="s">
        <v>23</v>
      </c>
      <c r="C4" t="s">
        <v>31</v>
      </c>
      <c r="D4" t="s">
        <v>17</v>
      </c>
      <c r="E4" t="s">
        <v>32</v>
      </c>
      <c r="F4" t="s">
        <v>27</v>
      </c>
      <c r="G4" t="s">
        <v>28</v>
      </c>
      <c r="H4" t="s">
        <v>33</v>
      </c>
      <c r="I4">
        <v>7</v>
      </c>
      <c r="J4">
        <v>1500</v>
      </c>
      <c r="K4">
        <v>0.05</v>
      </c>
      <c r="L4">
        <v>9975</v>
      </c>
      <c r="M4">
        <v>6300</v>
      </c>
      <c r="N4">
        <v>3675</v>
      </c>
    </row>
    <row r="5" spans="1:14" x14ac:dyDescent="0.35">
      <c r="A5" t="s">
        <v>34</v>
      </c>
      <c r="B5" t="s">
        <v>23</v>
      </c>
      <c r="C5" t="s">
        <v>35</v>
      </c>
      <c r="D5" t="s">
        <v>25</v>
      </c>
      <c r="E5" t="s">
        <v>36</v>
      </c>
      <c r="F5" t="s">
        <v>37</v>
      </c>
      <c r="G5" t="s">
        <v>38</v>
      </c>
      <c r="H5" t="s">
        <v>39</v>
      </c>
      <c r="I5">
        <v>10</v>
      </c>
      <c r="J5">
        <v>700</v>
      </c>
      <c r="K5">
        <v>0.05</v>
      </c>
      <c r="L5">
        <v>6650</v>
      </c>
      <c r="M5">
        <v>4000</v>
      </c>
      <c r="N5">
        <v>2650</v>
      </c>
    </row>
    <row r="6" spans="1:14" x14ac:dyDescent="0.35">
      <c r="A6" t="s">
        <v>40</v>
      </c>
      <c r="B6" t="s">
        <v>41</v>
      </c>
      <c r="C6" t="s">
        <v>42</v>
      </c>
      <c r="D6" t="s">
        <v>43</v>
      </c>
      <c r="E6" t="s">
        <v>44</v>
      </c>
      <c r="F6" t="s">
        <v>45</v>
      </c>
      <c r="G6" t="s">
        <v>46</v>
      </c>
      <c r="H6" t="s">
        <v>47</v>
      </c>
      <c r="I6">
        <v>6</v>
      </c>
      <c r="J6">
        <v>2200</v>
      </c>
      <c r="K6">
        <v>0.05</v>
      </c>
      <c r="L6">
        <v>12540</v>
      </c>
      <c r="M6">
        <v>8700</v>
      </c>
      <c r="N6">
        <v>3840</v>
      </c>
    </row>
    <row r="7" spans="1:14" x14ac:dyDescent="0.35">
      <c r="A7" t="s">
        <v>48</v>
      </c>
      <c r="B7" t="s">
        <v>41</v>
      </c>
      <c r="C7" t="s">
        <v>49</v>
      </c>
      <c r="D7" t="s">
        <v>17</v>
      </c>
      <c r="E7" t="s">
        <v>50</v>
      </c>
      <c r="F7" t="s">
        <v>27</v>
      </c>
      <c r="G7" t="s">
        <v>51</v>
      </c>
      <c r="H7" t="s">
        <v>29</v>
      </c>
      <c r="I7">
        <v>7</v>
      </c>
      <c r="J7">
        <v>650</v>
      </c>
      <c r="K7">
        <v>0</v>
      </c>
      <c r="L7">
        <v>4550</v>
      </c>
      <c r="M7">
        <v>2660</v>
      </c>
      <c r="N7">
        <v>1890</v>
      </c>
    </row>
    <row r="8" spans="1:14" x14ac:dyDescent="0.35">
      <c r="A8" t="s">
        <v>52</v>
      </c>
      <c r="B8" t="s">
        <v>41</v>
      </c>
      <c r="C8" t="s">
        <v>53</v>
      </c>
      <c r="D8" t="s">
        <v>54</v>
      </c>
      <c r="E8" t="s">
        <v>55</v>
      </c>
      <c r="F8" t="s">
        <v>19</v>
      </c>
      <c r="G8" t="s">
        <v>56</v>
      </c>
      <c r="H8" t="s">
        <v>29</v>
      </c>
      <c r="I8">
        <v>5</v>
      </c>
      <c r="J8">
        <v>180</v>
      </c>
      <c r="K8">
        <v>0.15</v>
      </c>
      <c r="L8">
        <v>765</v>
      </c>
      <c r="M8">
        <v>450</v>
      </c>
      <c r="N8">
        <v>315</v>
      </c>
    </row>
    <row r="9" spans="1:14" x14ac:dyDescent="0.35">
      <c r="A9" t="s">
        <v>57</v>
      </c>
      <c r="B9" t="s">
        <v>58</v>
      </c>
      <c r="C9" t="s">
        <v>59</v>
      </c>
      <c r="D9" t="s">
        <v>17</v>
      </c>
      <c r="E9" t="s">
        <v>32</v>
      </c>
      <c r="F9" t="s">
        <v>19</v>
      </c>
      <c r="G9" t="s">
        <v>20</v>
      </c>
      <c r="H9" t="s">
        <v>29</v>
      </c>
      <c r="I9">
        <v>8</v>
      </c>
      <c r="J9">
        <v>1500</v>
      </c>
      <c r="K9">
        <v>0</v>
      </c>
      <c r="L9">
        <v>12000</v>
      </c>
      <c r="M9">
        <v>7200</v>
      </c>
      <c r="N9">
        <v>4800</v>
      </c>
    </row>
    <row r="10" spans="1:14" x14ac:dyDescent="0.35">
      <c r="A10" t="s">
        <v>60</v>
      </c>
      <c r="B10" t="s">
        <v>58</v>
      </c>
      <c r="C10" t="s">
        <v>61</v>
      </c>
      <c r="D10" t="s">
        <v>43</v>
      </c>
      <c r="E10" t="s">
        <v>62</v>
      </c>
      <c r="F10" t="s">
        <v>27</v>
      </c>
      <c r="G10" t="s">
        <v>28</v>
      </c>
      <c r="H10" t="s">
        <v>33</v>
      </c>
      <c r="I10">
        <v>8</v>
      </c>
      <c r="J10">
        <v>500</v>
      </c>
      <c r="K10">
        <v>0</v>
      </c>
      <c r="L10">
        <v>4000</v>
      </c>
      <c r="M10">
        <v>2240</v>
      </c>
      <c r="N10">
        <v>1760</v>
      </c>
    </row>
    <row r="11" spans="1:14" x14ac:dyDescent="0.35">
      <c r="A11" t="s">
        <v>63</v>
      </c>
      <c r="B11" t="s">
        <v>58</v>
      </c>
      <c r="C11" t="s">
        <v>64</v>
      </c>
      <c r="D11" t="s">
        <v>17</v>
      </c>
      <c r="E11" t="s">
        <v>65</v>
      </c>
      <c r="F11" t="s">
        <v>27</v>
      </c>
      <c r="G11" t="s">
        <v>51</v>
      </c>
      <c r="H11" t="s">
        <v>47</v>
      </c>
      <c r="I11">
        <v>9</v>
      </c>
      <c r="J11">
        <v>2200</v>
      </c>
      <c r="K11">
        <v>0.05</v>
      </c>
      <c r="L11">
        <v>18810</v>
      </c>
      <c r="M11">
        <v>12600</v>
      </c>
      <c r="N11">
        <v>6210</v>
      </c>
    </row>
    <row r="12" spans="1:14" x14ac:dyDescent="0.35">
      <c r="A12" t="s">
        <v>66</v>
      </c>
      <c r="B12" t="s">
        <v>67</v>
      </c>
      <c r="C12" t="s">
        <v>68</v>
      </c>
      <c r="D12" t="s">
        <v>25</v>
      </c>
      <c r="E12" t="s">
        <v>69</v>
      </c>
      <c r="F12" t="s">
        <v>45</v>
      </c>
      <c r="G12" t="s">
        <v>70</v>
      </c>
      <c r="H12" t="s">
        <v>47</v>
      </c>
      <c r="I12">
        <v>2</v>
      </c>
      <c r="J12">
        <v>350</v>
      </c>
      <c r="K12">
        <v>0.05</v>
      </c>
      <c r="L12">
        <v>665</v>
      </c>
      <c r="M12">
        <v>360</v>
      </c>
      <c r="N12">
        <v>305</v>
      </c>
    </row>
    <row r="13" spans="1:14" x14ac:dyDescent="0.35">
      <c r="A13" t="s">
        <v>71</v>
      </c>
      <c r="B13" t="s">
        <v>67</v>
      </c>
      <c r="C13" t="s">
        <v>72</v>
      </c>
      <c r="D13" t="s">
        <v>25</v>
      </c>
      <c r="E13" t="s">
        <v>69</v>
      </c>
      <c r="F13" t="s">
        <v>37</v>
      </c>
      <c r="G13" t="s">
        <v>73</v>
      </c>
      <c r="H13" t="s">
        <v>33</v>
      </c>
      <c r="I13">
        <v>3</v>
      </c>
      <c r="J13">
        <v>350</v>
      </c>
      <c r="K13">
        <v>0</v>
      </c>
      <c r="L13">
        <v>1050</v>
      </c>
      <c r="M13">
        <v>540</v>
      </c>
      <c r="N13">
        <v>510</v>
      </c>
    </row>
    <row r="14" spans="1:14" x14ac:dyDescent="0.35">
      <c r="A14" t="s">
        <v>74</v>
      </c>
      <c r="B14" t="s">
        <v>67</v>
      </c>
      <c r="C14" t="s">
        <v>75</v>
      </c>
      <c r="D14" t="s">
        <v>54</v>
      </c>
      <c r="E14" t="s">
        <v>55</v>
      </c>
      <c r="F14" t="s">
        <v>37</v>
      </c>
      <c r="G14" t="s">
        <v>73</v>
      </c>
      <c r="H14" t="s">
        <v>29</v>
      </c>
      <c r="I14">
        <v>3</v>
      </c>
      <c r="J14">
        <v>180</v>
      </c>
      <c r="K14">
        <v>0.1</v>
      </c>
      <c r="L14">
        <v>486</v>
      </c>
      <c r="M14">
        <v>270</v>
      </c>
      <c r="N14">
        <v>216</v>
      </c>
    </row>
    <row r="15" spans="1:14" x14ac:dyDescent="0.35">
      <c r="A15" t="s">
        <v>76</v>
      </c>
      <c r="B15" t="s">
        <v>67</v>
      </c>
      <c r="C15" t="s">
        <v>77</v>
      </c>
      <c r="D15" t="s">
        <v>17</v>
      </c>
      <c r="E15" t="s">
        <v>18</v>
      </c>
      <c r="F15" t="s">
        <v>45</v>
      </c>
      <c r="G15" t="s">
        <v>46</v>
      </c>
      <c r="H15" t="s">
        <v>33</v>
      </c>
      <c r="I15">
        <v>7</v>
      </c>
      <c r="J15">
        <v>1800</v>
      </c>
      <c r="K15">
        <v>0</v>
      </c>
      <c r="L15">
        <v>12600</v>
      </c>
      <c r="M15">
        <v>7700</v>
      </c>
      <c r="N15">
        <v>4900</v>
      </c>
    </row>
    <row r="16" spans="1:14" x14ac:dyDescent="0.35">
      <c r="A16" t="s">
        <v>78</v>
      </c>
      <c r="B16" t="s">
        <v>67</v>
      </c>
      <c r="C16" t="s">
        <v>79</v>
      </c>
      <c r="D16" t="s">
        <v>25</v>
      </c>
      <c r="E16" t="s">
        <v>80</v>
      </c>
      <c r="F16" t="s">
        <v>19</v>
      </c>
      <c r="G16" t="s">
        <v>56</v>
      </c>
      <c r="H16" t="s">
        <v>21</v>
      </c>
      <c r="I16">
        <v>6</v>
      </c>
      <c r="J16">
        <v>950</v>
      </c>
      <c r="K16">
        <v>0</v>
      </c>
      <c r="L16">
        <v>5700</v>
      </c>
      <c r="M16">
        <v>3360</v>
      </c>
      <c r="N16">
        <v>2340</v>
      </c>
    </row>
    <row r="17" spans="1:14" x14ac:dyDescent="0.35">
      <c r="A17" t="s">
        <v>81</v>
      </c>
      <c r="B17" t="s">
        <v>67</v>
      </c>
      <c r="C17" t="s">
        <v>82</v>
      </c>
      <c r="D17" t="s">
        <v>54</v>
      </c>
      <c r="E17" t="s">
        <v>55</v>
      </c>
      <c r="F17" t="s">
        <v>45</v>
      </c>
      <c r="G17" t="s">
        <v>46</v>
      </c>
      <c r="H17" t="s">
        <v>21</v>
      </c>
      <c r="I17">
        <v>10</v>
      </c>
      <c r="J17">
        <v>180</v>
      </c>
      <c r="K17">
        <v>0</v>
      </c>
      <c r="L17">
        <v>1800</v>
      </c>
      <c r="M17">
        <v>900</v>
      </c>
      <c r="N17">
        <v>900</v>
      </c>
    </row>
    <row r="18" spans="1:14" x14ac:dyDescent="0.35">
      <c r="A18" t="s">
        <v>83</v>
      </c>
      <c r="B18" t="s">
        <v>67</v>
      </c>
      <c r="C18" t="s">
        <v>84</v>
      </c>
      <c r="D18" t="s">
        <v>17</v>
      </c>
      <c r="E18" t="s">
        <v>50</v>
      </c>
      <c r="F18" t="s">
        <v>27</v>
      </c>
      <c r="G18" t="s">
        <v>85</v>
      </c>
      <c r="H18" t="s">
        <v>29</v>
      </c>
      <c r="I18">
        <v>4</v>
      </c>
      <c r="J18">
        <v>650</v>
      </c>
      <c r="K18">
        <v>0</v>
      </c>
      <c r="L18">
        <v>2600</v>
      </c>
      <c r="M18">
        <v>1520</v>
      </c>
      <c r="N18">
        <v>1080</v>
      </c>
    </row>
    <row r="19" spans="1:14" x14ac:dyDescent="0.35">
      <c r="A19" t="s">
        <v>86</v>
      </c>
      <c r="B19" t="s">
        <v>87</v>
      </c>
      <c r="C19" t="s">
        <v>88</v>
      </c>
      <c r="D19" t="s">
        <v>25</v>
      </c>
      <c r="E19" t="s">
        <v>89</v>
      </c>
      <c r="F19" t="s">
        <v>27</v>
      </c>
      <c r="G19" t="s">
        <v>90</v>
      </c>
      <c r="H19" t="s">
        <v>33</v>
      </c>
      <c r="I19">
        <v>10</v>
      </c>
      <c r="J19">
        <v>550</v>
      </c>
      <c r="K19">
        <v>0</v>
      </c>
      <c r="L19">
        <v>5500</v>
      </c>
      <c r="M19">
        <v>3000</v>
      </c>
      <c r="N19">
        <v>2500</v>
      </c>
    </row>
    <row r="20" spans="1:14" x14ac:dyDescent="0.35">
      <c r="A20" t="s">
        <v>91</v>
      </c>
      <c r="B20" t="s">
        <v>92</v>
      </c>
      <c r="C20" t="s">
        <v>93</v>
      </c>
      <c r="D20" t="s">
        <v>43</v>
      </c>
      <c r="E20" t="s">
        <v>62</v>
      </c>
      <c r="F20" t="s">
        <v>27</v>
      </c>
      <c r="G20" t="s">
        <v>51</v>
      </c>
      <c r="H20" t="s">
        <v>39</v>
      </c>
      <c r="I20">
        <v>3</v>
      </c>
      <c r="J20">
        <v>500</v>
      </c>
      <c r="K20">
        <v>0.05</v>
      </c>
      <c r="L20">
        <v>1425</v>
      </c>
      <c r="M20">
        <v>840</v>
      </c>
      <c r="N20">
        <v>585</v>
      </c>
    </row>
    <row r="21" spans="1:14" x14ac:dyDescent="0.35">
      <c r="A21" t="s">
        <v>94</v>
      </c>
      <c r="B21" t="s">
        <v>92</v>
      </c>
      <c r="C21" t="s">
        <v>88</v>
      </c>
      <c r="D21" t="s">
        <v>25</v>
      </c>
      <c r="E21" t="s">
        <v>69</v>
      </c>
      <c r="F21" t="s">
        <v>45</v>
      </c>
      <c r="G21" t="s">
        <v>46</v>
      </c>
      <c r="H21" t="s">
        <v>29</v>
      </c>
      <c r="I21">
        <v>6</v>
      </c>
      <c r="J21">
        <v>350</v>
      </c>
      <c r="K21">
        <v>0</v>
      </c>
      <c r="L21">
        <v>2100</v>
      </c>
      <c r="M21">
        <v>1080</v>
      </c>
      <c r="N21">
        <v>1020</v>
      </c>
    </row>
    <row r="22" spans="1:14" x14ac:dyDescent="0.35">
      <c r="A22" t="s">
        <v>95</v>
      </c>
      <c r="B22" t="s">
        <v>92</v>
      </c>
      <c r="C22" t="s">
        <v>96</v>
      </c>
      <c r="D22" t="s">
        <v>25</v>
      </c>
      <c r="E22" t="s">
        <v>36</v>
      </c>
      <c r="F22" t="s">
        <v>37</v>
      </c>
      <c r="G22" t="s">
        <v>97</v>
      </c>
      <c r="H22" t="s">
        <v>33</v>
      </c>
      <c r="I22">
        <v>4</v>
      </c>
      <c r="J22">
        <v>700</v>
      </c>
      <c r="K22">
        <v>0</v>
      </c>
      <c r="L22">
        <v>2800</v>
      </c>
      <c r="M22">
        <v>1600</v>
      </c>
      <c r="N22">
        <v>1200</v>
      </c>
    </row>
    <row r="23" spans="1:14" x14ac:dyDescent="0.35">
      <c r="A23" t="s">
        <v>98</v>
      </c>
      <c r="B23" t="s">
        <v>92</v>
      </c>
      <c r="C23" t="s">
        <v>99</v>
      </c>
      <c r="D23" t="s">
        <v>25</v>
      </c>
      <c r="E23" t="s">
        <v>26</v>
      </c>
      <c r="F23" t="s">
        <v>45</v>
      </c>
      <c r="G23" t="s">
        <v>46</v>
      </c>
      <c r="H23" t="s">
        <v>47</v>
      </c>
      <c r="I23">
        <v>7</v>
      </c>
      <c r="J23">
        <v>600</v>
      </c>
      <c r="K23">
        <v>0</v>
      </c>
      <c r="L23">
        <v>4200</v>
      </c>
      <c r="M23">
        <v>2310</v>
      </c>
      <c r="N23">
        <v>1890</v>
      </c>
    </row>
    <row r="24" spans="1:14" x14ac:dyDescent="0.35">
      <c r="A24" t="s">
        <v>100</v>
      </c>
      <c r="B24" t="s">
        <v>101</v>
      </c>
      <c r="C24" t="s">
        <v>102</v>
      </c>
      <c r="D24" t="s">
        <v>54</v>
      </c>
      <c r="E24" t="s">
        <v>103</v>
      </c>
      <c r="F24" t="s">
        <v>45</v>
      </c>
      <c r="G24" t="s">
        <v>104</v>
      </c>
      <c r="H24" t="s">
        <v>39</v>
      </c>
      <c r="I24">
        <v>1</v>
      </c>
      <c r="J24">
        <v>150</v>
      </c>
      <c r="K24">
        <v>0</v>
      </c>
      <c r="L24">
        <v>150</v>
      </c>
      <c r="M24">
        <v>75</v>
      </c>
      <c r="N24">
        <v>75</v>
      </c>
    </row>
    <row r="25" spans="1:14" x14ac:dyDescent="0.35">
      <c r="A25" t="s">
        <v>105</v>
      </c>
      <c r="B25" t="s">
        <v>101</v>
      </c>
      <c r="C25" t="s">
        <v>106</v>
      </c>
      <c r="D25" t="s">
        <v>54</v>
      </c>
      <c r="E25" t="s">
        <v>107</v>
      </c>
      <c r="F25" t="s">
        <v>27</v>
      </c>
      <c r="G25" t="s">
        <v>85</v>
      </c>
      <c r="H25" t="s">
        <v>29</v>
      </c>
      <c r="I25">
        <v>1</v>
      </c>
      <c r="J25">
        <v>120</v>
      </c>
      <c r="K25">
        <v>0</v>
      </c>
      <c r="L25">
        <v>120</v>
      </c>
      <c r="M25">
        <v>55</v>
      </c>
      <c r="N25">
        <v>65</v>
      </c>
    </row>
    <row r="26" spans="1:14" x14ac:dyDescent="0.35">
      <c r="A26" t="s">
        <v>108</v>
      </c>
      <c r="B26" t="s">
        <v>101</v>
      </c>
      <c r="C26" t="s">
        <v>109</v>
      </c>
      <c r="D26" t="s">
        <v>54</v>
      </c>
      <c r="E26" t="s">
        <v>110</v>
      </c>
      <c r="F26" t="s">
        <v>27</v>
      </c>
      <c r="G26" t="s">
        <v>51</v>
      </c>
      <c r="H26" t="s">
        <v>47</v>
      </c>
      <c r="I26">
        <v>2</v>
      </c>
      <c r="J26">
        <v>280</v>
      </c>
      <c r="K26">
        <v>0</v>
      </c>
      <c r="L26">
        <v>560</v>
      </c>
      <c r="M26">
        <v>300</v>
      </c>
      <c r="N26">
        <v>260</v>
      </c>
    </row>
    <row r="27" spans="1:14" x14ac:dyDescent="0.35">
      <c r="A27" t="s">
        <v>111</v>
      </c>
      <c r="B27" t="s">
        <v>101</v>
      </c>
      <c r="C27" t="s">
        <v>112</v>
      </c>
      <c r="D27" t="s">
        <v>54</v>
      </c>
      <c r="E27" t="s">
        <v>110</v>
      </c>
      <c r="F27" t="s">
        <v>19</v>
      </c>
      <c r="G27" t="s">
        <v>113</v>
      </c>
      <c r="H27" t="s">
        <v>47</v>
      </c>
      <c r="I27">
        <v>1</v>
      </c>
      <c r="J27">
        <v>280</v>
      </c>
      <c r="K27">
        <v>0</v>
      </c>
      <c r="L27">
        <v>280</v>
      </c>
      <c r="M27">
        <v>150</v>
      </c>
      <c r="N27">
        <v>130</v>
      </c>
    </row>
    <row r="28" spans="1:14" x14ac:dyDescent="0.35">
      <c r="A28" t="s">
        <v>114</v>
      </c>
      <c r="B28" t="s">
        <v>101</v>
      </c>
      <c r="C28" t="s">
        <v>115</v>
      </c>
      <c r="D28" t="s">
        <v>54</v>
      </c>
      <c r="E28" t="s">
        <v>116</v>
      </c>
      <c r="F28" t="s">
        <v>37</v>
      </c>
      <c r="G28" t="s">
        <v>38</v>
      </c>
      <c r="H28" t="s">
        <v>33</v>
      </c>
      <c r="I28">
        <v>1</v>
      </c>
      <c r="J28">
        <v>450</v>
      </c>
      <c r="K28">
        <v>0</v>
      </c>
      <c r="L28">
        <v>450</v>
      </c>
      <c r="M28">
        <v>250</v>
      </c>
      <c r="N28">
        <v>200</v>
      </c>
    </row>
    <row r="29" spans="1:14" x14ac:dyDescent="0.35">
      <c r="A29" t="s">
        <v>117</v>
      </c>
      <c r="B29" t="s">
        <v>118</v>
      </c>
      <c r="C29" t="s">
        <v>119</v>
      </c>
      <c r="D29" t="s">
        <v>17</v>
      </c>
      <c r="E29" t="s">
        <v>18</v>
      </c>
      <c r="F29" t="s">
        <v>27</v>
      </c>
      <c r="G29" t="s">
        <v>51</v>
      </c>
      <c r="H29" t="s">
        <v>29</v>
      </c>
      <c r="I29">
        <v>10</v>
      </c>
      <c r="J29">
        <v>1800</v>
      </c>
      <c r="K29">
        <v>0.05</v>
      </c>
      <c r="L29">
        <v>17100</v>
      </c>
      <c r="M29">
        <v>11000</v>
      </c>
      <c r="N29">
        <v>6100</v>
      </c>
    </row>
    <row r="30" spans="1:14" x14ac:dyDescent="0.35">
      <c r="A30" t="s">
        <v>120</v>
      </c>
      <c r="B30" t="s">
        <v>118</v>
      </c>
      <c r="C30" t="s">
        <v>121</v>
      </c>
      <c r="D30" t="s">
        <v>25</v>
      </c>
      <c r="E30" t="s">
        <v>36</v>
      </c>
      <c r="F30" t="s">
        <v>45</v>
      </c>
      <c r="G30" t="s">
        <v>122</v>
      </c>
      <c r="H30" t="s">
        <v>21</v>
      </c>
      <c r="I30">
        <v>9</v>
      </c>
      <c r="J30">
        <v>700</v>
      </c>
      <c r="K30">
        <v>0</v>
      </c>
      <c r="L30">
        <v>6300</v>
      </c>
      <c r="M30">
        <v>3600</v>
      </c>
      <c r="N30">
        <v>2700</v>
      </c>
    </row>
    <row r="31" spans="1:14" x14ac:dyDescent="0.35">
      <c r="A31" t="s">
        <v>123</v>
      </c>
      <c r="B31" t="s">
        <v>118</v>
      </c>
      <c r="C31" t="s">
        <v>61</v>
      </c>
      <c r="D31" t="s">
        <v>17</v>
      </c>
      <c r="E31" t="s">
        <v>124</v>
      </c>
      <c r="F31" t="s">
        <v>37</v>
      </c>
      <c r="G31" t="s">
        <v>73</v>
      </c>
      <c r="H31" t="s">
        <v>125</v>
      </c>
      <c r="I31">
        <v>4</v>
      </c>
      <c r="J31">
        <v>1200</v>
      </c>
      <c r="K31">
        <v>0.1</v>
      </c>
      <c r="L31">
        <v>4320</v>
      </c>
      <c r="M31">
        <v>2880</v>
      </c>
      <c r="N31">
        <v>1440</v>
      </c>
    </row>
    <row r="32" spans="1:14" x14ac:dyDescent="0.35">
      <c r="A32" t="s">
        <v>126</v>
      </c>
      <c r="B32" t="s">
        <v>118</v>
      </c>
      <c r="C32" t="s">
        <v>127</v>
      </c>
      <c r="D32" t="s">
        <v>54</v>
      </c>
      <c r="E32" t="s">
        <v>55</v>
      </c>
      <c r="F32" t="s">
        <v>27</v>
      </c>
      <c r="G32" t="s">
        <v>90</v>
      </c>
      <c r="H32" t="s">
        <v>47</v>
      </c>
      <c r="I32">
        <v>7</v>
      </c>
      <c r="J32">
        <v>180</v>
      </c>
      <c r="K32">
        <v>0.05</v>
      </c>
      <c r="L32">
        <v>1197</v>
      </c>
      <c r="M32">
        <v>630</v>
      </c>
      <c r="N32">
        <v>567</v>
      </c>
    </row>
    <row r="33" spans="1:14" x14ac:dyDescent="0.35">
      <c r="A33" t="s">
        <v>128</v>
      </c>
      <c r="B33" t="s">
        <v>118</v>
      </c>
      <c r="C33" t="s">
        <v>129</v>
      </c>
      <c r="D33" t="s">
        <v>54</v>
      </c>
      <c r="E33" t="s">
        <v>55</v>
      </c>
      <c r="F33" t="s">
        <v>37</v>
      </c>
      <c r="G33" t="s">
        <v>38</v>
      </c>
      <c r="H33" t="s">
        <v>39</v>
      </c>
      <c r="I33">
        <v>5</v>
      </c>
      <c r="J33">
        <v>180</v>
      </c>
      <c r="K33">
        <v>0.05</v>
      </c>
      <c r="L33">
        <v>855</v>
      </c>
      <c r="M33">
        <v>450</v>
      </c>
      <c r="N33">
        <v>405</v>
      </c>
    </row>
    <row r="34" spans="1:14" x14ac:dyDescent="0.35">
      <c r="A34" t="s">
        <v>130</v>
      </c>
      <c r="B34" t="s">
        <v>118</v>
      </c>
      <c r="C34" t="s">
        <v>131</v>
      </c>
      <c r="D34" t="s">
        <v>54</v>
      </c>
      <c r="E34" t="s">
        <v>103</v>
      </c>
      <c r="F34" t="s">
        <v>37</v>
      </c>
      <c r="G34" t="s">
        <v>97</v>
      </c>
      <c r="H34" t="s">
        <v>39</v>
      </c>
      <c r="I34">
        <v>1</v>
      </c>
      <c r="J34">
        <v>150</v>
      </c>
      <c r="K34">
        <v>0.1</v>
      </c>
      <c r="L34">
        <v>135</v>
      </c>
      <c r="M34">
        <v>75</v>
      </c>
      <c r="N34">
        <v>60</v>
      </c>
    </row>
    <row r="35" spans="1:14" x14ac:dyDescent="0.35">
      <c r="A35" t="s">
        <v>132</v>
      </c>
      <c r="B35" t="s">
        <v>133</v>
      </c>
      <c r="C35" t="s">
        <v>134</v>
      </c>
      <c r="D35" t="s">
        <v>17</v>
      </c>
      <c r="E35" t="s">
        <v>18</v>
      </c>
      <c r="F35" t="s">
        <v>45</v>
      </c>
      <c r="G35" t="s">
        <v>104</v>
      </c>
      <c r="H35" t="s">
        <v>47</v>
      </c>
      <c r="I35">
        <v>5</v>
      </c>
      <c r="J35">
        <v>1800</v>
      </c>
      <c r="K35">
        <v>0.1</v>
      </c>
      <c r="L35">
        <v>8100</v>
      </c>
      <c r="M35">
        <v>5500</v>
      </c>
      <c r="N35">
        <v>2600</v>
      </c>
    </row>
    <row r="36" spans="1:14" x14ac:dyDescent="0.35">
      <c r="A36" t="s">
        <v>135</v>
      </c>
      <c r="B36" t="s">
        <v>133</v>
      </c>
      <c r="C36" t="s">
        <v>109</v>
      </c>
      <c r="D36" t="s">
        <v>17</v>
      </c>
      <c r="E36" t="s">
        <v>18</v>
      </c>
      <c r="F36" t="s">
        <v>27</v>
      </c>
      <c r="G36" t="s">
        <v>51</v>
      </c>
      <c r="H36" t="s">
        <v>125</v>
      </c>
      <c r="I36">
        <v>2</v>
      </c>
      <c r="J36">
        <v>1800</v>
      </c>
      <c r="K36">
        <v>0</v>
      </c>
      <c r="L36">
        <v>3600</v>
      </c>
      <c r="M36">
        <v>2200</v>
      </c>
      <c r="N36">
        <v>1400</v>
      </c>
    </row>
    <row r="37" spans="1:14" x14ac:dyDescent="0.35">
      <c r="A37" t="s">
        <v>136</v>
      </c>
      <c r="B37" t="s">
        <v>137</v>
      </c>
      <c r="C37" t="s">
        <v>138</v>
      </c>
      <c r="D37" t="s">
        <v>25</v>
      </c>
      <c r="E37" t="s">
        <v>69</v>
      </c>
      <c r="F37" t="s">
        <v>37</v>
      </c>
      <c r="G37" t="s">
        <v>38</v>
      </c>
      <c r="H37" t="s">
        <v>21</v>
      </c>
      <c r="I37">
        <v>1</v>
      </c>
      <c r="J37">
        <v>350</v>
      </c>
      <c r="K37">
        <v>0.05</v>
      </c>
      <c r="L37">
        <v>332.5</v>
      </c>
      <c r="M37">
        <v>180</v>
      </c>
      <c r="N37">
        <v>152.5</v>
      </c>
    </row>
    <row r="38" spans="1:14" x14ac:dyDescent="0.35">
      <c r="A38" t="s">
        <v>139</v>
      </c>
      <c r="B38" t="s">
        <v>137</v>
      </c>
      <c r="C38" t="s">
        <v>115</v>
      </c>
      <c r="D38" t="s">
        <v>17</v>
      </c>
      <c r="E38" t="s">
        <v>124</v>
      </c>
      <c r="F38" t="s">
        <v>37</v>
      </c>
      <c r="G38" t="s">
        <v>140</v>
      </c>
      <c r="H38" t="s">
        <v>29</v>
      </c>
      <c r="I38">
        <v>1</v>
      </c>
      <c r="J38">
        <v>1200</v>
      </c>
      <c r="K38">
        <v>0</v>
      </c>
      <c r="L38">
        <v>1200</v>
      </c>
      <c r="M38">
        <v>720</v>
      </c>
      <c r="N38">
        <v>480</v>
      </c>
    </row>
    <row r="39" spans="1:14" x14ac:dyDescent="0.35">
      <c r="A39" t="s">
        <v>141</v>
      </c>
      <c r="B39" t="s">
        <v>137</v>
      </c>
      <c r="C39" t="s">
        <v>142</v>
      </c>
      <c r="D39" t="s">
        <v>43</v>
      </c>
      <c r="E39" t="s">
        <v>143</v>
      </c>
      <c r="F39" t="s">
        <v>27</v>
      </c>
      <c r="G39" t="s">
        <v>51</v>
      </c>
      <c r="H39" t="s">
        <v>125</v>
      </c>
      <c r="I39">
        <v>7</v>
      </c>
      <c r="J39">
        <v>650</v>
      </c>
      <c r="K39">
        <v>0</v>
      </c>
      <c r="L39">
        <v>4550</v>
      </c>
      <c r="M39">
        <v>2450</v>
      </c>
      <c r="N39">
        <v>2100</v>
      </c>
    </row>
    <row r="40" spans="1:14" x14ac:dyDescent="0.35">
      <c r="A40" t="s">
        <v>144</v>
      </c>
      <c r="B40" t="s">
        <v>137</v>
      </c>
      <c r="C40" t="s">
        <v>145</v>
      </c>
      <c r="D40" t="s">
        <v>25</v>
      </c>
      <c r="E40" t="s">
        <v>89</v>
      </c>
      <c r="F40" t="s">
        <v>19</v>
      </c>
      <c r="G40" t="s">
        <v>20</v>
      </c>
      <c r="H40" t="s">
        <v>21</v>
      </c>
      <c r="I40">
        <v>8</v>
      </c>
      <c r="J40">
        <v>550</v>
      </c>
      <c r="K40">
        <v>0</v>
      </c>
      <c r="L40">
        <v>4400</v>
      </c>
      <c r="M40">
        <v>2400</v>
      </c>
      <c r="N40">
        <v>2000</v>
      </c>
    </row>
    <row r="41" spans="1:14" x14ac:dyDescent="0.35">
      <c r="A41" t="s">
        <v>146</v>
      </c>
      <c r="B41" t="s">
        <v>147</v>
      </c>
      <c r="C41" t="s">
        <v>148</v>
      </c>
      <c r="D41" t="s">
        <v>17</v>
      </c>
      <c r="E41" t="s">
        <v>32</v>
      </c>
      <c r="F41" t="s">
        <v>45</v>
      </c>
      <c r="G41" t="s">
        <v>122</v>
      </c>
      <c r="H41" t="s">
        <v>33</v>
      </c>
      <c r="I41">
        <v>10</v>
      </c>
      <c r="J41">
        <v>1500</v>
      </c>
      <c r="K41">
        <v>0.1</v>
      </c>
      <c r="L41">
        <v>13500</v>
      </c>
      <c r="M41">
        <v>9000</v>
      </c>
      <c r="N41">
        <v>4500</v>
      </c>
    </row>
    <row r="42" spans="1:14" x14ac:dyDescent="0.35">
      <c r="A42" t="s">
        <v>149</v>
      </c>
      <c r="B42" t="s">
        <v>147</v>
      </c>
      <c r="C42" t="s">
        <v>79</v>
      </c>
      <c r="D42" t="s">
        <v>54</v>
      </c>
      <c r="E42" t="s">
        <v>107</v>
      </c>
      <c r="F42" t="s">
        <v>27</v>
      </c>
      <c r="G42" t="s">
        <v>51</v>
      </c>
      <c r="H42" t="s">
        <v>21</v>
      </c>
      <c r="I42">
        <v>6</v>
      </c>
      <c r="J42">
        <v>120</v>
      </c>
      <c r="K42">
        <v>0</v>
      </c>
      <c r="L42">
        <v>720</v>
      </c>
      <c r="M42">
        <v>330</v>
      </c>
      <c r="N42">
        <v>390</v>
      </c>
    </row>
    <row r="43" spans="1:14" x14ac:dyDescent="0.35">
      <c r="A43" t="s">
        <v>150</v>
      </c>
      <c r="B43" t="s">
        <v>151</v>
      </c>
      <c r="C43" t="s">
        <v>152</v>
      </c>
      <c r="D43" t="s">
        <v>17</v>
      </c>
      <c r="E43" t="s">
        <v>124</v>
      </c>
      <c r="F43" t="s">
        <v>19</v>
      </c>
      <c r="G43" t="s">
        <v>56</v>
      </c>
      <c r="H43" t="s">
        <v>47</v>
      </c>
      <c r="I43">
        <v>2</v>
      </c>
      <c r="J43">
        <v>1200</v>
      </c>
      <c r="K43">
        <v>0.05</v>
      </c>
      <c r="L43">
        <v>2280</v>
      </c>
      <c r="M43">
        <v>1440</v>
      </c>
      <c r="N43">
        <v>840</v>
      </c>
    </row>
    <row r="44" spans="1:14" x14ac:dyDescent="0.35">
      <c r="A44" t="s">
        <v>153</v>
      </c>
      <c r="B44" t="s">
        <v>154</v>
      </c>
      <c r="C44" t="s">
        <v>155</v>
      </c>
      <c r="D44" t="s">
        <v>43</v>
      </c>
      <c r="E44" t="s">
        <v>62</v>
      </c>
      <c r="F44" t="s">
        <v>27</v>
      </c>
      <c r="G44" t="s">
        <v>28</v>
      </c>
      <c r="H44" t="s">
        <v>47</v>
      </c>
      <c r="I44">
        <v>3</v>
      </c>
      <c r="J44">
        <v>500</v>
      </c>
      <c r="K44">
        <v>0.05</v>
      </c>
      <c r="L44">
        <v>1425</v>
      </c>
      <c r="M44">
        <v>840</v>
      </c>
      <c r="N44">
        <v>585</v>
      </c>
    </row>
    <row r="45" spans="1:14" x14ac:dyDescent="0.35">
      <c r="A45" t="s">
        <v>156</v>
      </c>
      <c r="B45" t="s">
        <v>154</v>
      </c>
      <c r="C45" t="s">
        <v>142</v>
      </c>
      <c r="D45" t="s">
        <v>17</v>
      </c>
      <c r="E45" t="s">
        <v>18</v>
      </c>
      <c r="F45" t="s">
        <v>27</v>
      </c>
      <c r="G45" t="s">
        <v>28</v>
      </c>
      <c r="H45" t="s">
        <v>39</v>
      </c>
      <c r="I45">
        <v>9</v>
      </c>
      <c r="J45">
        <v>1800</v>
      </c>
      <c r="K45">
        <v>0</v>
      </c>
      <c r="L45">
        <v>16200</v>
      </c>
      <c r="M45">
        <v>9900</v>
      </c>
      <c r="N45">
        <v>6300</v>
      </c>
    </row>
    <row r="46" spans="1:14" x14ac:dyDescent="0.35">
      <c r="A46" t="s">
        <v>157</v>
      </c>
      <c r="B46" t="s">
        <v>154</v>
      </c>
      <c r="C46" t="s">
        <v>158</v>
      </c>
      <c r="D46" t="s">
        <v>25</v>
      </c>
      <c r="E46" t="s">
        <v>89</v>
      </c>
      <c r="F46" t="s">
        <v>19</v>
      </c>
      <c r="G46" t="s">
        <v>113</v>
      </c>
      <c r="H46" t="s">
        <v>47</v>
      </c>
      <c r="I46">
        <v>5</v>
      </c>
      <c r="J46">
        <v>550</v>
      </c>
      <c r="K46">
        <v>0</v>
      </c>
      <c r="L46">
        <v>2750</v>
      </c>
      <c r="M46">
        <v>1500</v>
      </c>
      <c r="N46">
        <v>1250</v>
      </c>
    </row>
    <row r="47" spans="1:14" x14ac:dyDescent="0.35">
      <c r="A47" t="s">
        <v>159</v>
      </c>
      <c r="B47" t="s">
        <v>160</v>
      </c>
      <c r="C47" t="s">
        <v>161</v>
      </c>
      <c r="D47" t="s">
        <v>25</v>
      </c>
      <c r="E47" t="s">
        <v>89</v>
      </c>
      <c r="F47" t="s">
        <v>37</v>
      </c>
      <c r="G47" t="s">
        <v>38</v>
      </c>
      <c r="H47" t="s">
        <v>21</v>
      </c>
      <c r="I47">
        <v>8</v>
      </c>
      <c r="J47">
        <v>550</v>
      </c>
      <c r="K47">
        <v>0</v>
      </c>
      <c r="L47">
        <v>4400</v>
      </c>
      <c r="M47">
        <v>2400</v>
      </c>
      <c r="N47">
        <v>2000</v>
      </c>
    </row>
    <row r="48" spans="1:14" x14ac:dyDescent="0.35">
      <c r="A48" t="s">
        <v>162</v>
      </c>
      <c r="B48" t="s">
        <v>160</v>
      </c>
      <c r="C48" t="s">
        <v>163</v>
      </c>
      <c r="D48" t="s">
        <v>17</v>
      </c>
      <c r="E48" t="s">
        <v>50</v>
      </c>
      <c r="F48" t="s">
        <v>37</v>
      </c>
      <c r="G48" t="s">
        <v>140</v>
      </c>
      <c r="H48" t="s">
        <v>125</v>
      </c>
      <c r="I48">
        <v>5</v>
      </c>
      <c r="J48">
        <v>650</v>
      </c>
      <c r="K48">
        <v>0</v>
      </c>
      <c r="L48">
        <v>3250</v>
      </c>
      <c r="M48">
        <v>1900</v>
      </c>
      <c r="N48">
        <v>1350</v>
      </c>
    </row>
    <row r="49" spans="1:14" x14ac:dyDescent="0.35">
      <c r="A49" t="s">
        <v>164</v>
      </c>
      <c r="B49" t="s">
        <v>160</v>
      </c>
      <c r="C49" t="s">
        <v>165</v>
      </c>
      <c r="D49" t="s">
        <v>17</v>
      </c>
      <c r="E49" t="s">
        <v>32</v>
      </c>
      <c r="F49" t="s">
        <v>37</v>
      </c>
      <c r="G49" t="s">
        <v>97</v>
      </c>
      <c r="H49" t="s">
        <v>125</v>
      </c>
      <c r="I49">
        <v>3</v>
      </c>
      <c r="J49">
        <v>1500</v>
      </c>
      <c r="K49">
        <v>0</v>
      </c>
      <c r="L49">
        <v>4500</v>
      </c>
      <c r="M49">
        <v>2700</v>
      </c>
      <c r="N49">
        <v>1800</v>
      </c>
    </row>
    <row r="50" spans="1:14" x14ac:dyDescent="0.35">
      <c r="A50" t="s">
        <v>166</v>
      </c>
      <c r="B50" t="s">
        <v>167</v>
      </c>
      <c r="C50" t="s">
        <v>168</v>
      </c>
      <c r="D50" t="s">
        <v>43</v>
      </c>
      <c r="E50" t="s">
        <v>169</v>
      </c>
      <c r="F50" t="s">
        <v>37</v>
      </c>
      <c r="G50" t="s">
        <v>140</v>
      </c>
      <c r="H50" t="s">
        <v>39</v>
      </c>
      <c r="I50">
        <v>7</v>
      </c>
      <c r="J50">
        <v>350</v>
      </c>
      <c r="K50">
        <v>0.05</v>
      </c>
      <c r="L50">
        <v>2327.5</v>
      </c>
      <c r="M50">
        <v>1190</v>
      </c>
      <c r="N50">
        <v>1137.5</v>
      </c>
    </row>
    <row r="51" spans="1:14" x14ac:dyDescent="0.35">
      <c r="A51" t="s">
        <v>170</v>
      </c>
      <c r="B51" t="s">
        <v>167</v>
      </c>
      <c r="C51" t="s">
        <v>171</v>
      </c>
      <c r="D51" t="s">
        <v>17</v>
      </c>
      <c r="E51" t="s">
        <v>124</v>
      </c>
      <c r="F51" t="s">
        <v>27</v>
      </c>
      <c r="G51" t="s">
        <v>51</v>
      </c>
      <c r="H51" t="s">
        <v>125</v>
      </c>
      <c r="I51">
        <v>1</v>
      </c>
      <c r="J51">
        <v>1200</v>
      </c>
      <c r="K51">
        <v>0</v>
      </c>
      <c r="L51">
        <v>1200</v>
      </c>
      <c r="M51">
        <v>720</v>
      </c>
      <c r="N51">
        <v>480</v>
      </c>
    </row>
    <row r="52" spans="1:14" x14ac:dyDescent="0.35">
      <c r="A52" t="s">
        <v>172</v>
      </c>
      <c r="B52" t="s">
        <v>167</v>
      </c>
      <c r="C52" t="s">
        <v>173</v>
      </c>
      <c r="D52" t="s">
        <v>17</v>
      </c>
      <c r="E52" t="s">
        <v>50</v>
      </c>
      <c r="F52" t="s">
        <v>27</v>
      </c>
      <c r="G52" t="s">
        <v>51</v>
      </c>
      <c r="H52" t="s">
        <v>125</v>
      </c>
      <c r="I52">
        <v>2</v>
      </c>
      <c r="J52">
        <v>650</v>
      </c>
      <c r="K52">
        <v>0</v>
      </c>
      <c r="L52">
        <v>1300</v>
      </c>
      <c r="M52">
        <v>760</v>
      </c>
      <c r="N52">
        <v>540</v>
      </c>
    </row>
    <row r="53" spans="1:14" x14ac:dyDescent="0.35">
      <c r="A53" t="s">
        <v>174</v>
      </c>
      <c r="B53" t="s">
        <v>167</v>
      </c>
      <c r="C53" t="s">
        <v>175</v>
      </c>
      <c r="D53" t="s">
        <v>25</v>
      </c>
      <c r="E53" t="s">
        <v>26</v>
      </c>
      <c r="F53" t="s">
        <v>37</v>
      </c>
      <c r="G53" t="s">
        <v>38</v>
      </c>
      <c r="H53" t="s">
        <v>29</v>
      </c>
      <c r="I53">
        <v>7</v>
      </c>
      <c r="J53">
        <v>600</v>
      </c>
      <c r="K53">
        <v>0</v>
      </c>
      <c r="L53">
        <v>4200</v>
      </c>
      <c r="M53">
        <v>2310</v>
      </c>
      <c r="N53">
        <v>1890</v>
      </c>
    </row>
    <row r="54" spans="1:14" x14ac:dyDescent="0.35">
      <c r="A54" t="s">
        <v>176</v>
      </c>
      <c r="B54" t="s">
        <v>177</v>
      </c>
      <c r="C54" t="s">
        <v>178</v>
      </c>
      <c r="D54" t="s">
        <v>54</v>
      </c>
      <c r="E54" t="s">
        <v>103</v>
      </c>
      <c r="F54" t="s">
        <v>27</v>
      </c>
      <c r="G54" t="s">
        <v>85</v>
      </c>
      <c r="H54" t="s">
        <v>21</v>
      </c>
      <c r="I54">
        <v>6</v>
      </c>
      <c r="J54">
        <v>150</v>
      </c>
      <c r="K54">
        <v>0</v>
      </c>
      <c r="L54">
        <v>900</v>
      </c>
      <c r="M54">
        <v>450</v>
      </c>
      <c r="N54">
        <v>450</v>
      </c>
    </row>
    <row r="55" spans="1:14" x14ac:dyDescent="0.35">
      <c r="A55" t="s">
        <v>179</v>
      </c>
      <c r="B55" t="s">
        <v>177</v>
      </c>
      <c r="C55" t="s">
        <v>180</v>
      </c>
      <c r="D55" t="s">
        <v>54</v>
      </c>
      <c r="E55" t="s">
        <v>103</v>
      </c>
      <c r="F55" t="s">
        <v>27</v>
      </c>
      <c r="G55" t="s">
        <v>51</v>
      </c>
      <c r="H55" t="s">
        <v>33</v>
      </c>
      <c r="I55">
        <v>9</v>
      </c>
      <c r="J55">
        <v>150</v>
      </c>
      <c r="K55">
        <v>0</v>
      </c>
      <c r="L55">
        <v>1350</v>
      </c>
      <c r="M55">
        <v>675</v>
      </c>
      <c r="N55">
        <v>675</v>
      </c>
    </row>
    <row r="56" spans="1:14" x14ac:dyDescent="0.35">
      <c r="A56" t="s">
        <v>181</v>
      </c>
      <c r="B56" t="s">
        <v>177</v>
      </c>
      <c r="C56" t="s">
        <v>182</v>
      </c>
      <c r="D56" t="s">
        <v>17</v>
      </c>
      <c r="E56" t="s">
        <v>32</v>
      </c>
      <c r="F56" t="s">
        <v>45</v>
      </c>
      <c r="G56" t="s">
        <v>122</v>
      </c>
      <c r="H56" t="s">
        <v>47</v>
      </c>
      <c r="I56">
        <v>6</v>
      </c>
      <c r="J56">
        <v>1500</v>
      </c>
      <c r="K56">
        <v>0.15</v>
      </c>
      <c r="L56">
        <v>7650</v>
      </c>
      <c r="M56">
        <v>5400</v>
      </c>
      <c r="N56">
        <v>2250</v>
      </c>
    </row>
    <row r="57" spans="1:14" x14ac:dyDescent="0.35">
      <c r="A57" t="s">
        <v>183</v>
      </c>
      <c r="B57" t="s">
        <v>184</v>
      </c>
      <c r="C57" t="s">
        <v>185</v>
      </c>
      <c r="D57" t="s">
        <v>17</v>
      </c>
      <c r="E57" t="s">
        <v>50</v>
      </c>
      <c r="F57" t="s">
        <v>45</v>
      </c>
      <c r="G57" t="s">
        <v>46</v>
      </c>
      <c r="H57" t="s">
        <v>39</v>
      </c>
      <c r="I57">
        <v>9</v>
      </c>
      <c r="J57">
        <v>650</v>
      </c>
      <c r="K57">
        <v>0.15</v>
      </c>
      <c r="L57">
        <v>4972.5</v>
      </c>
      <c r="M57">
        <v>3420</v>
      </c>
      <c r="N57">
        <v>1552.5</v>
      </c>
    </row>
    <row r="58" spans="1:14" x14ac:dyDescent="0.35">
      <c r="A58" t="s">
        <v>186</v>
      </c>
      <c r="B58" t="s">
        <v>184</v>
      </c>
      <c r="C58" t="s">
        <v>187</v>
      </c>
      <c r="D58" t="s">
        <v>43</v>
      </c>
      <c r="E58" t="s">
        <v>169</v>
      </c>
      <c r="F58" t="s">
        <v>37</v>
      </c>
      <c r="G58" t="s">
        <v>73</v>
      </c>
      <c r="H58" t="s">
        <v>39</v>
      </c>
      <c r="I58">
        <v>10</v>
      </c>
      <c r="J58">
        <v>350</v>
      </c>
      <c r="K58">
        <v>0</v>
      </c>
      <c r="L58">
        <v>3500</v>
      </c>
      <c r="M58">
        <v>1700</v>
      </c>
      <c r="N58">
        <v>1800</v>
      </c>
    </row>
    <row r="59" spans="1:14" x14ac:dyDescent="0.35">
      <c r="A59" t="s">
        <v>188</v>
      </c>
      <c r="B59" t="s">
        <v>184</v>
      </c>
      <c r="C59" t="s">
        <v>189</v>
      </c>
      <c r="D59" t="s">
        <v>54</v>
      </c>
      <c r="E59" t="s">
        <v>116</v>
      </c>
      <c r="F59" t="s">
        <v>37</v>
      </c>
      <c r="G59" t="s">
        <v>38</v>
      </c>
      <c r="H59" t="s">
        <v>33</v>
      </c>
      <c r="I59">
        <v>2</v>
      </c>
      <c r="J59">
        <v>450</v>
      </c>
      <c r="K59">
        <v>0.1</v>
      </c>
      <c r="L59">
        <v>810</v>
      </c>
      <c r="M59">
        <v>500</v>
      </c>
      <c r="N59">
        <v>310</v>
      </c>
    </row>
    <row r="60" spans="1:14" x14ac:dyDescent="0.35">
      <c r="A60" t="s">
        <v>190</v>
      </c>
      <c r="B60" t="s">
        <v>191</v>
      </c>
      <c r="C60" t="s">
        <v>192</v>
      </c>
      <c r="D60" t="s">
        <v>54</v>
      </c>
      <c r="E60" t="s">
        <v>116</v>
      </c>
      <c r="F60" t="s">
        <v>37</v>
      </c>
      <c r="G60" t="s">
        <v>140</v>
      </c>
      <c r="H60" t="s">
        <v>29</v>
      </c>
      <c r="I60">
        <v>1</v>
      </c>
      <c r="J60">
        <v>450</v>
      </c>
      <c r="K60">
        <v>0.05</v>
      </c>
      <c r="L60">
        <v>427.5</v>
      </c>
      <c r="M60">
        <v>250</v>
      </c>
      <c r="N60">
        <v>177.5</v>
      </c>
    </row>
    <row r="61" spans="1:14" x14ac:dyDescent="0.35">
      <c r="A61" t="s">
        <v>193</v>
      </c>
      <c r="B61" t="s">
        <v>191</v>
      </c>
      <c r="C61" t="s">
        <v>194</v>
      </c>
      <c r="D61" t="s">
        <v>17</v>
      </c>
      <c r="E61" t="s">
        <v>65</v>
      </c>
      <c r="F61" t="s">
        <v>45</v>
      </c>
      <c r="G61" t="s">
        <v>104</v>
      </c>
      <c r="H61" t="s">
        <v>39</v>
      </c>
      <c r="I61">
        <v>10</v>
      </c>
      <c r="J61">
        <v>2200</v>
      </c>
      <c r="K61">
        <v>0.05</v>
      </c>
      <c r="L61">
        <v>20900</v>
      </c>
      <c r="M61">
        <v>14000</v>
      </c>
      <c r="N61">
        <v>6900</v>
      </c>
    </row>
    <row r="62" spans="1:14" x14ac:dyDescent="0.35">
      <c r="A62" t="s">
        <v>195</v>
      </c>
      <c r="B62" t="s">
        <v>191</v>
      </c>
      <c r="C62" t="s">
        <v>196</v>
      </c>
      <c r="D62" t="s">
        <v>17</v>
      </c>
      <c r="E62" t="s">
        <v>124</v>
      </c>
      <c r="F62" t="s">
        <v>37</v>
      </c>
      <c r="G62" t="s">
        <v>73</v>
      </c>
      <c r="H62" t="s">
        <v>47</v>
      </c>
      <c r="I62">
        <v>5</v>
      </c>
      <c r="J62">
        <v>1200</v>
      </c>
      <c r="K62">
        <v>0</v>
      </c>
      <c r="L62">
        <v>6000</v>
      </c>
      <c r="M62">
        <v>3600</v>
      </c>
      <c r="N62">
        <v>2400</v>
      </c>
    </row>
    <row r="63" spans="1:14" x14ac:dyDescent="0.35">
      <c r="A63" t="s">
        <v>197</v>
      </c>
      <c r="B63" t="s">
        <v>191</v>
      </c>
      <c r="C63" t="s">
        <v>198</v>
      </c>
      <c r="D63" t="s">
        <v>54</v>
      </c>
      <c r="E63" t="s">
        <v>116</v>
      </c>
      <c r="F63" t="s">
        <v>19</v>
      </c>
      <c r="G63" t="s">
        <v>113</v>
      </c>
      <c r="H63" t="s">
        <v>29</v>
      </c>
      <c r="I63">
        <v>7</v>
      </c>
      <c r="J63">
        <v>450</v>
      </c>
      <c r="K63">
        <v>0</v>
      </c>
      <c r="L63">
        <v>3150</v>
      </c>
      <c r="M63">
        <v>1750</v>
      </c>
      <c r="N63">
        <v>1400</v>
      </c>
    </row>
    <row r="64" spans="1:14" x14ac:dyDescent="0.35">
      <c r="A64" t="s">
        <v>199</v>
      </c>
      <c r="B64" t="s">
        <v>200</v>
      </c>
      <c r="C64" t="s">
        <v>201</v>
      </c>
      <c r="D64" t="s">
        <v>17</v>
      </c>
      <c r="E64" t="s">
        <v>65</v>
      </c>
      <c r="F64" t="s">
        <v>37</v>
      </c>
      <c r="G64" t="s">
        <v>97</v>
      </c>
      <c r="H64" t="s">
        <v>125</v>
      </c>
      <c r="I64">
        <v>5</v>
      </c>
      <c r="J64">
        <v>2200</v>
      </c>
      <c r="K64">
        <v>0.15</v>
      </c>
      <c r="L64">
        <v>9350</v>
      </c>
      <c r="M64">
        <v>7000</v>
      </c>
      <c r="N64">
        <v>2350</v>
      </c>
    </row>
    <row r="65" spans="1:14" x14ac:dyDescent="0.35">
      <c r="A65" t="s">
        <v>202</v>
      </c>
      <c r="B65" t="s">
        <v>200</v>
      </c>
      <c r="C65" t="s">
        <v>187</v>
      </c>
      <c r="D65" t="s">
        <v>25</v>
      </c>
      <c r="E65" t="s">
        <v>69</v>
      </c>
      <c r="F65" t="s">
        <v>19</v>
      </c>
      <c r="G65" t="s">
        <v>20</v>
      </c>
      <c r="H65" t="s">
        <v>29</v>
      </c>
      <c r="I65">
        <v>1</v>
      </c>
      <c r="J65">
        <v>350</v>
      </c>
      <c r="K65">
        <v>0</v>
      </c>
      <c r="L65">
        <v>350</v>
      </c>
      <c r="M65">
        <v>180</v>
      </c>
      <c r="N65">
        <v>170</v>
      </c>
    </row>
    <row r="66" spans="1:14" x14ac:dyDescent="0.35">
      <c r="A66" t="s">
        <v>203</v>
      </c>
      <c r="B66" t="s">
        <v>204</v>
      </c>
      <c r="C66" t="s">
        <v>205</v>
      </c>
      <c r="D66" t="s">
        <v>25</v>
      </c>
      <c r="E66" t="s">
        <v>89</v>
      </c>
      <c r="F66" t="s">
        <v>19</v>
      </c>
      <c r="G66" t="s">
        <v>20</v>
      </c>
      <c r="H66" t="s">
        <v>125</v>
      </c>
      <c r="I66">
        <v>10</v>
      </c>
      <c r="J66">
        <v>550</v>
      </c>
      <c r="K66">
        <v>0.05</v>
      </c>
      <c r="L66">
        <v>5225</v>
      </c>
      <c r="M66">
        <v>3000</v>
      </c>
      <c r="N66">
        <v>2225</v>
      </c>
    </row>
    <row r="67" spans="1:14" x14ac:dyDescent="0.35">
      <c r="A67" t="s">
        <v>206</v>
      </c>
      <c r="B67" t="s">
        <v>204</v>
      </c>
      <c r="C67" t="s">
        <v>207</v>
      </c>
      <c r="D67" t="s">
        <v>43</v>
      </c>
      <c r="E67" t="s">
        <v>62</v>
      </c>
      <c r="F67" t="s">
        <v>45</v>
      </c>
      <c r="G67" t="s">
        <v>104</v>
      </c>
      <c r="H67" t="s">
        <v>39</v>
      </c>
      <c r="I67">
        <v>3</v>
      </c>
      <c r="J67">
        <v>500</v>
      </c>
      <c r="K67">
        <v>0</v>
      </c>
      <c r="L67">
        <v>1500</v>
      </c>
      <c r="M67">
        <v>840</v>
      </c>
      <c r="N67">
        <v>660</v>
      </c>
    </row>
    <row r="68" spans="1:14" x14ac:dyDescent="0.35">
      <c r="A68" t="s">
        <v>208</v>
      </c>
      <c r="B68" t="s">
        <v>204</v>
      </c>
      <c r="C68" t="s">
        <v>209</v>
      </c>
      <c r="D68" t="s">
        <v>17</v>
      </c>
      <c r="E68" t="s">
        <v>18</v>
      </c>
      <c r="F68" t="s">
        <v>45</v>
      </c>
      <c r="G68" t="s">
        <v>46</v>
      </c>
      <c r="H68" t="s">
        <v>39</v>
      </c>
      <c r="I68">
        <v>7</v>
      </c>
      <c r="J68">
        <v>1800</v>
      </c>
      <c r="K68">
        <v>0.05</v>
      </c>
      <c r="L68">
        <v>11970</v>
      </c>
      <c r="M68">
        <v>7700</v>
      </c>
      <c r="N68">
        <v>4270</v>
      </c>
    </row>
    <row r="69" spans="1:14" x14ac:dyDescent="0.35">
      <c r="A69" t="s">
        <v>210</v>
      </c>
      <c r="B69" t="s">
        <v>204</v>
      </c>
      <c r="C69" t="s">
        <v>211</v>
      </c>
      <c r="D69" t="s">
        <v>25</v>
      </c>
      <c r="E69" t="s">
        <v>80</v>
      </c>
      <c r="F69" t="s">
        <v>27</v>
      </c>
      <c r="G69" t="s">
        <v>90</v>
      </c>
      <c r="H69" t="s">
        <v>125</v>
      </c>
      <c r="I69">
        <v>3</v>
      </c>
      <c r="J69">
        <v>950</v>
      </c>
      <c r="K69">
        <v>0</v>
      </c>
      <c r="L69">
        <v>2850</v>
      </c>
      <c r="M69">
        <v>1680</v>
      </c>
      <c r="N69">
        <v>1170</v>
      </c>
    </row>
    <row r="70" spans="1:14" x14ac:dyDescent="0.35">
      <c r="A70" t="s">
        <v>212</v>
      </c>
      <c r="B70" t="s">
        <v>204</v>
      </c>
      <c r="C70" t="s">
        <v>49</v>
      </c>
      <c r="D70" t="s">
        <v>25</v>
      </c>
      <c r="E70" t="s">
        <v>80</v>
      </c>
      <c r="F70" t="s">
        <v>19</v>
      </c>
      <c r="G70" t="s">
        <v>56</v>
      </c>
      <c r="H70" t="s">
        <v>47</v>
      </c>
      <c r="I70">
        <v>6</v>
      </c>
      <c r="J70">
        <v>950</v>
      </c>
      <c r="K70">
        <v>0.05</v>
      </c>
      <c r="L70">
        <v>5415</v>
      </c>
      <c r="M70">
        <v>3360</v>
      </c>
      <c r="N70">
        <v>2055</v>
      </c>
    </row>
    <row r="71" spans="1:14" x14ac:dyDescent="0.35">
      <c r="A71" t="s">
        <v>213</v>
      </c>
      <c r="B71" t="s">
        <v>214</v>
      </c>
      <c r="C71" t="s">
        <v>131</v>
      </c>
      <c r="D71" t="s">
        <v>43</v>
      </c>
      <c r="E71" t="s">
        <v>44</v>
      </c>
      <c r="F71" t="s">
        <v>19</v>
      </c>
      <c r="G71" t="s">
        <v>215</v>
      </c>
      <c r="H71" t="s">
        <v>33</v>
      </c>
      <c r="I71">
        <v>10</v>
      </c>
      <c r="J71">
        <v>2200</v>
      </c>
      <c r="K71">
        <v>0</v>
      </c>
      <c r="L71">
        <v>22000</v>
      </c>
      <c r="M71">
        <v>14500</v>
      </c>
      <c r="N71">
        <v>7500</v>
      </c>
    </row>
    <row r="72" spans="1:14" x14ac:dyDescent="0.35">
      <c r="A72" t="s">
        <v>216</v>
      </c>
      <c r="B72" t="s">
        <v>214</v>
      </c>
      <c r="C72" t="s">
        <v>217</v>
      </c>
      <c r="D72" t="s">
        <v>43</v>
      </c>
      <c r="E72" t="s">
        <v>143</v>
      </c>
      <c r="F72" t="s">
        <v>19</v>
      </c>
      <c r="G72" t="s">
        <v>20</v>
      </c>
      <c r="H72" t="s">
        <v>47</v>
      </c>
      <c r="I72">
        <v>2</v>
      </c>
      <c r="J72">
        <v>650</v>
      </c>
      <c r="K72">
        <v>0</v>
      </c>
      <c r="L72">
        <v>1300</v>
      </c>
      <c r="M72">
        <v>700</v>
      </c>
      <c r="N72">
        <v>600</v>
      </c>
    </row>
    <row r="73" spans="1:14" x14ac:dyDescent="0.35">
      <c r="A73" t="s">
        <v>218</v>
      </c>
      <c r="B73" t="s">
        <v>214</v>
      </c>
      <c r="C73" t="s">
        <v>168</v>
      </c>
      <c r="D73" t="s">
        <v>17</v>
      </c>
      <c r="E73" t="s">
        <v>18</v>
      </c>
      <c r="F73" t="s">
        <v>37</v>
      </c>
      <c r="G73" t="s">
        <v>97</v>
      </c>
      <c r="H73" t="s">
        <v>33</v>
      </c>
      <c r="I73">
        <v>8</v>
      </c>
      <c r="J73">
        <v>1800</v>
      </c>
      <c r="K73">
        <v>0.15</v>
      </c>
      <c r="L73">
        <v>12240</v>
      </c>
      <c r="M73">
        <v>8800</v>
      </c>
      <c r="N73">
        <v>3440</v>
      </c>
    </row>
    <row r="74" spans="1:14" x14ac:dyDescent="0.35">
      <c r="A74" t="s">
        <v>219</v>
      </c>
      <c r="B74" t="s">
        <v>214</v>
      </c>
      <c r="C74" t="s">
        <v>220</v>
      </c>
      <c r="D74" t="s">
        <v>17</v>
      </c>
      <c r="E74" t="s">
        <v>65</v>
      </c>
      <c r="F74" t="s">
        <v>27</v>
      </c>
      <c r="G74" t="s">
        <v>28</v>
      </c>
      <c r="H74" t="s">
        <v>39</v>
      </c>
      <c r="I74">
        <v>10</v>
      </c>
      <c r="J74">
        <v>2200</v>
      </c>
      <c r="K74">
        <v>0</v>
      </c>
      <c r="L74">
        <v>22000</v>
      </c>
      <c r="M74">
        <v>14000</v>
      </c>
      <c r="N74">
        <v>8000</v>
      </c>
    </row>
    <row r="75" spans="1:14" x14ac:dyDescent="0.35">
      <c r="A75" t="s">
        <v>221</v>
      </c>
      <c r="B75" t="s">
        <v>214</v>
      </c>
      <c r="C75" t="s">
        <v>222</v>
      </c>
      <c r="D75" t="s">
        <v>54</v>
      </c>
      <c r="E75" t="s">
        <v>110</v>
      </c>
      <c r="F75" t="s">
        <v>45</v>
      </c>
      <c r="G75" t="s">
        <v>46</v>
      </c>
      <c r="H75" t="s">
        <v>21</v>
      </c>
      <c r="I75">
        <v>6</v>
      </c>
      <c r="J75">
        <v>280</v>
      </c>
      <c r="K75">
        <v>0.05</v>
      </c>
      <c r="L75">
        <v>1596</v>
      </c>
      <c r="M75">
        <v>900</v>
      </c>
      <c r="N75">
        <v>696</v>
      </c>
    </row>
    <row r="76" spans="1:14" x14ac:dyDescent="0.35">
      <c r="A76" t="s">
        <v>223</v>
      </c>
      <c r="B76" t="s">
        <v>214</v>
      </c>
      <c r="C76" t="s">
        <v>224</v>
      </c>
      <c r="D76" t="s">
        <v>54</v>
      </c>
      <c r="E76" t="s">
        <v>103</v>
      </c>
      <c r="F76" t="s">
        <v>45</v>
      </c>
      <c r="G76" t="s">
        <v>104</v>
      </c>
      <c r="H76" t="s">
        <v>47</v>
      </c>
      <c r="I76">
        <v>2</v>
      </c>
      <c r="J76">
        <v>150</v>
      </c>
      <c r="K76">
        <v>0.1</v>
      </c>
      <c r="L76">
        <v>270</v>
      </c>
      <c r="M76">
        <v>150</v>
      </c>
      <c r="N76">
        <v>120</v>
      </c>
    </row>
    <row r="77" spans="1:14" x14ac:dyDescent="0.35">
      <c r="A77" t="s">
        <v>225</v>
      </c>
      <c r="B77" t="s">
        <v>226</v>
      </c>
      <c r="C77" t="s">
        <v>227</v>
      </c>
      <c r="D77" t="s">
        <v>17</v>
      </c>
      <c r="E77" t="s">
        <v>32</v>
      </c>
      <c r="F77" t="s">
        <v>27</v>
      </c>
      <c r="G77" t="s">
        <v>51</v>
      </c>
      <c r="H77" t="s">
        <v>21</v>
      </c>
      <c r="I77">
        <v>5</v>
      </c>
      <c r="J77">
        <v>1500</v>
      </c>
      <c r="K77">
        <v>0</v>
      </c>
      <c r="L77">
        <v>7500</v>
      </c>
      <c r="M77">
        <v>4500</v>
      </c>
      <c r="N77">
        <v>3000</v>
      </c>
    </row>
    <row r="78" spans="1:14" x14ac:dyDescent="0.35">
      <c r="A78" t="s">
        <v>228</v>
      </c>
      <c r="B78" t="s">
        <v>226</v>
      </c>
      <c r="C78" t="s">
        <v>229</v>
      </c>
      <c r="D78" t="s">
        <v>43</v>
      </c>
      <c r="E78" t="s">
        <v>169</v>
      </c>
      <c r="F78" t="s">
        <v>27</v>
      </c>
      <c r="G78" t="s">
        <v>90</v>
      </c>
      <c r="H78" t="s">
        <v>125</v>
      </c>
      <c r="I78">
        <v>8</v>
      </c>
      <c r="J78">
        <v>350</v>
      </c>
      <c r="K78">
        <v>0</v>
      </c>
      <c r="L78">
        <v>2800</v>
      </c>
      <c r="M78">
        <v>1360</v>
      </c>
      <c r="N78">
        <v>1440</v>
      </c>
    </row>
    <row r="79" spans="1:14" x14ac:dyDescent="0.35">
      <c r="A79" t="s">
        <v>230</v>
      </c>
      <c r="B79" t="s">
        <v>231</v>
      </c>
      <c r="C79" t="s">
        <v>232</v>
      </c>
      <c r="D79" t="s">
        <v>25</v>
      </c>
      <c r="E79" t="s">
        <v>36</v>
      </c>
      <c r="F79" t="s">
        <v>37</v>
      </c>
      <c r="G79" t="s">
        <v>73</v>
      </c>
      <c r="H79" t="s">
        <v>47</v>
      </c>
      <c r="I79">
        <v>7</v>
      </c>
      <c r="J79">
        <v>700</v>
      </c>
      <c r="K79">
        <v>0.05</v>
      </c>
      <c r="L79">
        <v>4655</v>
      </c>
      <c r="M79">
        <v>2800</v>
      </c>
      <c r="N79">
        <v>1855</v>
      </c>
    </row>
    <row r="80" spans="1:14" x14ac:dyDescent="0.35">
      <c r="A80" t="s">
        <v>233</v>
      </c>
      <c r="B80" t="s">
        <v>231</v>
      </c>
      <c r="C80" t="s">
        <v>234</v>
      </c>
      <c r="D80" t="s">
        <v>25</v>
      </c>
      <c r="E80" t="s">
        <v>26</v>
      </c>
      <c r="F80" t="s">
        <v>19</v>
      </c>
      <c r="G80" t="s">
        <v>215</v>
      </c>
      <c r="H80" t="s">
        <v>33</v>
      </c>
      <c r="I80">
        <v>8</v>
      </c>
      <c r="J80">
        <v>600</v>
      </c>
      <c r="K80">
        <v>0.05</v>
      </c>
      <c r="L80">
        <v>4560</v>
      </c>
      <c r="M80">
        <v>2640</v>
      </c>
      <c r="N80">
        <v>1920</v>
      </c>
    </row>
    <row r="81" spans="1:14" x14ac:dyDescent="0.35">
      <c r="A81" t="s">
        <v>235</v>
      </c>
      <c r="B81" t="s">
        <v>231</v>
      </c>
      <c r="C81" t="s">
        <v>236</v>
      </c>
      <c r="D81" t="s">
        <v>54</v>
      </c>
      <c r="E81" t="s">
        <v>103</v>
      </c>
      <c r="F81" t="s">
        <v>45</v>
      </c>
      <c r="G81" t="s">
        <v>104</v>
      </c>
      <c r="H81" t="s">
        <v>47</v>
      </c>
      <c r="I81">
        <v>7</v>
      </c>
      <c r="J81">
        <v>150</v>
      </c>
      <c r="K81">
        <v>0.1</v>
      </c>
      <c r="L81">
        <v>945</v>
      </c>
      <c r="M81">
        <v>525</v>
      </c>
      <c r="N81">
        <v>420</v>
      </c>
    </row>
    <row r="82" spans="1:14" x14ac:dyDescent="0.35">
      <c r="A82" t="s">
        <v>237</v>
      </c>
      <c r="B82" t="s">
        <v>231</v>
      </c>
      <c r="C82" t="s">
        <v>238</v>
      </c>
      <c r="D82" t="s">
        <v>54</v>
      </c>
      <c r="E82" t="s">
        <v>103</v>
      </c>
      <c r="F82" t="s">
        <v>37</v>
      </c>
      <c r="G82" t="s">
        <v>73</v>
      </c>
      <c r="H82" t="s">
        <v>33</v>
      </c>
      <c r="I82">
        <v>5</v>
      </c>
      <c r="J82">
        <v>150</v>
      </c>
      <c r="K82">
        <v>0</v>
      </c>
      <c r="L82">
        <v>750</v>
      </c>
      <c r="M82">
        <v>375</v>
      </c>
      <c r="N82">
        <v>375</v>
      </c>
    </row>
    <row r="83" spans="1:14" x14ac:dyDescent="0.35">
      <c r="A83" t="s">
        <v>239</v>
      </c>
      <c r="B83" t="s">
        <v>231</v>
      </c>
      <c r="C83" t="s">
        <v>112</v>
      </c>
      <c r="D83" t="s">
        <v>43</v>
      </c>
      <c r="E83" t="s">
        <v>44</v>
      </c>
      <c r="F83" t="s">
        <v>27</v>
      </c>
      <c r="G83" t="s">
        <v>28</v>
      </c>
      <c r="H83" t="s">
        <v>47</v>
      </c>
      <c r="I83">
        <v>5</v>
      </c>
      <c r="J83">
        <v>2200</v>
      </c>
      <c r="K83">
        <v>0.1</v>
      </c>
      <c r="L83">
        <v>9900</v>
      </c>
      <c r="M83">
        <v>7250</v>
      </c>
      <c r="N83">
        <v>2650</v>
      </c>
    </row>
    <row r="84" spans="1:14" x14ac:dyDescent="0.35">
      <c r="A84" t="s">
        <v>240</v>
      </c>
      <c r="B84" t="s">
        <v>241</v>
      </c>
      <c r="C84" t="s">
        <v>242</v>
      </c>
      <c r="D84" t="s">
        <v>25</v>
      </c>
      <c r="E84" t="s">
        <v>69</v>
      </c>
      <c r="F84" t="s">
        <v>37</v>
      </c>
      <c r="G84" t="s">
        <v>73</v>
      </c>
      <c r="H84" t="s">
        <v>29</v>
      </c>
      <c r="I84">
        <v>10</v>
      </c>
      <c r="J84">
        <v>350</v>
      </c>
      <c r="K84">
        <v>0</v>
      </c>
      <c r="L84">
        <v>3500</v>
      </c>
      <c r="M84">
        <v>1800</v>
      </c>
      <c r="N84">
        <v>1700</v>
      </c>
    </row>
    <row r="85" spans="1:14" x14ac:dyDescent="0.35">
      <c r="A85" t="s">
        <v>243</v>
      </c>
      <c r="B85" t="s">
        <v>241</v>
      </c>
      <c r="C85" t="s">
        <v>244</v>
      </c>
      <c r="D85" t="s">
        <v>17</v>
      </c>
      <c r="E85" t="s">
        <v>18</v>
      </c>
      <c r="F85" t="s">
        <v>45</v>
      </c>
      <c r="G85" t="s">
        <v>70</v>
      </c>
      <c r="H85" t="s">
        <v>29</v>
      </c>
      <c r="I85">
        <v>7</v>
      </c>
      <c r="J85">
        <v>1800</v>
      </c>
      <c r="K85">
        <v>0.1</v>
      </c>
      <c r="L85">
        <v>11340</v>
      </c>
      <c r="M85">
        <v>7700</v>
      </c>
      <c r="N85">
        <v>3640</v>
      </c>
    </row>
    <row r="86" spans="1:14" x14ac:dyDescent="0.35">
      <c r="A86" t="s">
        <v>245</v>
      </c>
      <c r="B86" t="s">
        <v>241</v>
      </c>
      <c r="C86" t="s">
        <v>180</v>
      </c>
      <c r="D86" t="s">
        <v>54</v>
      </c>
      <c r="E86" t="s">
        <v>107</v>
      </c>
      <c r="F86" t="s">
        <v>45</v>
      </c>
      <c r="G86" t="s">
        <v>122</v>
      </c>
      <c r="H86" t="s">
        <v>33</v>
      </c>
      <c r="I86">
        <v>3</v>
      </c>
      <c r="J86">
        <v>120</v>
      </c>
      <c r="K86">
        <v>0</v>
      </c>
      <c r="L86">
        <v>360</v>
      </c>
      <c r="M86">
        <v>165</v>
      </c>
      <c r="N86">
        <v>195</v>
      </c>
    </row>
    <row r="87" spans="1:14" x14ac:dyDescent="0.35">
      <c r="A87" t="s">
        <v>246</v>
      </c>
      <c r="B87" t="s">
        <v>247</v>
      </c>
      <c r="C87" t="s">
        <v>248</v>
      </c>
      <c r="D87" t="s">
        <v>25</v>
      </c>
      <c r="E87" t="s">
        <v>89</v>
      </c>
      <c r="F87" t="s">
        <v>37</v>
      </c>
      <c r="G87" t="s">
        <v>97</v>
      </c>
      <c r="H87" t="s">
        <v>125</v>
      </c>
      <c r="I87">
        <v>7</v>
      </c>
      <c r="J87">
        <v>550</v>
      </c>
      <c r="K87">
        <v>0.05</v>
      </c>
      <c r="L87">
        <v>3657.5</v>
      </c>
      <c r="M87">
        <v>2100</v>
      </c>
      <c r="N87">
        <v>1557.5</v>
      </c>
    </row>
    <row r="88" spans="1:14" x14ac:dyDescent="0.35">
      <c r="A88" t="s">
        <v>249</v>
      </c>
      <c r="B88" t="s">
        <v>247</v>
      </c>
      <c r="C88" t="s">
        <v>173</v>
      </c>
      <c r="D88" t="s">
        <v>43</v>
      </c>
      <c r="E88" t="s">
        <v>250</v>
      </c>
      <c r="F88" t="s">
        <v>37</v>
      </c>
      <c r="G88" t="s">
        <v>38</v>
      </c>
      <c r="H88" t="s">
        <v>33</v>
      </c>
      <c r="I88">
        <v>3</v>
      </c>
      <c r="J88">
        <v>900</v>
      </c>
      <c r="K88">
        <v>0</v>
      </c>
      <c r="L88">
        <v>2700</v>
      </c>
      <c r="M88">
        <v>1560</v>
      </c>
      <c r="N88">
        <v>1140</v>
      </c>
    </row>
    <row r="89" spans="1:14" x14ac:dyDescent="0.35">
      <c r="A89" t="s">
        <v>251</v>
      </c>
      <c r="B89" t="s">
        <v>247</v>
      </c>
      <c r="C89" t="s">
        <v>252</v>
      </c>
      <c r="D89" t="s">
        <v>43</v>
      </c>
      <c r="E89" t="s">
        <v>62</v>
      </c>
      <c r="F89" t="s">
        <v>45</v>
      </c>
      <c r="G89" t="s">
        <v>46</v>
      </c>
      <c r="H89" t="s">
        <v>125</v>
      </c>
      <c r="I89">
        <v>8</v>
      </c>
      <c r="J89">
        <v>500</v>
      </c>
      <c r="K89">
        <v>0.05</v>
      </c>
      <c r="L89">
        <v>3800</v>
      </c>
      <c r="M89">
        <v>2240</v>
      </c>
      <c r="N89">
        <v>1560</v>
      </c>
    </row>
    <row r="90" spans="1:14" x14ac:dyDescent="0.35">
      <c r="A90" t="s">
        <v>253</v>
      </c>
      <c r="B90" t="s">
        <v>247</v>
      </c>
      <c r="C90" t="s">
        <v>254</v>
      </c>
      <c r="D90" t="s">
        <v>17</v>
      </c>
      <c r="E90" t="s">
        <v>65</v>
      </c>
      <c r="F90" t="s">
        <v>45</v>
      </c>
      <c r="G90" t="s">
        <v>104</v>
      </c>
      <c r="H90" t="s">
        <v>33</v>
      </c>
      <c r="I90">
        <v>2</v>
      </c>
      <c r="J90">
        <v>2200</v>
      </c>
      <c r="K90">
        <v>0</v>
      </c>
      <c r="L90">
        <v>4400</v>
      </c>
      <c r="M90">
        <v>2800</v>
      </c>
      <c r="N90">
        <v>1600</v>
      </c>
    </row>
    <row r="91" spans="1:14" x14ac:dyDescent="0.35">
      <c r="A91" t="s">
        <v>255</v>
      </c>
      <c r="B91" t="s">
        <v>256</v>
      </c>
      <c r="C91" t="s">
        <v>257</v>
      </c>
      <c r="D91" t="s">
        <v>25</v>
      </c>
      <c r="E91" t="s">
        <v>80</v>
      </c>
      <c r="F91" t="s">
        <v>19</v>
      </c>
      <c r="G91" t="s">
        <v>113</v>
      </c>
      <c r="H91" t="s">
        <v>33</v>
      </c>
      <c r="I91">
        <v>10</v>
      </c>
      <c r="J91">
        <v>950</v>
      </c>
      <c r="K91">
        <v>0.05</v>
      </c>
      <c r="L91">
        <v>9025</v>
      </c>
      <c r="M91">
        <v>5600</v>
      </c>
      <c r="N91">
        <v>3425</v>
      </c>
    </row>
    <row r="92" spans="1:14" x14ac:dyDescent="0.35">
      <c r="A92" t="s">
        <v>258</v>
      </c>
      <c r="B92" t="s">
        <v>259</v>
      </c>
      <c r="C92" t="s">
        <v>232</v>
      </c>
      <c r="D92" t="s">
        <v>43</v>
      </c>
      <c r="E92" t="s">
        <v>143</v>
      </c>
      <c r="F92" t="s">
        <v>19</v>
      </c>
      <c r="G92" t="s">
        <v>56</v>
      </c>
      <c r="H92" t="s">
        <v>125</v>
      </c>
      <c r="I92">
        <v>3</v>
      </c>
      <c r="J92">
        <v>650</v>
      </c>
      <c r="K92">
        <v>0.1</v>
      </c>
      <c r="L92">
        <v>1755</v>
      </c>
      <c r="M92">
        <v>1050</v>
      </c>
      <c r="N92">
        <v>705</v>
      </c>
    </row>
    <row r="93" spans="1:14" x14ac:dyDescent="0.35">
      <c r="A93" t="s">
        <v>260</v>
      </c>
      <c r="B93" t="s">
        <v>259</v>
      </c>
      <c r="C93" t="s">
        <v>261</v>
      </c>
      <c r="D93" t="s">
        <v>43</v>
      </c>
      <c r="E93" t="s">
        <v>250</v>
      </c>
      <c r="F93" t="s">
        <v>37</v>
      </c>
      <c r="G93" t="s">
        <v>38</v>
      </c>
      <c r="H93" t="s">
        <v>21</v>
      </c>
      <c r="I93">
        <v>10</v>
      </c>
      <c r="J93">
        <v>900</v>
      </c>
      <c r="K93">
        <v>0</v>
      </c>
      <c r="L93">
        <v>9000</v>
      </c>
      <c r="M93">
        <v>5200</v>
      </c>
      <c r="N93">
        <v>3800</v>
      </c>
    </row>
    <row r="94" spans="1:14" x14ac:dyDescent="0.35">
      <c r="A94" t="s">
        <v>262</v>
      </c>
      <c r="B94" t="s">
        <v>263</v>
      </c>
      <c r="C94" t="s">
        <v>264</v>
      </c>
      <c r="D94" t="s">
        <v>54</v>
      </c>
      <c r="E94" t="s">
        <v>107</v>
      </c>
      <c r="F94" t="s">
        <v>19</v>
      </c>
      <c r="G94" t="s">
        <v>20</v>
      </c>
      <c r="H94" t="s">
        <v>29</v>
      </c>
      <c r="I94">
        <v>5</v>
      </c>
      <c r="J94">
        <v>120</v>
      </c>
      <c r="K94">
        <v>0</v>
      </c>
      <c r="L94">
        <v>600</v>
      </c>
      <c r="M94">
        <v>275</v>
      </c>
      <c r="N94">
        <v>325</v>
      </c>
    </row>
    <row r="95" spans="1:14" x14ac:dyDescent="0.35">
      <c r="A95" t="s">
        <v>265</v>
      </c>
      <c r="B95" t="s">
        <v>266</v>
      </c>
      <c r="C95" t="s">
        <v>267</v>
      </c>
      <c r="D95" t="s">
        <v>54</v>
      </c>
      <c r="E95" t="s">
        <v>55</v>
      </c>
      <c r="F95" t="s">
        <v>45</v>
      </c>
      <c r="G95" t="s">
        <v>104</v>
      </c>
      <c r="H95" t="s">
        <v>125</v>
      </c>
      <c r="I95">
        <v>4</v>
      </c>
      <c r="J95">
        <v>180</v>
      </c>
      <c r="K95">
        <v>0.05</v>
      </c>
      <c r="L95">
        <v>684</v>
      </c>
      <c r="M95">
        <v>360</v>
      </c>
      <c r="N95">
        <v>324</v>
      </c>
    </row>
    <row r="96" spans="1:14" x14ac:dyDescent="0.35">
      <c r="A96" t="s">
        <v>268</v>
      </c>
      <c r="B96" t="s">
        <v>269</v>
      </c>
      <c r="C96" t="s">
        <v>127</v>
      </c>
      <c r="D96" t="s">
        <v>54</v>
      </c>
      <c r="E96" t="s">
        <v>110</v>
      </c>
      <c r="F96" t="s">
        <v>19</v>
      </c>
      <c r="G96" t="s">
        <v>113</v>
      </c>
      <c r="H96" t="s">
        <v>21</v>
      </c>
      <c r="I96">
        <v>4</v>
      </c>
      <c r="J96">
        <v>280</v>
      </c>
      <c r="K96">
        <v>0</v>
      </c>
      <c r="L96">
        <v>1120</v>
      </c>
      <c r="M96">
        <v>600</v>
      </c>
      <c r="N96">
        <v>520</v>
      </c>
    </row>
    <row r="97" spans="1:14" x14ac:dyDescent="0.35">
      <c r="A97" t="s">
        <v>270</v>
      </c>
      <c r="B97" t="s">
        <v>269</v>
      </c>
      <c r="C97" t="s">
        <v>201</v>
      </c>
      <c r="D97" t="s">
        <v>17</v>
      </c>
      <c r="E97" t="s">
        <v>124</v>
      </c>
      <c r="F97" t="s">
        <v>19</v>
      </c>
      <c r="G97" t="s">
        <v>113</v>
      </c>
      <c r="H97" t="s">
        <v>33</v>
      </c>
      <c r="I97">
        <v>7</v>
      </c>
      <c r="J97">
        <v>1200</v>
      </c>
      <c r="K97">
        <v>0.1</v>
      </c>
      <c r="L97">
        <v>7560</v>
      </c>
      <c r="M97">
        <v>5040</v>
      </c>
      <c r="N97">
        <v>2520</v>
      </c>
    </row>
    <row r="98" spans="1:14" x14ac:dyDescent="0.35">
      <c r="A98" t="s">
        <v>271</v>
      </c>
      <c r="B98" t="s">
        <v>269</v>
      </c>
      <c r="C98" t="s">
        <v>272</v>
      </c>
      <c r="D98" t="s">
        <v>17</v>
      </c>
      <c r="E98" t="s">
        <v>50</v>
      </c>
      <c r="F98" t="s">
        <v>27</v>
      </c>
      <c r="G98" t="s">
        <v>90</v>
      </c>
      <c r="H98" t="s">
        <v>29</v>
      </c>
      <c r="I98">
        <v>9</v>
      </c>
      <c r="J98">
        <v>650</v>
      </c>
      <c r="K98">
        <v>0</v>
      </c>
      <c r="L98">
        <v>5850</v>
      </c>
      <c r="M98">
        <v>3420</v>
      </c>
      <c r="N98">
        <v>2430</v>
      </c>
    </row>
    <row r="99" spans="1:14" x14ac:dyDescent="0.35">
      <c r="A99" t="s">
        <v>273</v>
      </c>
      <c r="B99" t="s">
        <v>269</v>
      </c>
      <c r="C99" t="s">
        <v>68</v>
      </c>
      <c r="D99" t="s">
        <v>25</v>
      </c>
      <c r="E99" t="s">
        <v>89</v>
      </c>
      <c r="F99" t="s">
        <v>19</v>
      </c>
      <c r="G99" t="s">
        <v>20</v>
      </c>
      <c r="H99" t="s">
        <v>29</v>
      </c>
      <c r="I99">
        <v>8</v>
      </c>
      <c r="J99">
        <v>550</v>
      </c>
      <c r="K99">
        <v>0.1</v>
      </c>
      <c r="L99">
        <v>3960</v>
      </c>
      <c r="M99">
        <v>2400</v>
      </c>
      <c r="N99">
        <v>1560</v>
      </c>
    </row>
    <row r="100" spans="1:14" x14ac:dyDescent="0.35">
      <c r="A100" t="s">
        <v>274</v>
      </c>
      <c r="B100" t="s">
        <v>269</v>
      </c>
      <c r="C100" t="s">
        <v>275</v>
      </c>
      <c r="D100" t="s">
        <v>25</v>
      </c>
      <c r="E100" t="s">
        <v>26</v>
      </c>
      <c r="F100" t="s">
        <v>37</v>
      </c>
      <c r="G100" t="s">
        <v>73</v>
      </c>
      <c r="H100" t="s">
        <v>21</v>
      </c>
      <c r="I100">
        <v>1</v>
      </c>
      <c r="J100">
        <v>600</v>
      </c>
      <c r="K100">
        <v>0</v>
      </c>
      <c r="L100">
        <v>600</v>
      </c>
      <c r="M100">
        <v>330</v>
      </c>
      <c r="N100">
        <v>270</v>
      </c>
    </row>
    <row r="101" spans="1:14" x14ac:dyDescent="0.35">
      <c r="A101" t="s">
        <v>276</v>
      </c>
      <c r="B101" t="s">
        <v>277</v>
      </c>
      <c r="C101" t="s">
        <v>93</v>
      </c>
      <c r="D101" t="s">
        <v>17</v>
      </c>
      <c r="E101" t="s">
        <v>50</v>
      </c>
      <c r="F101" t="s">
        <v>19</v>
      </c>
      <c r="G101" t="s">
        <v>113</v>
      </c>
      <c r="H101" t="s">
        <v>21</v>
      </c>
      <c r="I101">
        <v>3</v>
      </c>
      <c r="J101">
        <v>650</v>
      </c>
      <c r="K101">
        <v>0</v>
      </c>
      <c r="L101">
        <v>1950</v>
      </c>
      <c r="M101">
        <v>1140</v>
      </c>
      <c r="N101">
        <v>810</v>
      </c>
    </row>
    <row r="102" spans="1:14" x14ac:dyDescent="0.35">
      <c r="A102" t="s">
        <v>278</v>
      </c>
      <c r="B102" t="s">
        <v>277</v>
      </c>
      <c r="C102" t="s">
        <v>192</v>
      </c>
      <c r="D102" t="s">
        <v>17</v>
      </c>
      <c r="E102" t="s">
        <v>65</v>
      </c>
      <c r="F102" t="s">
        <v>27</v>
      </c>
      <c r="G102" t="s">
        <v>85</v>
      </c>
      <c r="H102" t="s">
        <v>21</v>
      </c>
      <c r="I102">
        <v>4</v>
      </c>
      <c r="J102">
        <v>2200</v>
      </c>
      <c r="K102">
        <v>0.05</v>
      </c>
      <c r="L102">
        <v>8360</v>
      </c>
      <c r="M102">
        <v>5600</v>
      </c>
      <c r="N102">
        <v>2760</v>
      </c>
    </row>
    <row r="103" spans="1:14" x14ac:dyDescent="0.35">
      <c r="A103" t="s">
        <v>279</v>
      </c>
      <c r="B103" t="s">
        <v>277</v>
      </c>
      <c r="C103" t="s">
        <v>280</v>
      </c>
      <c r="D103" t="s">
        <v>43</v>
      </c>
      <c r="E103" t="s">
        <v>250</v>
      </c>
      <c r="F103" t="s">
        <v>37</v>
      </c>
      <c r="G103" t="s">
        <v>38</v>
      </c>
      <c r="H103" t="s">
        <v>33</v>
      </c>
      <c r="I103">
        <v>7</v>
      </c>
      <c r="J103">
        <v>900</v>
      </c>
      <c r="K103">
        <v>0.15</v>
      </c>
      <c r="L103">
        <v>5355</v>
      </c>
      <c r="M103">
        <v>3640</v>
      </c>
      <c r="N103">
        <v>1715</v>
      </c>
    </row>
    <row r="104" spans="1:14" x14ac:dyDescent="0.35">
      <c r="A104" t="s">
        <v>281</v>
      </c>
      <c r="B104" t="s">
        <v>277</v>
      </c>
      <c r="C104" t="s">
        <v>282</v>
      </c>
      <c r="D104" t="s">
        <v>17</v>
      </c>
      <c r="E104" t="s">
        <v>124</v>
      </c>
      <c r="F104" t="s">
        <v>37</v>
      </c>
      <c r="G104" t="s">
        <v>73</v>
      </c>
      <c r="H104" t="s">
        <v>125</v>
      </c>
      <c r="I104">
        <v>7</v>
      </c>
      <c r="J104">
        <v>1200</v>
      </c>
      <c r="K104">
        <v>0.05</v>
      </c>
      <c r="L104">
        <v>7980</v>
      </c>
      <c r="M104">
        <v>5040</v>
      </c>
      <c r="N104">
        <v>2940</v>
      </c>
    </row>
    <row r="105" spans="1:14" x14ac:dyDescent="0.35">
      <c r="A105" t="s">
        <v>283</v>
      </c>
      <c r="B105" t="s">
        <v>284</v>
      </c>
      <c r="C105" t="s">
        <v>211</v>
      </c>
      <c r="D105" t="s">
        <v>17</v>
      </c>
      <c r="E105" t="s">
        <v>18</v>
      </c>
      <c r="F105" t="s">
        <v>37</v>
      </c>
      <c r="G105" t="s">
        <v>140</v>
      </c>
      <c r="H105" t="s">
        <v>125</v>
      </c>
      <c r="I105">
        <v>9</v>
      </c>
      <c r="J105">
        <v>1800</v>
      </c>
      <c r="K105">
        <v>0.05</v>
      </c>
      <c r="L105">
        <v>15390</v>
      </c>
      <c r="M105">
        <v>9900</v>
      </c>
      <c r="N105">
        <v>5490</v>
      </c>
    </row>
    <row r="106" spans="1:14" x14ac:dyDescent="0.35">
      <c r="A106" t="s">
        <v>285</v>
      </c>
      <c r="B106" t="s">
        <v>286</v>
      </c>
      <c r="C106" t="s">
        <v>287</v>
      </c>
      <c r="D106" t="s">
        <v>25</v>
      </c>
      <c r="E106" t="s">
        <v>36</v>
      </c>
      <c r="F106" t="s">
        <v>19</v>
      </c>
      <c r="G106" t="s">
        <v>215</v>
      </c>
      <c r="H106" t="s">
        <v>21</v>
      </c>
      <c r="I106">
        <v>2</v>
      </c>
      <c r="J106">
        <v>700</v>
      </c>
      <c r="K106">
        <v>0</v>
      </c>
      <c r="L106">
        <v>1400</v>
      </c>
      <c r="M106">
        <v>800</v>
      </c>
      <c r="N106">
        <v>600</v>
      </c>
    </row>
    <row r="107" spans="1:14" x14ac:dyDescent="0.35">
      <c r="A107" t="s">
        <v>288</v>
      </c>
      <c r="B107" t="s">
        <v>289</v>
      </c>
      <c r="C107" t="s">
        <v>290</v>
      </c>
      <c r="D107" t="s">
        <v>54</v>
      </c>
      <c r="E107" t="s">
        <v>107</v>
      </c>
      <c r="F107" t="s">
        <v>45</v>
      </c>
      <c r="G107" t="s">
        <v>104</v>
      </c>
      <c r="H107" t="s">
        <v>29</v>
      </c>
      <c r="I107">
        <v>8</v>
      </c>
      <c r="J107">
        <v>120</v>
      </c>
      <c r="K107">
        <v>0</v>
      </c>
      <c r="L107">
        <v>960</v>
      </c>
      <c r="M107">
        <v>440</v>
      </c>
      <c r="N107">
        <v>520</v>
      </c>
    </row>
    <row r="108" spans="1:14" x14ac:dyDescent="0.35">
      <c r="A108" t="s">
        <v>291</v>
      </c>
      <c r="B108" t="s">
        <v>289</v>
      </c>
      <c r="C108" t="s">
        <v>292</v>
      </c>
      <c r="D108" t="s">
        <v>43</v>
      </c>
      <c r="E108" t="s">
        <v>169</v>
      </c>
      <c r="F108" t="s">
        <v>27</v>
      </c>
      <c r="G108" t="s">
        <v>28</v>
      </c>
      <c r="H108" t="s">
        <v>47</v>
      </c>
      <c r="I108">
        <v>7</v>
      </c>
      <c r="J108">
        <v>350</v>
      </c>
      <c r="K108">
        <v>0</v>
      </c>
      <c r="L108">
        <v>2450</v>
      </c>
      <c r="M108">
        <v>1190</v>
      </c>
      <c r="N108">
        <v>1260</v>
      </c>
    </row>
    <row r="109" spans="1:14" x14ac:dyDescent="0.35">
      <c r="A109" t="s">
        <v>293</v>
      </c>
      <c r="B109" t="s">
        <v>289</v>
      </c>
      <c r="C109" t="s">
        <v>294</v>
      </c>
      <c r="D109" t="s">
        <v>54</v>
      </c>
      <c r="E109" t="s">
        <v>103</v>
      </c>
      <c r="F109" t="s">
        <v>37</v>
      </c>
      <c r="G109" t="s">
        <v>97</v>
      </c>
      <c r="H109" t="s">
        <v>29</v>
      </c>
      <c r="I109">
        <v>7</v>
      </c>
      <c r="J109">
        <v>150</v>
      </c>
      <c r="K109">
        <v>0.1</v>
      </c>
      <c r="L109">
        <v>945</v>
      </c>
      <c r="M109">
        <v>525</v>
      </c>
      <c r="N109">
        <v>420</v>
      </c>
    </row>
    <row r="110" spans="1:14" x14ac:dyDescent="0.35">
      <c r="A110" t="s">
        <v>295</v>
      </c>
      <c r="B110" t="s">
        <v>289</v>
      </c>
      <c r="C110" t="s">
        <v>296</v>
      </c>
      <c r="D110" t="s">
        <v>17</v>
      </c>
      <c r="E110" t="s">
        <v>32</v>
      </c>
      <c r="F110" t="s">
        <v>27</v>
      </c>
      <c r="G110" t="s">
        <v>28</v>
      </c>
      <c r="H110" t="s">
        <v>39</v>
      </c>
      <c r="I110">
        <v>5</v>
      </c>
      <c r="J110">
        <v>1500</v>
      </c>
      <c r="K110">
        <v>0</v>
      </c>
      <c r="L110">
        <v>7500</v>
      </c>
      <c r="M110">
        <v>4500</v>
      </c>
      <c r="N110">
        <v>3000</v>
      </c>
    </row>
    <row r="111" spans="1:14" x14ac:dyDescent="0.35">
      <c r="A111" t="s">
        <v>297</v>
      </c>
      <c r="B111" t="s">
        <v>298</v>
      </c>
      <c r="C111" t="s">
        <v>161</v>
      </c>
      <c r="D111" t="s">
        <v>43</v>
      </c>
      <c r="E111" t="s">
        <v>62</v>
      </c>
      <c r="F111" t="s">
        <v>27</v>
      </c>
      <c r="G111" t="s">
        <v>90</v>
      </c>
      <c r="H111" t="s">
        <v>125</v>
      </c>
      <c r="I111">
        <v>7</v>
      </c>
      <c r="J111">
        <v>500</v>
      </c>
      <c r="K111">
        <v>0.1</v>
      </c>
      <c r="L111">
        <v>3150</v>
      </c>
      <c r="M111">
        <v>1960</v>
      </c>
      <c r="N111">
        <v>1190</v>
      </c>
    </row>
    <row r="112" spans="1:14" x14ac:dyDescent="0.35">
      <c r="A112" t="s">
        <v>299</v>
      </c>
      <c r="B112" t="s">
        <v>300</v>
      </c>
      <c r="C112" t="s">
        <v>142</v>
      </c>
      <c r="D112" t="s">
        <v>17</v>
      </c>
      <c r="E112" t="s">
        <v>32</v>
      </c>
      <c r="F112" t="s">
        <v>45</v>
      </c>
      <c r="G112" t="s">
        <v>70</v>
      </c>
      <c r="H112" t="s">
        <v>33</v>
      </c>
      <c r="I112">
        <v>7</v>
      </c>
      <c r="J112">
        <v>1500</v>
      </c>
      <c r="K112">
        <v>0.05</v>
      </c>
      <c r="L112">
        <v>9975</v>
      </c>
      <c r="M112">
        <v>6300</v>
      </c>
      <c r="N112">
        <v>3675</v>
      </c>
    </row>
    <row r="113" spans="1:14" x14ac:dyDescent="0.35">
      <c r="A113" t="s">
        <v>301</v>
      </c>
      <c r="B113" t="s">
        <v>300</v>
      </c>
      <c r="C113" t="s">
        <v>171</v>
      </c>
      <c r="D113" t="s">
        <v>17</v>
      </c>
      <c r="E113" t="s">
        <v>18</v>
      </c>
      <c r="F113" t="s">
        <v>37</v>
      </c>
      <c r="G113" t="s">
        <v>38</v>
      </c>
      <c r="H113" t="s">
        <v>21</v>
      </c>
      <c r="I113">
        <v>6</v>
      </c>
      <c r="J113">
        <v>1800</v>
      </c>
      <c r="K113">
        <v>0</v>
      </c>
      <c r="L113">
        <v>10800</v>
      </c>
      <c r="M113">
        <v>6600</v>
      </c>
      <c r="N113">
        <v>4200</v>
      </c>
    </row>
    <row r="114" spans="1:14" x14ac:dyDescent="0.35">
      <c r="A114" t="s">
        <v>302</v>
      </c>
      <c r="B114" t="s">
        <v>303</v>
      </c>
      <c r="C114" t="s">
        <v>232</v>
      </c>
      <c r="D114" t="s">
        <v>17</v>
      </c>
      <c r="E114" t="s">
        <v>18</v>
      </c>
      <c r="F114" t="s">
        <v>37</v>
      </c>
      <c r="G114" t="s">
        <v>38</v>
      </c>
      <c r="H114" t="s">
        <v>33</v>
      </c>
      <c r="I114">
        <v>8</v>
      </c>
      <c r="J114">
        <v>1800</v>
      </c>
      <c r="K114">
        <v>0.05</v>
      </c>
      <c r="L114">
        <v>13680</v>
      </c>
      <c r="M114">
        <v>8800</v>
      </c>
      <c r="N114">
        <v>4880</v>
      </c>
    </row>
    <row r="115" spans="1:14" x14ac:dyDescent="0.35">
      <c r="A115" t="s">
        <v>304</v>
      </c>
      <c r="B115" t="s">
        <v>305</v>
      </c>
      <c r="C115" t="s">
        <v>306</v>
      </c>
      <c r="D115" t="s">
        <v>54</v>
      </c>
      <c r="E115" t="s">
        <v>116</v>
      </c>
      <c r="F115" t="s">
        <v>45</v>
      </c>
      <c r="G115" t="s">
        <v>122</v>
      </c>
      <c r="H115" t="s">
        <v>47</v>
      </c>
      <c r="I115">
        <v>8</v>
      </c>
      <c r="J115">
        <v>450</v>
      </c>
      <c r="K115">
        <v>0</v>
      </c>
      <c r="L115">
        <v>3600</v>
      </c>
      <c r="M115">
        <v>2000</v>
      </c>
      <c r="N115">
        <v>1600</v>
      </c>
    </row>
    <row r="116" spans="1:14" x14ac:dyDescent="0.35">
      <c r="A116" t="s">
        <v>307</v>
      </c>
      <c r="B116" t="s">
        <v>308</v>
      </c>
      <c r="C116" t="s">
        <v>309</v>
      </c>
      <c r="D116" t="s">
        <v>25</v>
      </c>
      <c r="E116" t="s">
        <v>80</v>
      </c>
      <c r="F116" t="s">
        <v>19</v>
      </c>
      <c r="G116" t="s">
        <v>20</v>
      </c>
      <c r="H116" t="s">
        <v>125</v>
      </c>
      <c r="I116">
        <v>1</v>
      </c>
      <c r="J116">
        <v>950</v>
      </c>
      <c r="K116">
        <v>0.1</v>
      </c>
      <c r="L116">
        <v>855</v>
      </c>
      <c r="M116">
        <v>560</v>
      </c>
      <c r="N116">
        <v>295</v>
      </c>
    </row>
    <row r="117" spans="1:14" x14ac:dyDescent="0.35">
      <c r="A117" t="s">
        <v>310</v>
      </c>
      <c r="B117" t="s">
        <v>308</v>
      </c>
      <c r="C117" t="s">
        <v>182</v>
      </c>
      <c r="D117" t="s">
        <v>25</v>
      </c>
      <c r="E117" t="s">
        <v>36</v>
      </c>
      <c r="F117" t="s">
        <v>19</v>
      </c>
      <c r="G117" t="s">
        <v>20</v>
      </c>
      <c r="H117" t="s">
        <v>21</v>
      </c>
      <c r="I117">
        <v>4</v>
      </c>
      <c r="J117">
        <v>700</v>
      </c>
      <c r="K117">
        <v>0</v>
      </c>
      <c r="L117">
        <v>2800</v>
      </c>
      <c r="M117">
        <v>1600</v>
      </c>
      <c r="N117">
        <v>1200</v>
      </c>
    </row>
    <row r="118" spans="1:14" x14ac:dyDescent="0.35">
      <c r="A118" t="s">
        <v>311</v>
      </c>
      <c r="B118" t="s">
        <v>312</v>
      </c>
      <c r="C118" t="s">
        <v>313</v>
      </c>
      <c r="D118" t="s">
        <v>17</v>
      </c>
      <c r="E118" t="s">
        <v>18</v>
      </c>
      <c r="F118" t="s">
        <v>27</v>
      </c>
      <c r="G118" t="s">
        <v>85</v>
      </c>
      <c r="H118" t="s">
        <v>21</v>
      </c>
      <c r="I118">
        <v>7</v>
      </c>
      <c r="J118">
        <v>1800</v>
      </c>
      <c r="K118">
        <v>0.1</v>
      </c>
      <c r="L118">
        <v>11340</v>
      </c>
      <c r="M118">
        <v>7700</v>
      </c>
      <c r="N118">
        <v>3640</v>
      </c>
    </row>
    <row r="119" spans="1:14" x14ac:dyDescent="0.35">
      <c r="A119" t="s">
        <v>314</v>
      </c>
      <c r="B119" t="s">
        <v>312</v>
      </c>
      <c r="C119" t="s">
        <v>102</v>
      </c>
      <c r="D119" t="s">
        <v>43</v>
      </c>
      <c r="E119" t="s">
        <v>44</v>
      </c>
      <c r="F119" t="s">
        <v>37</v>
      </c>
      <c r="G119" t="s">
        <v>97</v>
      </c>
      <c r="H119" t="s">
        <v>21</v>
      </c>
      <c r="I119">
        <v>2</v>
      </c>
      <c r="J119">
        <v>2200</v>
      </c>
      <c r="K119">
        <v>0</v>
      </c>
      <c r="L119">
        <v>4400</v>
      </c>
      <c r="M119">
        <v>2900</v>
      </c>
      <c r="N119">
        <v>1500</v>
      </c>
    </row>
    <row r="120" spans="1:14" x14ac:dyDescent="0.35">
      <c r="A120" t="s">
        <v>315</v>
      </c>
      <c r="B120" t="s">
        <v>312</v>
      </c>
      <c r="C120" t="s">
        <v>316</v>
      </c>
      <c r="D120" t="s">
        <v>17</v>
      </c>
      <c r="E120" t="s">
        <v>65</v>
      </c>
      <c r="F120" t="s">
        <v>27</v>
      </c>
      <c r="G120" t="s">
        <v>90</v>
      </c>
      <c r="H120" t="s">
        <v>125</v>
      </c>
      <c r="I120">
        <v>2</v>
      </c>
      <c r="J120">
        <v>2200</v>
      </c>
      <c r="K120">
        <v>0</v>
      </c>
      <c r="L120">
        <v>4400</v>
      </c>
      <c r="M120">
        <v>2800</v>
      </c>
      <c r="N120">
        <v>1600</v>
      </c>
    </row>
    <row r="121" spans="1:14" x14ac:dyDescent="0.35">
      <c r="A121" t="s">
        <v>317</v>
      </c>
      <c r="B121" t="s">
        <v>312</v>
      </c>
      <c r="C121" t="s">
        <v>318</v>
      </c>
      <c r="D121" t="s">
        <v>43</v>
      </c>
      <c r="E121" t="s">
        <v>44</v>
      </c>
      <c r="F121" t="s">
        <v>45</v>
      </c>
      <c r="G121" t="s">
        <v>70</v>
      </c>
      <c r="H121" t="s">
        <v>33</v>
      </c>
      <c r="I121">
        <v>5</v>
      </c>
      <c r="J121">
        <v>2200</v>
      </c>
      <c r="K121">
        <v>0</v>
      </c>
      <c r="L121">
        <v>11000</v>
      </c>
      <c r="M121">
        <v>7250</v>
      </c>
      <c r="N121">
        <v>3750</v>
      </c>
    </row>
    <row r="122" spans="1:14" x14ac:dyDescent="0.35">
      <c r="A122" t="s">
        <v>319</v>
      </c>
      <c r="B122" t="s">
        <v>312</v>
      </c>
      <c r="C122" t="s">
        <v>59</v>
      </c>
      <c r="D122" t="s">
        <v>43</v>
      </c>
      <c r="E122" t="s">
        <v>169</v>
      </c>
      <c r="F122" t="s">
        <v>45</v>
      </c>
      <c r="G122" t="s">
        <v>122</v>
      </c>
      <c r="H122" t="s">
        <v>39</v>
      </c>
      <c r="I122">
        <v>4</v>
      </c>
      <c r="J122">
        <v>350</v>
      </c>
      <c r="K122">
        <v>0.05</v>
      </c>
      <c r="L122">
        <v>1330</v>
      </c>
      <c r="M122">
        <v>680</v>
      </c>
      <c r="N122">
        <v>650</v>
      </c>
    </row>
    <row r="123" spans="1:14" x14ac:dyDescent="0.35">
      <c r="A123" t="s">
        <v>320</v>
      </c>
      <c r="B123" t="s">
        <v>321</v>
      </c>
      <c r="C123" t="s">
        <v>292</v>
      </c>
      <c r="D123" t="s">
        <v>43</v>
      </c>
      <c r="E123" t="s">
        <v>44</v>
      </c>
      <c r="F123" t="s">
        <v>19</v>
      </c>
      <c r="G123" t="s">
        <v>215</v>
      </c>
      <c r="H123" t="s">
        <v>47</v>
      </c>
      <c r="I123">
        <v>5</v>
      </c>
      <c r="J123">
        <v>2200</v>
      </c>
      <c r="K123">
        <v>0.1</v>
      </c>
      <c r="L123">
        <v>9900</v>
      </c>
      <c r="M123">
        <v>7250</v>
      </c>
      <c r="N123">
        <v>2650</v>
      </c>
    </row>
    <row r="124" spans="1:14" x14ac:dyDescent="0.35">
      <c r="A124" t="s">
        <v>322</v>
      </c>
      <c r="B124" t="s">
        <v>323</v>
      </c>
      <c r="C124" t="s">
        <v>306</v>
      </c>
      <c r="D124" t="s">
        <v>17</v>
      </c>
      <c r="E124" t="s">
        <v>124</v>
      </c>
      <c r="F124" t="s">
        <v>37</v>
      </c>
      <c r="G124" t="s">
        <v>38</v>
      </c>
      <c r="H124" t="s">
        <v>29</v>
      </c>
      <c r="I124">
        <v>9</v>
      </c>
      <c r="J124">
        <v>1200</v>
      </c>
      <c r="K124">
        <v>0</v>
      </c>
      <c r="L124">
        <v>10800</v>
      </c>
      <c r="M124">
        <v>6480</v>
      </c>
      <c r="N124">
        <v>4320</v>
      </c>
    </row>
    <row r="125" spans="1:14" x14ac:dyDescent="0.35">
      <c r="A125" t="s">
        <v>324</v>
      </c>
      <c r="B125" t="s">
        <v>323</v>
      </c>
      <c r="C125" t="s">
        <v>325</v>
      </c>
      <c r="D125" t="s">
        <v>54</v>
      </c>
      <c r="E125" t="s">
        <v>103</v>
      </c>
      <c r="F125" t="s">
        <v>27</v>
      </c>
      <c r="G125" t="s">
        <v>90</v>
      </c>
      <c r="H125" t="s">
        <v>21</v>
      </c>
      <c r="I125">
        <v>8</v>
      </c>
      <c r="J125">
        <v>150</v>
      </c>
      <c r="K125">
        <v>0</v>
      </c>
      <c r="L125">
        <v>1200</v>
      </c>
      <c r="M125">
        <v>600</v>
      </c>
      <c r="N125">
        <v>600</v>
      </c>
    </row>
    <row r="126" spans="1:14" x14ac:dyDescent="0.35">
      <c r="A126" t="s">
        <v>326</v>
      </c>
      <c r="B126" t="s">
        <v>323</v>
      </c>
      <c r="C126" t="s">
        <v>229</v>
      </c>
      <c r="D126" t="s">
        <v>25</v>
      </c>
      <c r="E126" t="s">
        <v>36</v>
      </c>
      <c r="F126" t="s">
        <v>19</v>
      </c>
      <c r="G126" t="s">
        <v>20</v>
      </c>
      <c r="H126" t="s">
        <v>21</v>
      </c>
      <c r="I126">
        <v>9</v>
      </c>
      <c r="J126">
        <v>700</v>
      </c>
      <c r="K126">
        <v>0</v>
      </c>
      <c r="L126">
        <v>6300</v>
      </c>
      <c r="M126">
        <v>3600</v>
      </c>
      <c r="N126">
        <v>2700</v>
      </c>
    </row>
    <row r="127" spans="1:14" x14ac:dyDescent="0.35">
      <c r="A127" t="s">
        <v>327</v>
      </c>
      <c r="B127" t="s">
        <v>323</v>
      </c>
      <c r="C127" t="s">
        <v>328</v>
      </c>
      <c r="D127" t="s">
        <v>54</v>
      </c>
      <c r="E127" t="s">
        <v>55</v>
      </c>
      <c r="F127" t="s">
        <v>45</v>
      </c>
      <c r="G127" t="s">
        <v>104</v>
      </c>
      <c r="H127" t="s">
        <v>21</v>
      </c>
      <c r="I127">
        <v>4</v>
      </c>
      <c r="J127">
        <v>180</v>
      </c>
      <c r="K127">
        <v>0.15</v>
      </c>
      <c r="L127">
        <v>612</v>
      </c>
      <c r="M127">
        <v>360</v>
      </c>
      <c r="N127">
        <v>252</v>
      </c>
    </row>
    <row r="128" spans="1:14" x14ac:dyDescent="0.35">
      <c r="A128" t="s">
        <v>329</v>
      </c>
      <c r="B128" t="s">
        <v>323</v>
      </c>
      <c r="C128" t="s">
        <v>201</v>
      </c>
      <c r="D128" t="s">
        <v>17</v>
      </c>
      <c r="E128" t="s">
        <v>124</v>
      </c>
      <c r="F128" t="s">
        <v>37</v>
      </c>
      <c r="G128" t="s">
        <v>38</v>
      </c>
      <c r="H128" t="s">
        <v>39</v>
      </c>
      <c r="I128">
        <v>10</v>
      </c>
      <c r="J128">
        <v>1200</v>
      </c>
      <c r="K128">
        <v>0</v>
      </c>
      <c r="L128">
        <v>12000</v>
      </c>
      <c r="M128">
        <v>7200</v>
      </c>
      <c r="N128">
        <v>4800</v>
      </c>
    </row>
    <row r="129" spans="1:14" x14ac:dyDescent="0.35">
      <c r="A129" t="s">
        <v>330</v>
      </c>
      <c r="B129" t="s">
        <v>323</v>
      </c>
      <c r="C129" t="s">
        <v>331</v>
      </c>
      <c r="D129" t="s">
        <v>17</v>
      </c>
      <c r="E129" t="s">
        <v>18</v>
      </c>
      <c r="F129" t="s">
        <v>27</v>
      </c>
      <c r="G129" t="s">
        <v>85</v>
      </c>
      <c r="H129" t="s">
        <v>125</v>
      </c>
      <c r="I129">
        <v>5</v>
      </c>
      <c r="J129">
        <v>1800</v>
      </c>
      <c r="K129">
        <v>0</v>
      </c>
      <c r="L129">
        <v>9000</v>
      </c>
      <c r="M129">
        <v>5500</v>
      </c>
      <c r="N129">
        <v>3500</v>
      </c>
    </row>
    <row r="130" spans="1:14" x14ac:dyDescent="0.35">
      <c r="A130" t="s">
        <v>332</v>
      </c>
      <c r="B130" t="s">
        <v>333</v>
      </c>
      <c r="C130" t="s">
        <v>138</v>
      </c>
      <c r="D130" t="s">
        <v>54</v>
      </c>
      <c r="E130" t="s">
        <v>103</v>
      </c>
      <c r="F130" t="s">
        <v>45</v>
      </c>
      <c r="G130" t="s">
        <v>122</v>
      </c>
      <c r="H130" t="s">
        <v>21</v>
      </c>
      <c r="I130">
        <v>7</v>
      </c>
      <c r="J130">
        <v>150</v>
      </c>
      <c r="K130">
        <v>0</v>
      </c>
      <c r="L130">
        <v>1050</v>
      </c>
      <c r="M130">
        <v>525</v>
      </c>
      <c r="N130">
        <v>525</v>
      </c>
    </row>
    <row r="131" spans="1:14" x14ac:dyDescent="0.35">
      <c r="A131" t="s">
        <v>334</v>
      </c>
      <c r="B131" t="s">
        <v>333</v>
      </c>
      <c r="C131" t="s">
        <v>335</v>
      </c>
      <c r="D131" t="s">
        <v>17</v>
      </c>
      <c r="E131" t="s">
        <v>50</v>
      </c>
      <c r="F131" t="s">
        <v>37</v>
      </c>
      <c r="G131" t="s">
        <v>38</v>
      </c>
      <c r="H131" t="s">
        <v>47</v>
      </c>
      <c r="I131">
        <v>5</v>
      </c>
      <c r="J131">
        <v>650</v>
      </c>
      <c r="K131">
        <v>0.1</v>
      </c>
      <c r="L131">
        <v>2925</v>
      </c>
      <c r="M131">
        <v>1900</v>
      </c>
      <c r="N131">
        <v>1025</v>
      </c>
    </row>
    <row r="132" spans="1:14" x14ac:dyDescent="0.35">
      <c r="A132" t="s">
        <v>336</v>
      </c>
      <c r="B132" t="s">
        <v>337</v>
      </c>
      <c r="C132" t="s">
        <v>121</v>
      </c>
      <c r="D132" t="s">
        <v>17</v>
      </c>
      <c r="E132" t="s">
        <v>32</v>
      </c>
      <c r="F132" t="s">
        <v>27</v>
      </c>
      <c r="G132" t="s">
        <v>90</v>
      </c>
      <c r="H132" t="s">
        <v>21</v>
      </c>
      <c r="I132">
        <v>4</v>
      </c>
      <c r="J132">
        <v>1500</v>
      </c>
      <c r="K132">
        <v>0</v>
      </c>
      <c r="L132">
        <v>6000</v>
      </c>
      <c r="M132">
        <v>3600</v>
      </c>
      <c r="N132">
        <v>2400</v>
      </c>
    </row>
    <row r="133" spans="1:14" x14ac:dyDescent="0.35">
      <c r="A133" t="s">
        <v>338</v>
      </c>
      <c r="B133" t="s">
        <v>337</v>
      </c>
      <c r="C133" t="s">
        <v>339</v>
      </c>
      <c r="D133" t="s">
        <v>17</v>
      </c>
      <c r="E133" t="s">
        <v>65</v>
      </c>
      <c r="F133" t="s">
        <v>27</v>
      </c>
      <c r="G133" t="s">
        <v>85</v>
      </c>
      <c r="H133" t="s">
        <v>125</v>
      </c>
      <c r="I133">
        <v>3</v>
      </c>
      <c r="J133">
        <v>2200</v>
      </c>
      <c r="K133">
        <v>0</v>
      </c>
      <c r="L133">
        <v>6600</v>
      </c>
      <c r="M133">
        <v>4200</v>
      </c>
      <c r="N133">
        <v>2400</v>
      </c>
    </row>
    <row r="134" spans="1:14" x14ac:dyDescent="0.35">
      <c r="A134" t="s">
        <v>340</v>
      </c>
      <c r="B134" t="s">
        <v>337</v>
      </c>
      <c r="C134" t="s">
        <v>134</v>
      </c>
      <c r="D134" t="s">
        <v>25</v>
      </c>
      <c r="E134" t="s">
        <v>80</v>
      </c>
      <c r="F134" t="s">
        <v>45</v>
      </c>
      <c r="G134" t="s">
        <v>70</v>
      </c>
      <c r="H134" t="s">
        <v>125</v>
      </c>
      <c r="I134">
        <v>10</v>
      </c>
      <c r="J134">
        <v>950</v>
      </c>
      <c r="K134">
        <v>0</v>
      </c>
      <c r="L134">
        <v>9500</v>
      </c>
      <c r="M134">
        <v>5600</v>
      </c>
      <c r="N134">
        <v>3900</v>
      </c>
    </row>
    <row r="135" spans="1:14" x14ac:dyDescent="0.35">
      <c r="A135" t="s">
        <v>341</v>
      </c>
      <c r="B135" t="s">
        <v>337</v>
      </c>
      <c r="C135" t="s">
        <v>248</v>
      </c>
      <c r="D135" t="s">
        <v>17</v>
      </c>
      <c r="E135" t="s">
        <v>18</v>
      </c>
      <c r="F135" t="s">
        <v>45</v>
      </c>
      <c r="G135" t="s">
        <v>46</v>
      </c>
      <c r="H135" t="s">
        <v>29</v>
      </c>
      <c r="I135">
        <v>6</v>
      </c>
      <c r="J135">
        <v>1800</v>
      </c>
      <c r="K135">
        <v>0</v>
      </c>
      <c r="L135">
        <v>10800</v>
      </c>
      <c r="M135">
        <v>6600</v>
      </c>
      <c r="N135">
        <v>4200</v>
      </c>
    </row>
    <row r="136" spans="1:14" x14ac:dyDescent="0.35">
      <c r="A136" t="s">
        <v>342</v>
      </c>
      <c r="B136" t="s">
        <v>337</v>
      </c>
      <c r="C136" t="s">
        <v>343</v>
      </c>
      <c r="D136" t="s">
        <v>54</v>
      </c>
      <c r="E136" t="s">
        <v>103</v>
      </c>
      <c r="F136" t="s">
        <v>19</v>
      </c>
      <c r="G136" t="s">
        <v>215</v>
      </c>
      <c r="H136" t="s">
        <v>33</v>
      </c>
      <c r="I136">
        <v>9</v>
      </c>
      <c r="J136">
        <v>150</v>
      </c>
      <c r="K136">
        <v>0</v>
      </c>
      <c r="L136">
        <v>1350</v>
      </c>
      <c r="M136">
        <v>675</v>
      </c>
      <c r="N136">
        <v>675</v>
      </c>
    </row>
    <row r="137" spans="1:14" x14ac:dyDescent="0.35">
      <c r="A137" t="s">
        <v>344</v>
      </c>
      <c r="B137" t="s">
        <v>345</v>
      </c>
      <c r="C137" t="s">
        <v>152</v>
      </c>
      <c r="D137" t="s">
        <v>54</v>
      </c>
      <c r="E137" t="s">
        <v>107</v>
      </c>
      <c r="F137" t="s">
        <v>19</v>
      </c>
      <c r="G137" t="s">
        <v>215</v>
      </c>
      <c r="H137" t="s">
        <v>39</v>
      </c>
      <c r="I137">
        <v>6</v>
      </c>
      <c r="J137">
        <v>120</v>
      </c>
      <c r="K137">
        <v>0</v>
      </c>
      <c r="L137">
        <v>720</v>
      </c>
      <c r="M137">
        <v>330</v>
      </c>
      <c r="N137">
        <v>390</v>
      </c>
    </row>
    <row r="138" spans="1:14" x14ac:dyDescent="0.35">
      <c r="A138" t="s">
        <v>346</v>
      </c>
      <c r="B138" t="s">
        <v>347</v>
      </c>
      <c r="C138" t="s">
        <v>348</v>
      </c>
      <c r="D138" t="s">
        <v>25</v>
      </c>
      <c r="E138" t="s">
        <v>36</v>
      </c>
      <c r="F138" t="s">
        <v>37</v>
      </c>
      <c r="G138" t="s">
        <v>97</v>
      </c>
      <c r="H138" t="s">
        <v>125</v>
      </c>
      <c r="I138">
        <v>9</v>
      </c>
      <c r="J138">
        <v>700</v>
      </c>
      <c r="K138">
        <v>0</v>
      </c>
      <c r="L138">
        <v>6300</v>
      </c>
      <c r="M138">
        <v>3600</v>
      </c>
      <c r="N138">
        <v>2700</v>
      </c>
    </row>
    <row r="139" spans="1:14" x14ac:dyDescent="0.35">
      <c r="A139" t="s">
        <v>349</v>
      </c>
      <c r="B139" t="s">
        <v>347</v>
      </c>
      <c r="C139" t="s">
        <v>350</v>
      </c>
      <c r="D139" t="s">
        <v>54</v>
      </c>
      <c r="E139" t="s">
        <v>107</v>
      </c>
      <c r="F139" t="s">
        <v>19</v>
      </c>
      <c r="G139" t="s">
        <v>20</v>
      </c>
      <c r="H139" t="s">
        <v>39</v>
      </c>
      <c r="I139">
        <v>10</v>
      </c>
      <c r="J139">
        <v>120</v>
      </c>
      <c r="K139">
        <v>0</v>
      </c>
      <c r="L139">
        <v>1200</v>
      </c>
      <c r="M139">
        <v>550</v>
      </c>
      <c r="N139">
        <v>650</v>
      </c>
    </row>
    <row r="140" spans="1:14" x14ac:dyDescent="0.35">
      <c r="A140" t="s">
        <v>351</v>
      </c>
      <c r="B140" t="s">
        <v>347</v>
      </c>
      <c r="C140" t="s">
        <v>352</v>
      </c>
      <c r="D140" t="s">
        <v>43</v>
      </c>
      <c r="E140" t="s">
        <v>250</v>
      </c>
      <c r="F140" t="s">
        <v>19</v>
      </c>
      <c r="G140" t="s">
        <v>20</v>
      </c>
      <c r="H140" t="s">
        <v>33</v>
      </c>
      <c r="I140">
        <v>4</v>
      </c>
      <c r="J140">
        <v>900</v>
      </c>
      <c r="K140">
        <v>0</v>
      </c>
      <c r="L140">
        <v>3600</v>
      </c>
      <c r="M140">
        <v>2080</v>
      </c>
      <c r="N140">
        <v>1520</v>
      </c>
    </row>
    <row r="141" spans="1:14" x14ac:dyDescent="0.35">
      <c r="A141" t="s">
        <v>353</v>
      </c>
      <c r="B141" t="s">
        <v>354</v>
      </c>
      <c r="C141" t="s">
        <v>355</v>
      </c>
      <c r="D141" t="s">
        <v>17</v>
      </c>
      <c r="E141" t="s">
        <v>18</v>
      </c>
      <c r="F141" t="s">
        <v>45</v>
      </c>
      <c r="G141" t="s">
        <v>104</v>
      </c>
      <c r="H141" t="s">
        <v>39</v>
      </c>
      <c r="I141">
        <v>2</v>
      </c>
      <c r="J141">
        <v>1800</v>
      </c>
      <c r="K141">
        <v>0</v>
      </c>
      <c r="L141">
        <v>3600</v>
      </c>
      <c r="M141">
        <v>2200</v>
      </c>
      <c r="N141">
        <v>1400</v>
      </c>
    </row>
    <row r="142" spans="1:14" x14ac:dyDescent="0.35">
      <c r="A142" t="s">
        <v>356</v>
      </c>
      <c r="B142" t="s">
        <v>354</v>
      </c>
      <c r="C142" t="s">
        <v>129</v>
      </c>
      <c r="D142" t="s">
        <v>54</v>
      </c>
      <c r="E142" t="s">
        <v>103</v>
      </c>
      <c r="F142" t="s">
        <v>19</v>
      </c>
      <c r="G142" t="s">
        <v>215</v>
      </c>
      <c r="H142" t="s">
        <v>29</v>
      </c>
      <c r="I142">
        <v>1</v>
      </c>
      <c r="J142">
        <v>150</v>
      </c>
      <c r="K142">
        <v>0</v>
      </c>
      <c r="L142">
        <v>150</v>
      </c>
      <c r="M142">
        <v>75</v>
      </c>
      <c r="N142">
        <v>75</v>
      </c>
    </row>
    <row r="143" spans="1:14" x14ac:dyDescent="0.35">
      <c r="A143" t="s">
        <v>357</v>
      </c>
      <c r="B143" t="s">
        <v>354</v>
      </c>
      <c r="C143" t="s">
        <v>358</v>
      </c>
      <c r="D143" t="s">
        <v>43</v>
      </c>
      <c r="E143" t="s">
        <v>62</v>
      </c>
      <c r="F143" t="s">
        <v>19</v>
      </c>
      <c r="G143" t="s">
        <v>20</v>
      </c>
      <c r="H143" t="s">
        <v>47</v>
      </c>
      <c r="I143">
        <v>6</v>
      </c>
      <c r="J143">
        <v>500</v>
      </c>
      <c r="K143">
        <v>0</v>
      </c>
      <c r="L143">
        <v>3000</v>
      </c>
      <c r="M143">
        <v>1680</v>
      </c>
      <c r="N143">
        <v>1320</v>
      </c>
    </row>
    <row r="144" spans="1:14" x14ac:dyDescent="0.35">
      <c r="A144" t="s">
        <v>359</v>
      </c>
      <c r="B144" t="s">
        <v>360</v>
      </c>
      <c r="C144" t="s">
        <v>220</v>
      </c>
      <c r="D144" t="s">
        <v>25</v>
      </c>
      <c r="E144" t="s">
        <v>80</v>
      </c>
      <c r="F144" t="s">
        <v>37</v>
      </c>
      <c r="G144" t="s">
        <v>38</v>
      </c>
      <c r="H144" t="s">
        <v>47</v>
      </c>
      <c r="I144">
        <v>9</v>
      </c>
      <c r="J144">
        <v>950</v>
      </c>
      <c r="K144">
        <v>0.05</v>
      </c>
      <c r="L144">
        <v>8122.5</v>
      </c>
      <c r="M144">
        <v>5040</v>
      </c>
      <c r="N144">
        <v>3082.5</v>
      </c>
    </row>
    <row r="145" spans="1:14" x14ac:dyDescent="0.35">
      <c r="A145" t="s">
        <v>361</v>
      </c>
      <c r="B145" t="s">
        <v>360</v>
      </c>
      <c r="C145" t="s">
        <v>362</v>
      </c>
      <c r="D145" t="s">
        <v>25</v>
      </c>
      <c r="E145" t="s">
        <v>89</v>
      </c>
      <c r="F145" t="s">
        <v>37</v>
      </c>
      <c r="G145" t="s">
        <v>97</v>
      </c>
      <c r="H145" t="s">
        <v>47</v>
      </c>
      <c r="I145">
        <v>5</v>
      </c>
      <c r="J145">
        <v>550</v>
      </c>
      <c r="K145">
        <v>0</v>
      </c>
      <c r="L145">
        <v>2750</v>
      </c>
      <c r="M145">
        <v>1500</v>
      </c>
      <c r="N145">
        <v>1250</v>
      </c>
    </row>
    <row r="146" spans="1:14" x14ac:dyDescent="0.35">
      <c r="A146" t="s">
        <v>363</v>
      </c>
      <c r="B146" t="s">
        <v>360</v>
      </c>
      <c r="C146" t="s">
        <v>364</v>
      </c>
      <c r="D146" t="s">
        <v>17</v>
      </c>
      <c r="E146" t="s">
        <v>32</v>
      </c>
      <c r="F146" t="s">
        <v>37</v>
      </c>
      <c r="G146" t="s">
        <v>97</v>
      </c>
      <c r="H146" t="s">
        <v>125</v>
      </c>
      <c r="I146">
        <v>6</v>
      </c>
      <c r="J146">
        <v>1500</v>
      </c>
      <c r="K146">
        <v>0.1</v>
      </c>
      <c r="L146">
        <v>8100</v>
      </c>
      <c r="M146">
        <v>5400</v>
      </c>
      <c r="N146">
        <v>2700</v>
      </c>
    </row>
    <row r="147" spans="1:14" x14ac:dyDescent="0.35">
      <c r="A147" t="s">
        <v>365</v>
      </c>
      <c r="B147" t="s">
        <v>366</v>
      </c>
      <c r="C147" t="s">
        <v>367</v>
      </c>
      <c r="D147" t="s">
        <v>25</v>
      </c>
      <c r="E147" t="s">
        <v>89</v>
      </c>
      <c r="F147" t="s">
        <v>19</v>
      </c>
      <c r="G147" t="s">
        <v>215</v>
      </c>
      <c r="H147" t="s">
        <v>21</v>
      </c>
      <c r="I147">
        <v>10</v>
      </c>
      <c r="J147">
        <v>550</v>
      </c>
      <c r="K147">
        <v>0.05</v>
      </c>
      <c r="L147">
        <v>5225</v>
      </c>
      <c r="M147">
        <v>3000</v>
      </c>
      <c r="N147">
        <v>2225</v>
      </c>
    </row>
    <row r="148" spans="1:14" x14ac:dyDescent="0.35">
      <c r="A148" t="s">
        <v>368</v>
      </c>
      <c r="B148" t="s">
        <v>369</v>
      </c>
      <c r="C148" t="s">
        <v>61</v>
      </c>
      <c r="D148" t="s">
        <v>54</v>
      </c>
      <c r="E148" t="s">
        <v>107</v>
      </c>
      <c r="F148" t="s">
        <v>37</v>
      </c>
      <c r="G148" t="s">
        <v>73</v>
      </c>
      <c r="H148" t="s">
        <v>125</v>
      </c>
      <c r="I148">
        <v>7</v>
      </c>
      <c r="J148">
        <v>120</v>
      </c>
      <c r="K148">
        <v>0</v>
      </c>
      <c r="L148">
        <v>840</v>
      </c>
      <c r="M148">
        <v>385</v>
      </c>
      <c r="N148">
        <v>455</v>
      </c>
    </row>
    <row r="149" spans="1:14" x14ac:dyDescent="0.35">
      <c r="A149" t="s">
        <v>370</v>
      </c>
      <c r="B149" t="s">
        <v>371</v>
      </c>
      <c r="C149" t="s">
        <v>229</v>
      </c>
      <c r="D149" t="s">
        <v>54</v>
      </c>
      <c r="E149" t="s">
        <v>110</v>
      </c>
      <c r="F149" t="s">
        <v>45</v>
      </c>
      <c r="G149" t="s">
        <v>46</v>
      </c>
      <c r="H149" t="s">
        <v>21</v>
      </c>
      <c r="I149">
        <v>7</v>
      </c>
      <c r="J149">
        <v>280</v>
      </c>
      <c r="K149">
        <v>0</v>
      </c>
      <c r="L149">
        <v>1960</v>
      </c>
      <c r="M149">
        <v>1050</v>
      </c>
      <c r="N149">
        <v>910</v>
      </c>
    </row>
    <row r="150" spans="1:14" x14ac:dyDescent="0.35">
      <c r="A150" t="s">
        <v>372</v>
      </c>
      <c r="B150" t="s">
        <v>373</v>
      </c>
      <c r="C150" t="s">
        <v>84</v>
      </c>
      <c r="D150" t="s">
        <v>17</v>
      </c>
      <c r="E150" t="s">
        <v>18</v>
      </c>
      <c r="F150" t="s">
        <v>37</v>
      </c>
      <c r="G150" t="s">
        <v>97</v>
      </c>
      <c r="H150" t="s">
        <v>21</v>
      </c>
      <c r="I150">
        <v>2</v>
      </c>
      <c r="J150">
        <v>1800</v>
      </c>
      <c r="K150">
        <v>0.05</v>
      </c>
      <c r="L150">
        <v>3420</v>
      </c>
      <c r="M150">
        <v>2200</v>
      </c>
      <c r="N150">
        <v>1220</v>
      </c>
    </row>
    <row r="151" spans="1:14" x14ac:dyDescent="0.35">
      <c r="A151" t="s">
        <v>374</v>
      </c>
      <c r="B151" t="s">
        <v>373</v>
      </c>
      <c r="C151" t="s">
        <v>375</v>
      </c>
      <c r="D151" t="s">
        <v>54</v>
      </c>
      <c r="E151" t="s">
        <v>110</v>
      </c>
      <c r="F151" t="s">
        <v>27</v>
      </c>
      <c r="G151" t="s">
        <v>90</v>
      </c>
      <c r="H151" t="s">
        <v>47</v>
      </c>
      <c r="I151">
        <v>6</v>
      </c>
      <c r="J151">
        <v>280</v>
      </c>
      <c r="K151">
        <v>0.05</v>
      </c>
      <c r="L151">
        <v>1596</v>
      </c>
      <c r="M151">
        <v>900</v>
      </c>
      <c r="N151">
        <v>696</v>
      </c>
    </row>
    <row r="152" spans="1:14" x14ac:dyDescent="0.35">
      <c r="A152" t="s">
        <v>376</v>
      </c>
      <c r="B152" t="s">
        <v>373</v>
      </c>
      <c r="C152" t="s">
        <v>377</v>
      </c>
      <c r="D152" t="s">
        <v>54</v>
      </c>
      <c r="E152" t="s">
        <v>110</v>
      </c>
      <c r="F152" t="s">
        <v>19</v>
      </c>
      <c r="G152" t="s">
        <v>20</v>
      </c>
      <c r="H152" t="s">
        <v>39</v>
      </c>
      <c r="I152">
        <v>2</v>
      </c>
      <c r="J152">
        <v>280</v>
      </c>
      <c r="K152">
        <v>0.05</v>
      </c>
      <c r="L152">
        <v>532</v>
      </c>
      <c r="M152">
        <v>300</v>
      </c>
      <c r="N152">
        <v>232</v>
      </c>
    </row>
    <row r="153" spans="1:14" x14ac:dyDescent="0.35">
      <c r="A153" t="s">
        <v>378</v>
      </c>
      <c r="B153" t="s">
        <v>379</v>
      </c>
      <c r="C153" t="s">
        <v>380</v>
      </c>
      <c r="D153" t="s">
        <v>43</v>
      </c>
      <c r="E153" t="s">
        <v>62</v>
      </c>
      <c r="F153" t="s">
        <v>45</v>
      </c>
      <c r="G153" t="s">
        <v>104</v>
      </c>
      <c r="H153" t="s">
        <v>33</v>
      </c>
      <c r="I153">
        <v>8</v>
      </c>
      <c r="J153">
        <v>500</v>
      </c>
      <c r="K153">
        <v>0.05</v>
      </c>
      <c r="L153">
        <v>3800</v>
      </c>
      <c r="M153">
        <v>2240</v>
      </c>
      <c r="N153">
        <v>1560</v>
      </c>
    </row>
    <row r="154" spans="1:14" x14ac:dyDescent="0.35">
      <c r="A154" t="s">
        <v>381</v>
      </c>
      <c r="B154" t="s">
        <v>382</v>
      </c>
      <c r="C154" t="s">
        <v>59</v>
      </c>
      <c r="D154" t="s">
        <v>17</v>
      </c>
      <c r="E154" t="s">
        <v>18</v>
      </c>
      <c r="F154" t="s">
        <v>27</v>
      </c>
      <c r="G154" t="s">
        <v>85</v>
      </c>
      <c r="H154" t="s">
        <v>125</v>
      </c>
      <c r="I154">
        <v>1</v>
      </c>
      <c r="J154">
        <v>1800</v>
      </c>
      <c r="K154">
        <v>0.1</v>
      </c>
      <c r="L154">
        <v>1620</v>
      </c>
      <c r="M154">
        <v>1100</v>
      </c>
      <c r="N154">
        <v>520</v>
      </c>
    </row>
    <row r="155" spans="1:14" x14ac:dyDescent="0.35">
      <c r="A155" t="s">
        <v>383</v>
      </c>
      <c r="B155" t="s">
        <v>382</v>
      </c>
      <c r="C155" t="s">
        <v>222</v>
      </c>
      <c r="D155" t="s">
        <v>17</v>
      </c>
      <c r="E155" t="s">
        <v>32</v>
      </c>
      <c r="F155" t="s">
        <v>27</v>
      </c>
      <c r="G155" t="s">
        <v>28</v>
      </c>
      <c r="H155" t="s">
        <v>33</v>
      </c>
      <c r="I155">
        <v>8</v>
      </c>
      <c r="J155">
        <v>1500</v>
      </c>
      <c r="K155">
        <v>0.1</v>
      </c>
      <c r="L155">
        <v>10800</v>
      </c>
      <c r="M155">
        <v>7200</v>
      </c>
      <c r="N155">
        <v>3600</v>
      </c>
    </row>
    <row r="156" spans="1:14" x14ac:dyDescent="0.35">
      <c r="A156" t="s">
        <v>384</v>
      </c>
      <c r="B156" t="s">
        <v>385</v>
      </c>
      <c r="C156" t="s">
        <v>386</v>
      </c>
      <c r="D156" t="s">
        <v>43</v>
      </c>
      <c r="E156" t="s">
        <v>250</v>
      </c>
      <c r="F156" t="s">
        <v>37</v>
      </c>
      <c r="G156" t="s">
        <v>38</v>
      </c>
      <c r="H156" t="s">
        <v>33</v>
      </c>
      <c r="I156">
        <v>4</v>
      </c>
      <c r="J156">
        <v>900</v>
      </c>
      <c r="K156">
        <v>0.15</v>
      </c>
      <c r="L156">
        <v>3060</v>
      </c>
      <c r="M156">
        <v>2080</v>
      </c>
      <c r="N156">
        <v>980</v>
      </c>
    </row>
    <row r="157" spans="1:14" x14ac:dyDescent="0.35">
      <c r="A157" t="s">
        <v>387</v>
      </c>
      <c r="B157" t="s">
        <v>385</v>
      </c>
      <c r="C157" t="s">
        <v>388</v>
      </c>
      <c r="D157" t="s">
        <v>17</v>
      </c>
      <c r="E157" t="s">
        <v>50</v>
      </c>
      <c r="F157" t="s">
        <v>45</v>
      </c>
      <c r="G157" t="s">
        <v>46</v>
      </c>
      <c r="H157" t="s">
        <v>125</v>
      </c>
      <c r="I157">
        <v>2</v>
      </c>
      <c r="J157">
        <v>650</v>
      </c>
      <c r="K157">
        <v>0</v>
      </c>
      <c r="L157">
        <v>1300</v>
      </c>
      <c r="M157">
        <v>760</v>
      </c>
      <c r="N157">
        <v>540</v>
      </c>
    </row>
    <row r="158" spans="1:14" x14ac:dyDescent="0.35">
      <c r="A158" t="s">
        <v>389</v>
      </c>
      <c r="B158" t="s">
        <v>385</v>
      </c>
      <c r="C158" t="s">
        <v>390</v>
      </c>
      <c r="D158" t="s">
        <v>43</v>
      </c>
      <c r="E158" t="s">
        <v>169</v>
      </c>
      <c r="F158" t="s">
        <v>27</v>
      </c>
      <c r="G158" t="s">
        <v>28</v>
      </c>
      <c r="H158" t="s">
        <v>33</v>
      </c>
      <c r="I158">
        <v>7</v>
      </c>
      <c r="J158">
        <v>350</v>
      </c>
      <c r="K158">
        <v>0</v>
      </c>
      <c r="L158">
        <v>2450</v>
      </c>
      <c r="M158">
        <v>1190</v>
      </c>
      <c r="N158">
        <v>1260</v>
      </c>
    </row>
    <row r="159" spans="1:14" x14ac:dyDescent="0.35">
      <c r="A159" t="s">
        <v>391</v>
      </c>
      <c r="B159" t="s">
        <v>385</v>
      </c>
      <c r="C159" t="s">
        <v>392</v>
      </c>
      <c r="D159" t="s">
        <v>25</v>
      </c>
      <c r="E159" t="s">
        <v>80</v>
      </c>
      <c r="F159" t="s">
        <v>37</v>
      </c>
      <c r="G159" t="s">
        <v>73</v>
      </c>
      <c r="H159" t="s">
        <v>47</v>
      </c>
      <c r="I159">
        <v>9</v>
      </c>
      <c r="J159">
        <v>950</v>
      </c>
      <c r="K159">
        <v>0.1</v>
      </c>
      <c r="L159">
        <v>7695</v>
      </c>
      <c r="M159">
        <v>5040</v>
      </c>
      <c r="N159">
        <v>2655</v>
      </c>
    </row>
    <row r="160" spans="1:14" x14ac:dyDescent="0.35">
      <c r="A160" t="s">
        <v>393</v>
      </c>
      <c r="B160" t="s">
        <v>394</v>
      </c>
      <c r="C160" t="s">
        <v>189</v>
      </c>
      <c r="D160" t="s">
        <v>17</v>
      </c>
      <c r="E160" t="s">
        <v>18</v>
      </c>
      <c r="F160" t="s">
        <v>19</v>
      </c>
      <c r="G160" t="s">
        <v>20</v>
      </c>
      <c r="H160" t="s">
        <v>125</v>
      </c>
      <c r="I160">
        <v>2</v>
      </c>
      <c r="J160">
        <v>1800</v>
      </c>
      <c r="K160">
        <v>0.05</v>
      </c>
      <c r="L160">
        <v>3420</v>
      </c>
      <c r="M160">
        <v>2200</v>
      </c>
      <c r="N160">
        <v>1220</v>
      </c>
    </row>
    <row r="161" spans="1:14" x14ac:dyDescent="0.35">
      <c r="A161" t="s">
        <v>395</v>
      </c>
      <c r="B161" t="s">
        <v>394</v>
      </c>
      <c r="C161" t="s">
        <v>367</v>
      </c>
      <c r="D161" t="s">
        <v>25</v>
      </c>
      <c r="E161" t="s">
        <v>89</v>
      </c>
      <c r="F161" t="s">
        <v>37</v>
      </c>
      <c r="G161" t="s">
        <v>97</v>
      </c>
      <c r="H161" t="s">
        <v>125</v>
      </c>
      <c r="I161">
        <v>5</v>
      </c>
      <c r="J161">
        <v>550</v>
      </c>
      <c r="K161">
        <v>0</v>
      </c>
      <c r="L161">
        <v>2750</v>
      </c>
      <c r="M161">
        <v>1500</v>
      </c>
      <c r="N161">
        <v>1250</v>
      </c>
    </row>
    <row r="162" spans="1:14" x14ac:dyDescent="0.35">
      <c r="A162" t="s">
        <v>396</v>
      </c>
      <c r="B162" t="s">
        <v>397</v>
      </c>
      <c r="C162" t="s">
        <v>398</v>
      </c>
      <c r="D162" t="s">
        <v>25</v>
      </c>
      <c r="E162" t="s">
        <v>89</v>
      </c>
      <c r="F162" t="s">
        <v>45</v>
      </c>
      <c r="G162" t="s">
        <v>46</v>
      </c>
      <c r="H162" t="s">
        <v>47</v>
      </c>
      <c r="I162">
        <v>2</v>
      </c>
      <c r="J162">
        <v>550</v>
      </c>
      <c r="K162">
        <v>0.15</v>
      </c>
      <c r="L162">
        <v>935</v>
      </c>
      <c r="M162">
        <v>600</v>
      </c>
      <c r="N162">
        <v>335</v>
      </c>
    </row>
    <row r="163" spans="1:14" x14ac:dyDescent="0.35">
      <c r="A163" t="s">
        <v>399</v>
      </c>
      <c r="B163" t="s">
        <v>397</v>
      </c>
      <c r="C163" t="s">
        <v>99</v>
      </c>
      <c r="D163" t="s">
        <v>25</v>
      </c>
      <c r="E163" t="s">
        <v>26</v>
      </c>
      <c r="F163" t="s">
        <v>37</v>
      </c>
      <c r="G163" t="s">
        <v>140</v>
      </c>
      <c r="H163" t="s">
        <v>29</v>
      </c>
      <c r="I163">
        <v>8</v>
      </c>
      <c r="J163">
        <v>600</v>
      </c>
      <c r="K163">
        <v>0</v>
      </c>
      <c r="L163">
        <v>4800</v>
      </c>
      <c r="M163">
        <v>2640</v>
      </c>
      <c r="N163">
        <v>2160</v>
      </c>
    </row>
    <row r="164" spans="1:14" x14ac:dyDescent="0.35">
      <c r="A164" t="s">
        <v>400</v>
      </c>
      <c r="B164" t="s">
        <v>397</v>
      </c>
      <c r="C164" t="s">
        <v>244</v>
      </c>
      <c r="D164" t="s">
        <v>25</v>
      </c>
      <c r="E164" t="s">
        <v>80</v>
      </c>
      <c r="F164" t="s">
        <v>19</v>
      </c>
      <c r="G164" t="s">
        <v>56</v>
      </c>
      <c r="H164" t="s">
        <v>47</v>
      </c>
      <c r="I164">
        <v>7</v>
      </c>
      <c r="J164">
        <v>950</v>
      </c>
      <c r="K164">
        <v>0.05</v>
      </c>
      <c r="L164">
        <v>6317.5</v>
      </c>
      <c r="M164">
        <v>3920</v>
      </c>
      <c r="N164">
        <v>2397.5</v>
      </c>
    </row>
    <row r="165" spans="1:14" x14ac:dyDescent="0.35">
      <c r="A165" t="s">
        <v>401</v>
      </c>
      <c r="B165" t="s">
        <v>397</v>
      </c>
      <c r="C165" t="s">
        <v>402</v>
      </c>
      <c r="D165" t="s">
        <v>54</v>
      </c>
      <c r="E165" t="s">
        <v>116</v>
      </c>
      <c r="F165" t="s">
        <v>19</v>
      </c>
      <c r="G165" t="s">
        <v>215</v>
      </c>
      <c r="H165" t="s">
        <v>21</v>
      </c>
      <c r="I165">
        <v>8</v>
      </c>
      <c r="J165">
        <v>450</v>
      </c>
      <c r="K165">
        <v>0.1</v>
      </c>
      <c r="L165">
        <v>3240</v>
      </c>
      <c r="M165">
        <v>2000</v>
      </c>
      <c r="N165">
        <v>1240</v>
      </c>
    </row>
    <row r="166" spans="1:14" x14ac:dyDescent="0.35">
      <c r="A166" t="s">
        <v>403</v>
      </c>
      <c r="B166" t="s">
        <v>397</v>
      </c>
      <c r="C166" t="s">
        <v>242</v>
      </c>
      <c r="D166" t="s">
        <v>17</v>
      </c>
      <c r="E166" t="s">
        <v>18</v>
      </c>
      <c r="F166" t="s">
        <v>19</v>
      </c>
      <c r="G166" t="s">
        <v>20</v>
      </c>
      <c r="H166" t="s">
        <v>47</v>
      </c>
      <c r="I166">
        <v>5</v>
      </c>
      <c r="J166">
        <v>1800</v>
      </c>
      <c r="K166">
        <v>0.05</v>
      </c>
      <c r="L166">
        <v>8550</v>
      </c>
      <c r="M166">
        <v>5500</v>
      </c>
      <c r="N166">
        <v>3050</v>
      </c>
    </row>
    <row r="167" spans="1:14" x14ac:dyDescent="0.35">
      <c r="A167" t="s">
        <v>404</v>
      </c>
      <c r="B167" t="s">
        <v>397</v>
      </c>
      <c r="C167" t="s">
        <v>306</v>
      </c>
      <c r="D167" t="s">
        <v>17</v>
      </c>
      <c r="E167" t="s">
        <v>32</v>
      </c>
      <c r="F167" t="s">
        <v>19</v>
      </c>
      <c r="G167" t="s">
        <v>113</v>
      </c>
      <c r="H167" t="s">
        <v>33</v>
      </c>
      <c r="I167">
        <v>5</v>
      </c>
      <c r="J167">
        <v>1500</v>
      </c>
      <c r="K167">
        <v>0</v>
      </c>
      <c r="L167">
        <v>7500</v>
      </c>
      <c r="M167">
        <v>4500</v>
      </c>
      <c r="N167">
        <v>3000</v>
      </c>
    </row>
    <row r="168" spans="1:14" x14ac:dyDescent="0.35">
      <c r="A168" t="s">
        <v>405</v>
      </c>
      <c r="B168" t="s">
        <v>406</v>
      </c>
      <c r="C168" t="s">
        <v>407</v>
      </c>
      <c r="D168" t="s">
        <v>17</v>
      </c>
      <c r="E168" t="s">
        <v>32</v>
      </c>
      <c r="F168" t="s">
        <v>37</v>
      </c>
      <c r="G168" t="s">
        <v>73</v>
      </c>
      <c r="H168" t="s">
        <v>125</v>
      </c>
      <c r="I168">
        <v>8</v>
      </c>
      <c r="J168">
        <v>1500</v>
      </c>
      <c r="K168">
        <v>0</v>
      </c>
      <c r="L168">
        <v>12000</v>
      </c>
      <c r="M168">
        <v>7200</v>
      </c>
      <c r="N168">
        <v>4800</v>
      </c>
    </row>
    <row r="169" spans="1:14" x14ac:dyDescent="0.35">
      <c r="A169" t="s">
        <v>408</v>
      </c>
      <c r="B169" t="s">
        <v>406</v>
      </c>
      <c r="C169" t="s">
        <v>115</v>
      </c>
      <c r="D169" t="s">
        <v>25</v>
      </c>
      <c r="E169" t="s">
        <v>36</v>
      </c>
      <c r="F169" t="s">
        <v>19</v>
      </c>
      <c r="G169" t="s">
        <v>215</v>
      </c>
      <c r="H169" t="s">
        <v>33</v>
      </c>
      <c r="I169">
        <v>1</v>
      </c>
      <c r="J169">
        <v>700</v>
      </c>
      <c r="K169">
        <v>0</v>
      </c>
      <c r="L169">
        <v>700</v>
      </c>
      <c r="M169">
        <v>400</v>
      </c>
      <c r="N169">
        <v>300</v>
      </c>
    </row>
    <row r="170" spans="1:14" x14ac:dyDescent="0.35">
      <c r="A170" t="s">
        <v>409</v>
      </c>
      <c r="B170" t="s">
        <v>406</v>
      </c>
      <c r="C170" t="s">
        <v>410</v>
      </c>
      <c r="D170" t="s">
        <v>25</v>
      </c>
      <c r="E170" t="s">
        <v>89</v>
      </c>
      <c r="F170" t="s">
        <v>45</v>
      </c>
      <c r="G170" t="s">
        <v>46</v>
      </c>
      <c r="H170" t="s">
        <v>21</v>
      </c>
      <c r="I170">
        <v>6</v>
      </c>
      <c r="J170">
        <v>550</v>
      </c>
      <c r="K170">
        <v>0</v>
      </c>
      <c r="L170">
        <v>3300</v>
      </c>
      <c r="M170">
        <v>1800</v>
      </c>
      <c r="N170">
        <v>1500</v>
      </c>
    </row>
    <row r="171" spans="1:14" x14ac:dyDescent="0.35">
      <c r="A171" t="s">
        <v>411</v>
      </c>
      <c r="B171" t="s">
        <v>406</v>
      </c>
      <c r="C171" t="s">
        <v>412</v>
      </c>
      <c r="D171" t="s">
        <v>43</v>
      </c>
      <c r="E171" t="s">
        <v>250</v>
      </c>
      <c r="F171" t="s">
        <v>37</v>
      </c>
      <c r="G171" t="s">
        <v>97</v>
      </c>
      <c r="H171" t="s">
        <v>39</v>
      </c>
      <c r="I171">
        <v>6</v>
      </c>
      <c r="J171">
        <v>900</v>
      </c>
      <c r="K171">
        <v>0</v>
      </c>
      <c r="L171">
        <v>5400</v>
      </c>
      <c r="M171">
        <v>3120</v>
      </c>
      <c r="N171">
        <v>2280</v>
      </c>
    </row>
    <row r="172" spans="1:14" x14ac:dyDescent="0.35">
      <c r="A172" t="s">
        <v>413</v>
      </c>
      <c r="B172" t="s">
        <v>406</v>
      </c>
      <c r="C172" t="s">
        <v>93</v>
      </c>
      <c r="D172" t="s">
        <v>43</v>
      </c>
      <c r="E172" t="s">
        <v>143</v>
      </c>
      <c r="F172" t="s">
        <v>19</v>
      </c>
      <c r="G172" t="s">
        <v>215</v>
      </c>
      <c r="H172" t="s">
        <v>21</v>
      </c>
      <c r="I172">
        <v>4</v>
      </c>
      <c r="J172">
        <v>650</v>
      </c>
      <c r="K172">
        <v>0.05</v>
      </c>
      <c r="L172">
        <v>2470</v>
      </c>
      <c r="M172">
        <v>1400</v>
      </c>
      <c r="N172">
        <v>1070</v>
      </c>
    </row>
    <row r="173" spans="1:14" x14ac:dyDescent="0.35">
      <c r="A173" t="s">
        <v>414</v>
      </c>
      <c r="B173" t="s">
        <v>406</v>
      </c>
      <c r="C173" t="s">
        <v>380</v>
      </c>
      <c r="D173" t="s">
        <v>43</v>
      </c>
      <c r="E173" t="s">
        <v>250</v>
      </c>
      <c r="F173" t="s">
        <v>45</v>
      </c>
      <c r="G173" t="s">
        <v>104</v>
      </c>
      <c r="H173" t="s">
        <v>21</v>
      </c>
      <c r="I173">
        <v>6</v>
      </c>
      <c r="J173">
        <v>900</v>
      </c>
      <c r="K173">
        <v>0</v>
      </c>
      <c r="L173">
        <v>5400</v>
      </c>
      <c r="M173">
        <v>3120</v>
      </c>
      <c r="N173">
        <v>2280</v>
      </c>
    </row>
    <row r="174" spans="1:14" x14ac:dyDescent="0.35">
      <c r="A174" t="s">
        <v>415</v>
      </c>
      <c r="B174" t="s">
        <v>416</v>
      </c>
      <c r="C174" t="s">
        <v>178</v>
      </c>
      <c r="D174" t="s">
        <v>43</v>
      </c>
      <c r="E174" t="s">
        <v>143</v>
      </c>
      <c r="F174" t="s">
        <v>45</v>
      </c>
      <c r="G174" t="s">
        <v>104</v>
      </c>
      <c r="H174" t="s">
        <v>39</v>
      </c>
      <c r="I174">
        <v>7</v>
      </c>
      <c r="J174">
        <v>650</v>
      </c>
      <c r="K174">
        <v>0.05</v>
      </c>
      <c r="L174">
        <v>4322.5</v>
      </c>
      <c r="M174">
        <v>2450</v>
      </c>
      <c r="N174">
        <v>1872.5</v>
      </c>
    </row>
    <row r="175" spans="1:14" x14ac:dyDescent="0.35">
      <c r="A175" t="s">
        <v>417</v>
      </c>
      <c r="B175" t="s">
        <v>416</v>
      </c>
      <c r="C175" t="s">
        <v>106</v>
      </c>
      <c r="D175" t="s">
        <v>17</v>
      </c>
      <c r="E175" t="s">
        <v>18</v>
      </c>
      <c r="F175" t="s">
        <v>37</v>
      </c>
      <c r="G175" t="s">
        <v>73</v>
      </c>
      <c r="H175" t="s">
        <v>33</v>
      </c>
      <c r="I175">
        <v>8</v>
      </c>
      <c r="J175">
        <v>1800</v>
      </c>
      <c r="K175">
        <v>0</v>
      </c>
      <c r="L175">
        <v>14400</v>
      </c>
      <c r="M175">
        <v>8800</v>
      </c>
      <c r="N175">
        <v>5600</v>
      </c>
    </row>
    <row r="176" spans="1:14" x14ac:dyDescent="0.35">
      <c r="A176" t="s">
        <v>418</v>
      </c>
      <c r="B176" t="s">
        <v>416</v>
      </c>
      <c r="C176" t="s">
        <v>294</v>
      </c>
      <c r="D176" t="s">
        <v>54</v>
      </c>
      <c r="E176" t="s">
        <v>103</v>
      </c>
      <c r="F176" t="s">
        <v>27</v>
      </c>
      <c r="G176" t="s">
        <v>90</v>
      </c>
      <c r="H176" t="s">
        <v>39</v>
      </c>
      <c r="I176">
        <v>4</v>
      </c>
      <c r="J176">
        <v>150</v>
      </c>
      <c r="K176">
        <v>0.1</v>
      </c>
      <c r="L176">
        <v>540</v>
      </c>
      <c r="M176">
        <v>300</v>
      </c>
      <c r="N176">
        <v>240</v>
      </c>
    </row>
    <row r="177" spans="1:14" x14ac:dyDescent="0.35">
      <c r="A177" t="s">
        <v>419</v>
      </c>
      <c r="B177" t="s">
        <v>420</v>
      </c>
      <c r="C177" t="s">
        <v>339</v>
      </c>
      <c r="D177" t="s">
        <v>54</v>
      </c>
      <c r="E177" t="s">
        <v>116</v>
      </c>
      <c r="F177" t="s">
        <v>19</v>
      </c>
      <c r="G177" t="s">
        <v>20</v>
      </c>
      <c r="H177" t="s">
        <v>125</v>
      </c>
      <c r="I177">
        <v>6</v>
      </c>
      <c r="J177">
        <v>450</v>
      </c>
      <c r="K177">
        <v>0.15</v>
      </c>
      <c r="L177">
        <v>2295</v>
      </c>
      <c r="M177">
        <v>1500</v>
      </c>
      <c r="N177">
        <v>795</v>
      </c>
    </row>
    <row r="178" spans="1:14" x14ac:dyDescent="0.35">
      <c r="A178" t="s">
        <v>421</v>
      </c>
      <c r="B178" t="s">
        <v>422</v>
      </c>
      <c r="C178" t="s">
        <v>423</v>
      </c>
      <c r="D178" t="s">
        <v>43</v>
      </c>
      <c r="E178" t="s">
        <v>62</v>
      </c>
      <c r="F178" t="s">
        <v>37</v>
      </c>
      <c r="G178" t="s">
        <v>97</v>
      </c>
      <c r="H178" t="s">
        <v>125</v>
      </c>
      <c r="I178">
        <v>10</v>
      </c>
      <c r="J178">
        <v>500</v>
      </c>
      <c r="K178">
        <v>0</v>
      </c>
      <c r="L178">
        <v>5000</v>
      </c>
      <c r="M178">
        <v>2800</v>
      </c>
      <c r="N178">
        <v>2200</v>
      </c>
    </row>
    <row r="179" spans="1:14" x14ac:dyDescent="0.35">
      <c r="A179" t="s">
        <v>424</v>
      </c>
      <c r="B179" t="s">
        <v>422</v>
      </c>
      <c r="C179" t="s">
        <v>165</v>
      </c>
      <c r="D179" t="s">
        <v>17</v>
      </c>
      <c r="E179" t="s">
        <v>50</v>
      </c>
      <c r="F179" t="s">
        <v>45</v>
      </c>
      <c r="G179" t="s">
        <v>104</v>
      </c>
      <c r="H179" t="s">
        <v>39</v>
      </c>
      <c r="I179">
        <v>4</v>
      </c>
      <c r="J179">
        <v>650</v>
      </c>
      <c r="K179">
        <v>0</v>
      </c>
      <c r="L179">
        <v>2600</v>
      </c>
      <c r="M179">
        <v>1520</v>
      </c>
      <c r="N179">
        <v>1080</v>
      </c>
    </row>
    <row r="180" spans="1:14" x14ac:dyDescent="0.35">
      <c r="A180" t="s">
        <v>425</v>
      </c>
      <c r="B180" t="s">
        <v>426</v>
      </c>
      <c r="C180" t="s">
        <v>427</v>
      </c>
      <c r="D180" t="s">
        <v>43</v>
      </c>
      <c r="E180" t="s">
        <v>169</v>
      </c>
      <c r="F180" t="s">
        <v>27</v>
      </c>
      <c r="G180" t="s">
        <v>28</v>
      </c>
      <c r="H180" t="s">
        <v>47</v>
      </c>
      <c r="I180">
        <v>1</v>
      </c>
      <c r="J180">
        <v>350</v>
      </c>
      <c r="K180">
        <v>0</v>
      </c>
      <c r="L180">
        <v>350</v>
      </c>
      <c r="M180">
        <v>170</v>
      </c>
      <c r="N180">
        <v>180</v>
      </c>
    </row>
    <row r="181" spans="1:14" x14ac:dyDescent="0.35">
      <c r="A181" t="s">
        <v>428</v>
      </c>
      <c r="B181" t="s">
        <v>426</v>
      </c>
      <c r="C181" t="s">
        <v>24</v>
      </c>
      <c r="D181" t="s">
        <v>25</v>
      </c>
      <c r="E181" t="s">
        <v>36</v>
      </c>
      <c r="F181" t="s">
        <v>37</v>
      </c>
      <c r="G181" t="s">
        <v>38</v>
      </c>
      <c r="H181" t="s">
        <v>21</v>
      </c>
      <c r="I181">
        <v>4</v>
      </c>
      <c r="J181">
        <v>700</v>
      </c>
      <c r="K181">
        <v>0</v>
      </c>
      <c r="L181">
        <v>2800</v>
      </c>
      <c r="M181">
        <v>1600</v>
      </c>
      <c r="N181">
        <v>1200</v>
      </c>
    </row>
    <row r="182" spans="1:14" x14ac:dyDescent="0.35">
      <c r="A182" t="s">
        <v>429</v>
      </c>
      <c r="B182" t="s">
        <v>426</v>
      </c>
      <c r="C182" t="s">
        <v>75</v>
      </c>
      <c r="D182" t="s">
        <v>54</v>
      </c>
      <c r="E182" t="s">
        <v>107</v>
      </c>
      <c r="F182" t="s">
        <v>27</v>
      </c>
      <c r="G182" t="s">
        <v>85</v>
      </c>
      <c r="H182" t="s">
        <v>21</v>
      </c>
      <c r="I182">
        <v>3</v>
      </c>
      <c r="J182">
        <v>120</v>
      </c>
      <c r="K182">
        <v>0.05</v>
      </c>
      <c r="L182">
        <v>342</v>
      </c>
      <c r="M182">
        <v>165</v>
      </c>
      <c r="N182">
        <v>177</v>
      </c>
    </row>
    <row r="183" spans="1:14" x14ac:dyDescent="0.35">
      <c r="A183" t="s">
        <v>430</v>
      </c>
      <c r="B183" t="s">
        <v>426</v>
      </c>
      <c r="C183" t="s">
        <v>431</v>
      </c>
      <c r="D183" t="s">
        <v>54</v>
      </c>
      <c r="E183" t="s">
        <v>116</v>
      </c>
      <c r="F183" t="s">
        <v>37</v>
      </c>
      <c r="G183" t="s">
        <v>38</v>
      </c>
      <c r="H183" t="s">
        <v>39</v>
      </c>
      <c r="I183">
        <v>5</v>
      </c>
      <c r="J183">
        <v>450</v>
      </c>
      <c r="K183">
        <v>0.1</v>
      </c>
      <c r="L183">
        <v>2025</v>
      </c>
      <c r="M183">
        <v>1250</v>
      </c>
      <c r="N183">
        <v>775</v>
      </c>
    </row>
    <row r="184" spans="1:14" x14ac:dyDescent="0.35">
      <c r="A184" t="s">
        <v>432</v>
      </c>
      <c r="B184" t="s">
        <v>426</v>
      </c>
      <c r="C184" t="s">
        <v>355</v>
      </c>
      <c r="D184" t="s">
        <v>25</v>
      </c>
      <c r="E184" t="s">
        <v>80</v>
      </c>
      <c r="F184" t="s">
        <v>27</v>
      </c>
      <c r="G184" t="s">
        <v>51</v>
      </c>
      <c r="H184" t="s">
        <v>21</v>
      </c>
      <c r="I184">
        <v>2</v>
      </c>
      <c r="J184">
        <v>950</v>
      </c>
      <c r="K184">
        <v>0.05</v>
      </c>
      <c r="L184">
        <v>1805</v>
      </c>
      <c r="M184">
        <v>1120</v>
      </c>
      <c r="N184">
        <v>685</v>
      </c>
    </row>
    <row r="185" spans="1:14" x14ac:dyDescent="0.35">
      <c r="A185" t="s">
        <v>433</v>
      </c>
      <c r="B185" t="s">
        <v>434</v>
      </c>
      <c r="C185" t="s">
        <v>168</v>
      </c>
      <c r="D185" t="s">
        <v>25</v>
      </c>
      <c r="E185" t="s">
        <v>89</v>
      </c>
      <c r="F185" t="s">
        <v>37</v>
      </c>
      <c r="G185" t="s">
        <v>140</v>
      </c>
      <c r="H185" t="s">
        <v>39</v>
      </c>
      <c r="I185">
        <v>9</v>
      </c>
      <c r="J185">
        <v>550</v>
      </c>
      <c r="K185">
        <v>0</v>
      </c>
      <c r="L185">
        <v>4950</v>
      </c>
      <c r="M185">
        <v>2700</v>
      </c>
      <c r="N185">
        <v>2250</v>
      </c>
    </row>
    <row r="186" spans="1:14" x14ac:dyDescent="0.35">
      <c r="A186" t="s">
        <v>435</v>
      </c>
      <c r="B186" t="s">
        <v>434</v>
      </c>
      <c r="C186" t="s">
        <v>364</v>
      </c>
      <c r="D186" t="s">
        <v>17</v>
      </c>
      <c r="E186" t="s">
        <v>124</v>
      </c>
      <c r="F186" t="s">
        <v>45</v>
      </c>
      <c r="G186" t="s">
        <v>122</v>
      </c>
      <c r="H186" t="s">
        <v>29</v>
      </c>
      <c r="I186">
        <v>10</v>
      </c>
      <c r="J186">
        <v>1200</v>
      </c>
      <c r="K186">
        <v>0</v>
      </c>
      <c r="L186">
        <v>12000</v>
      </c>
      <c r="M186">
        <v>7200</v>
      </c>
      <c r="N186">
        <v>4800</v>
      </c>
    </row>
    <row r="187" spans="1:14" x14ac:dyDescent="0.35">
      <c r="A187" t="s">
        <v>436</v>
      </c>
      <c r="B187" t="s">
        <v>434</v>
      </c>
      <c r="C187" t="s">
        <v>437</v>
      </c>
      <c r="D187" t="s">
        <v>25</v>
      </c>
      <c r="E187" t="s">
        <v>26</v>
      </c>
      <c r="F187" t="s">
        <v>45</v>
      </c>
      <c r="G187" t="s">
        <v>104</v>
      </c>
      <c r="H187" t="s">
        <v>33</v>
      </c>
      <c r="I187">
        <v>7</v>
      </c>
      <c r="J187">
        <v>600</v>
      </c>
      <c r="K187">
        <v>0</v>
      </c>
      <c r="L187">
        <v>4200</v>
      </c>
      <c r="M187">
        <v>2310</v>
      </c>
      <c r="N187">
        <v>1890</v>
      </c>
    </row>
    <row r="188" spans="1:14" x14ac:dyDescent="0.35">
      <c r="A188" t="s">
        <v>438</v>
      </c>
      <c r="B188" t="s">
        <v>439</v>
      </c>
      <c r="C188" t="s">
        <v>355</v>
      </c>
      <c r="D188" t="s">
        <v>25</v>
      </c>
      <c r="E188" t="s">
        <v>26</v>
      </c>
      <c r="F188" t="s">
        <v>27</v>
      </c>
      <c r="G188" t="s">
        <v>85</v>
      </c>
      <c r="H188" t="s">
        <v>125</v>
      </c>
      <c r="I188">
        <v>4</v>
      </c>
      <c r="J188">
        <v>600</v>
      </c>
      <c r="K188">
        <v>0</v>
      </c>
      <c r="L188">
        <v>2400</v>
      </c>
      <c r="M188">
        <v>1320</v>
      </c>
      <c r="N188">
        <v>1080</v>
      </c>
    </row>
    <row r="189" spans="1:14" x14ac:dyDescent="0.35">
      <c r="A189" t="s">
        <v>440</v>
      </c>
      <c r="B189" t="s">
        <v>439</v>
      </c>
      <c r="C189" t="s">
        <v>441</v>
      </c>
      <c r="D189" t="s">
        <v>54</v>
      </c>
      <c r="E189" t="s">
        <v>116</v>
      </c>
      <c r="F189" t="s">
        <v>45</v>
      </c>
      <c r="G189" t="s">
        <v>46</v>
      </c>
      <c r="H189" t="s">
        <v>39</v>
      </c>
      <c r="I189">
        <v>5</v>
      </c>
      <c r="J189">
        <v>450</v>
      </c>
      <c r="K189">
        <v>0</v>
      </c>
      <c r="L189">
        <v>2250</v>
      </c>
      <c r="M189">
        <v>1250</v>
      </c>
      <c r="N189">
        <v>1000</v>
      </c>
    </row>
    <row r="190" spans="1:14" x14ac:dyDescent="0.35">
      <c r="A190" t="s">
        <v>442</v>
      </c>
      <c r="B190" t="s">
        <v>443</v>
      </c>
      <c r="C190" t="s">
        <v>444</v>
      </c>
      <c r="D190" t="s">
        <v>17</v>
      </c>
      <c r="E190" t="s">
        <v>50</v>
      </c>
      <c r="F190" t="s">
        <v>37</v>
      </c>
      <c r="G190" t="s">
        <v>140</v>
      </c>
      <c r="H190" t="s">
        <v>33</v>
      </c>
      <c r="I190">
        <v>2</v>
      </c>
      <c r="J190">
        <v>650</v>
      </c>
      <c r="K190">
        <v>0</v>
      </c>
      <c r="L190">
        <v>1300</v>
      </c>
      <c r="M190">
        <v>760</v>
      </c>
      <c r="N190">
        <v>540</v>
      </c>
    </row>
    <row r="191" spans="1:14" x14ac:dyDescent="0.35">
      <c r="A191" t="s">
        <v>445</v>
      </c>
      <c r="B191" t="s">
        <v>443</v>
      </c>
      <c r="C191" t="s">
        <v>446</v>
      </c>
      <c r="D191" t="s">
        <v>17</v>
      </c>
      <c r="E191" t="s">
        <v>124</v>
      </c>
      <c r="F191" t="s">
        <v>27</v>
      </c>
      <c r="G191" t="s">
        <v>28</v>
      </c>
      <c r="H191" t="s">
        <v>47</v>
      </c>
      <c r="I191">
        <v>9</v>
      </c>
      <c r="J191">
        <v>1200</v>
      </c>
      <c r="K191">
        <v>0.1</v>
      </c>
      <c r="L191">
        <v>9720</v>
      </c>
      <c r="M191">
        <v>6480</v>
      </c>
      <c r="N191">
        <v>3240</v>
      </c>
    </row>
    <row r="192" spans="1:14" x14ac:dyDescent="0.35">
      <c r="A192" t="s">
        <v>447</v>
      </c>
      <c r="B192" t="s">
        <v>443</v>
      </c>
      <c r="C192" t="s">
        <v>448</v>
      </c>
      <c r="D192" t="s">
        <v>17</v>
      </c>
      <c r="E192" t="s">
        <v>65</v>
      </c>
      <c r="F192" t="s">
        <v>27</v>
      </c>
      <c r="G192" t="s">
        <v>85</v>
      </c>
      <c r="H192" t="s">
        <v>47</v>
      </c>
      <c r="I192">
        <v>4</v>
      </c>
      <c r="J192">
        <v>2200</v>
      </c>
      <c r="K192">
        <v>0</v>
      </c>
      <c r="L192">
        <v>8800</v>
      </c>
      <c r="M192">
        <v>5600</v>
      </c>
      <c r="N192">
        <v>3200</v>
      </c>
    </row>
    <row r="193" spans="1:14" x14ac:dyDescent="0.35">
      <c r="A193" t="s">
        <v>449</v>
      </c>
      <c r="B193" t="s">
        <v>443</v>
      </c>
      <c r="C193" t="s">
        <v>450</v>
      </c>
      <c r="D193" t="s">
        <v>25</v>
      </c>
      <c r="E193" t="s">
        <v>26</v>
      </c>
      <c r="F193" t="s">
        <v>45</v>
      </c>
      <c r="G193" t="s">
        <v>122</v>
      </c>
      <c r="H193" t="s">
        <v>29</v>
      </c>
      <c r="I193">
        <v>6</v>
      </c>
      <c r="J193">
        <v>600</v>
      </c>
      <c r="K193">
        <v>0</v>
      </c>
      <c r="L193">
        <v>3600</v>
      </c>
      <c r="M193">
        <v>1980</v>
      </c>
      <c r="N193">
        <v>1620</v>
      </c>
    </row>
    <row r="194" spans="1:14" x14ac:dyDescent="0.35">
      <c r="A194" t="s">
        <v>451</v>
      </c>
      <c r="B194" t="s">
        <v>443</v>
      </c>
      <c r="C194" t="s">
        <v>452</v>
      </c>
      <c r="D194" t="s">
        <v>43</v>
      </c>
      <c r="E194" t="s">
        <v>143</v>
      </c>
      <c r="F194" t="s">
        <v>45</v>
      </c>
      <c r="G194" t="s">
        <v>46</v>
      </c>
      <c r="H194" t="s">
        <v>47</v>
      </c>
      <c r="I194">
        <v>8</v>
      </c>
      <c r="J194">
        <v>650</v>
      </c>
      <c r="K194">
        <v>0.05</v>
      </c>
      <c r="L194">
        <v>4940</v>
      </c>
      <c r="M194">
        <v>2800</v>
      </c>
      <c r="N194">
        <v>2140</v>
      </c>
    </row>
    <row r="195" spans="1:14" x14ac:dyDescent="0.35">
      <c r="A195" t="s">
        <v>453</v>
      </c>
      <c r="B195" t="s">
        <v>454</v>
      </c>
      <c r="C195" t="s">
        <v>455</v>
      </c>
      <c r="D195" t="s">
        <v>43</v>
      </c>
      <c r="E195" t="s">
        <v>169</v>
      </c>
      <c r="F195" t="s">
        <v>45</v>
      </c>
      <c r="G195" t="s">
        <v>104</v>
      </c>
      <c r="H195" t="s">
        <v>47</v>
      </c>
      <c r="I195">
        <v>10</v>
      </c>
      <c r="J195">
        <v>350</v>
      </c>
      <c r="K195">
        <v>0.05</v>
      </c>
      <c r="L195">
        <v>3325</v>
      </c>
      <c r="M195">
        <v>1700</v>
      </c>
      <c r="N195">
        <v>1625</v>
      </c>
    </row>
    <row r="196" spans="1:14" x14ac:dyDescent="0.35">
      <c r="A196" t="s">
        <v>456</v>
      </c>
      <c r="B196" t="s">
        <v>454</v>
      </c>
      <c r="C196" t="s">
        <v>457</v>
      </c>
      <c r="D196" t="s">
        <v>17</v>
      </c>
      <c r="E196" t="s">
        <v>18</v>
      </c>
      <c r="F196" t="s">
        <v>37</v>
      </c>
      <c r="G196" t="s">
        <v>38</v>
      </c>
      <c r="H196" t="s">
        <v>47</v>
      </c>
      <c r="I196">
        <v>6</v>
      </c>
      <c r="J196">
        <v>1800</v>
      </c>
      <c r="K196">
        <v>0.05</v>
      </c>
      <c r="L196">
        <v>10260</v>
      </c>
      <c r="M196">
        <v>6600</v>
      </c>
      <c r="N196">
        <v>3660</v>
      </c>
    </row>
    <row r="197" spans="1:14" x14ac:dyDescent="0.35">
      <c r="A197" t="s">
        <v>458</v>
      </c>
      <c r="B197" t="s">
        <v>454</v>
      </c>
      <c r="C197" t="s">
        <v>358</v>
      </c>
      <c r="D197" t="s">
        <v>43</v>
      </c>
      <c r="E197" t="s">
        <v>44</v>
      </c>
      <c r="F197" t="s">
        <v>27</v>
      </c>
      <c r="G197" t="s">
        <v>28</v>
      </c>
      <c r="H197" t="s">
        <v>125</v>
      </c>
      <c r="I197">
        <v>5</v>
      </c>
      <c r="J197">
        <v>2200</v>
      </c>
      <c r="K197">
        <v>0</v>
      </c>
      <c r="L197">
        <v>11000</v>
      </c>
      <c r="M197">
        <v>7250</v>
      </c>
      <c r="N197">
        <v>3750</v>
      </c>
    </row>
    <row r="198" spans="1:14" x14ac:dyDescent="0.35">
      <c r="A198" t="s">
        <v>459</v>
      </c>
      <c r="B198" t="s">
        <v>454</v>
      </c>
      <c r="C198" t="s">
        <v>222</v>
      </c>
      <c r="D198" t="s">
        <v>17</v>
      </c>
      <c r="E198" t="s">
        <v>65</v>
      </c>
      <c r="F198" t="s">
        <v>45</v>
      </c>
      <c r="G198" t="s">
        <v>122</v>
      </c>
      <c r="H198" t="s">
        <v>33</v>
      </c>
      <c r="I198">
        <v>7</v>
      </c>
      <c r="J198">
        <v>2200</v>
      </c>
      <c r="K198">
        <v>0</v>
      </c>
      <c r="L198">
        <v>15400</v>
      </c>
      <c r="M198">
        <v>9800</v>
      </c>
      <c r="N198">
        <v>5600</v>
      </c>
    </row>
    <row r="199" spans="1:14" x14ac:dyDescent="0.35">
      <c r="A199" t="s">
        <v>460</v>
      </c>
      <c r="B199" t="s">
        <v>461</v>
      </c>
      <c r="C199" t="s">
        <v>390</v>
      </c>
      <c r="D199" t="s">
        <v>17</v>
      </c>
      <c r="E199" t="s">
        <v>32</v>
      </c>
      <c r="F199" t="s">
        <v>19</v>
      </c>
      <c r="G199" t="s">
        <v>56</v>
      </c>
      <c r="H199" t="s">
        <v>21</v>
      </c>
      <c r="I199">
        <v>6</v>
      </c>
      <c r="J199">
        <v>1500</v>
      </c>
      <c r="K199">
        <v>0</v>
      </c>
      <c r="L199">
        <v>9000</v>
      </c>
      <c r="M199">
        <v>5400</v>
      </c>
      <c r="N199">
        <v>3600</v>
      </c>
    </row>
    <row r="200" spans="1:14" x14ac:dyDescent="0.35">
      <c r="A200" t="s">
        <v>462</v>
      </c>
      <c r="B200" t="s">
        <v>461</v>
      </c>
      <c r="C200" t="s">
        <v>152</v>
      </c>
      <c r="D200" t="s">
        <v>17</v>
      </c>
      <c r="E200" t="s">
        <v>124</v>
      </c>
      <c r="F200" t="s">
        <v>45</v>
      </c>
      <c r="G200" t="s">
        <v>104</v>
      </c>
      <c r="H200" t="s">
        <v>125</v>
      </c>
      <c r="I200">
        <v>6</v>
      </c>
      <c r="J200">
        <v>1200</v>
      </c>
      <c r="K200">
        <v>0.05</v>
      </c>
      <c r="L200">
        <v>6840</v>
      </c>
      <c r="M200">
        <v>4320</v>
      </c>
      <c r="N200">
        <v>2520</v>
      </c>
    </row>
    <row r="201" spans="1:14" x14ac:dyDescent="0.35">
      <c r="A201" t="s">
        <v>463</v>
      </c>
      <c r="B201" t="s">
        <v>461</v>
      </c>
      <c r="C201" t="s">
        <v>464</v>
      </c>
      <c r="D201" t="s">
        <v>25</v>
      </c>
      <c r="E201" t="s">
        <v>69</v>
      </c>
      <c r="F201" t="s">
        <v>37</v>
      </c>
      <c r="G201" t="s">
        <v>38</v>
      </c>
      <c r="H201" t="s">
        <v>29</v>
      </c>
      <c r="I201">
        <v>2</v>
      </c>
      <c r="J201">
        <v>350</v>
      </c>
      <c r="K201">
        <v>0</v>
      </c>
      <c r="L201">
        <v>700</v>
      </c>
      <c r="M201">
        <v>360</v>
      </c>
      <c r="N201">
        <v>340</v>
      </c>
    </row>
    <row r="202" spans="1:14" x14ac:dyDescent="0.35">
      <c r="A202" t="s">
        <v>465</v>
      </c>
      <c r="B202" t="s">
        <v>466</v>
      </c>
      <c r="C202" t="s">
        <v>96</v>
      </c>
      <c r="D202" t="s">
        <v>54</v>
      </c>
      <c r="E202" t="s">
        <v>107</v>
      </c>
      <c r="F202" t="s">
        <v>45</v>
      </c>
      <c r="G202" t="s">
        <v>104</v>
      </c>
      <c r="H202" t="s">
        <v>33</v>
      </c>
      <c r="I202">
        <v>2</v>
      </c>
      <c r="J202">
        <v>120</v>
      </c>
      <c r="K202">
        <v>0</v>
      </c>
      <c r="L202">
        <v>240</v>
      </c>
      <c r="M202">
        <v>110</v>
      </c>
      <c r="N202">
        <v>130</v>
      </c>
    </row>
    <row r="203" spans="1:14" x14ac:dyDescent="0.35">
      <c r="A203" t="s">
        <v>467</v>
      </c>
      <c r="B203" t="s">
        <v>466</v>
      </c>
      <c r="C203" t="s">
        <v>53</v>
      </c>
      <c r="D203" t="s">
        <v>54</v>
      </c>
      <c r="E203" t="s">
        <v>110</v>
      </c>
      <c r="F203" t="s">
        <v>37</v>
      </c>
      <c r="G203" t="s">
        <v>38</v>
      </c>
      <c r="H203" t="s">
        <v>33</v>
      </c>
      <c r="I203">
        <v>7</v>
      </c>
      <c r="J203">
        <v>280</v>
      </c>
      <c r="K203">
        <v>0.1</v>
      </c>
      <c r="L203">
        <v>1764</v>
      </c>
      <c r="M203">
        <v>1050</v>
      </c>
      <c r="N203">
        <v>714</v>
      </c>
    </row>
    <row r="204" spans="1:14" x14ac:dyDescent="0.35">
      <c r="A204" t="s">
        <v>468</v>
      </c>
      <c r="B204" t="s">
        <v>466</v>
      </c>
      <c r="C204" t="s">
        <v>287</v>
      </c>
      <c r="D204" t="s">
        <v>17</v>
      </c>
      <c r="E204" t="s">
        <v>124</v>
      </c>
      <c r="F204" t="s">
        <v>37</v>
      </c>
      <c r="G204" t="s">
        <v>73</v>
      </c>
      <c r="H204" t="s">
        <v>33</v>
      </c>
      <c r="I204">
        <v>9</v>
      </c>
      <c r="J204">
        <v>1200</v>
      </c>
      <c r="K204">
        <v>0</v>
      </c>
      <c r="L204">
        <v>10800</v>
      </c>
      <c r="M204">
        <v>6480</v>
      </c>
      <c r="N204">
        <v>4320</v>
      </c>
    </row>
    <row r="205" spans="1:14" x14ac:dyDescent="0.35">
      <c r="A205" t="s">
        <v>469</v>
      </c>
      <c r="B205" t="s">
        <v>466</v>
      </c>
      <c r="C205" t="s">
        <v>457</v>
      </c>
      <c r="D205" t="s">
        <v>25</v>
      </c>
      <c r="E205" t="s">
        <v>36</v>
      </c>
      <c r="F205" t="s">
        <v>27</v>
      </c>
      <c r="G205" t="s">
        <v>90</v>
      </c>
      <c r="H205" t="s">
        <v>47</v>
      </c>
      <c r="I205">
        <v>5</v>
      </c>
      <c r="J205">
        <v>700</v>
      </c>
      <c r="K205">
        <v>0</v>
      </c>
      <c r="L205">
        <v>3500</v>
      </c>
      <c r="M205">
        <v>2000</v>
      </c>
      <c r="N205">
        <v>1500</v>
      </c>
    </row>
    <row r="206" spans="1:14" x14ac:dyDescent="0.35">
      <c r="A206" t="s">
        <v>470</v>
      </c>
      <c r="B206" t="s">
        <v>471</v>
      </c>
      <c r="C206" t="s">
        <v>306</v>
      </c>
      <c r="D206" t="s">
        <v>25</v>
      </c>
      <c r="E206" t="s">
        <v>36</v>
      </c>
      <c r="F206" t="s">
        <v>45</v>
      </c>
      <c r="G206" t="s">
        <v>122</v>
      </c>
      <c r="H206" t="s">
        <v>29</v>
      </c>
      <c r="I206">
        <v>8</v>
      </c>
      <c r="J206">
        <v>700</v>
      </c>
      <c r="K206">
        <v>0</v>
      </c>
      <c r="L206">
        <v>5600</v>
      </c>
      <c r="M206">
        <v>3200</v>
      </c>
      <c r="N206">
        <v>2400</v>
      </c>
    </row>
    <row r="207" spans="1:14" x14ac:dyDescent="0.35">
      <c r="A207" t="s">
        <v>472</v>
      </c>
      <c r="B207" t="s">
        <v>471</v>
      </c>
      <c r="C207" t="s">
        <v>473</v>
      </c>
      <c r="D207" t="s">
        <v>17</v>
      </c>
      <c r="E207" t="s">
        <v>50</v>
      </c>
      <c r="F207" t="s">
        <v>19</v>
      </c>
      <c r="G207" t="s">
        <v>215</v>
      </c>
      <c r="H207" t="s">
        <v>29</v>
      </c>
      <c r="I207">
        <v>8</v>
      </c>
      <c r="J207">
        <v>650</v>
      </c>
      <c r="K207">
        <v>0</v>
      </c>
      <c r="L207">
        <v>5200</v>
      </c>
      <c r="M207">
        <v>3040</v>
      </c>
      <c r="N207">
        <v>2160</v>
      </c>
    </row>
    <row r="208" spans="1:14" x14ac:dyDescent="0.35">
      <c r="A208" t="s">
        <v>474</v>
      </c>
      <c r="B208" t="s">
        <v>475</v>
      </c>
      <c r="C208" t="s">
        <v>294</v>
      </c>
      <c r="D208" t="s">
        <v>54</v>
      </c>
      <c r="E208" t="s">
        <v>107</v>
      </c>
      <c r="F208" t="s">
        <v>27</v>
      </c>
      <c r="G208" t="s">
        <v>28</v>
      </c>
      <c r="H208" t="s">
        <v>33</v>
      </c>
      <c r="I208">
        <v>2</v>
      </c>
      <c r="J208">
        <v>120</v>
      </c>
      <c r="K208">
        <v>0</v>
      </c>
      <c r="L208">
        <v>240</v>
      </c>
      <c r="M208">
        <v>110</v>
      </c>
      <c r="N208">
        <v>130</v>
      </c>
    </row>
    <row r="209" spans="1:14" x14ac:dyDescent="0.35">
      <c r="A209" t="s">
        <v>476</v>
      </c>
      <c r="B209" t="s">
        <v>475</v>
      </c>
      <c r="C209" t="s">
        <v>477</v>
      </c>
      <c r="D209" t="s">
        <v>54</v>
      </c>
      <c r="E209" t="s">
        <v>110</v>
      </c>
      <c r="F209" t="s">
        <v>37</v>
      </c>
      <c r="G209" t="s">
        <v>97</v>
      </c>
      <c r="H209" t="s">
        <v>33</v>
      </c>
      <c r="I209">
        <v>1</v>
      </c>
      <c r="J209">
        <v>280</v>
      </c>
      <c r="K209">
        <v>0</v>
      </c>
      <c r="L209">
        <v>280</v>
      </c>
      <c r="M209">
        <v>150</v>
      </c>
      <c r="N209">
        <v>130</v>
      </c>
    </row>
    <row r="210" spans="1:14" x14ac:dyDescent="0.35">
      <c r="A210" t="s">
        <v>478</v>
      </c>
      <c r="B210" t="s">
        <v>475</v>
      </c>
      <c r="C210" t="s">
        <v>88</v>
      </c>
      <c r="D210" t="s">
        <v>25</v>
      </c>
      <c r="E210" t="s">
        <v>89</v>
      </c>
      <c r="F210" t="s">
        <v>19</v>
      </c>
      <c r="G210" t="s">
        <v>113</v>
      </c>
      <c r="H210" t="s">
        <v>33</v>
      </c>
      <c r="I210">
        <v>9</v>
      </c>
      <c r="J210">
        <v>550</v>
      </c>
      <c r="K210">
        <v>0.15</v>
      </c>
      <c r="L210">
        <v>4207.5</v>
      </c>
      <c r="M210">
        <v>2700</v>
      </c>
      <c r="N210">
        <v>1507.5</v>
      </c>
    </row>
    <row r="211" spans="1:14" x14ac:dyDescent="0.35">
      <c r="A211" t="s">
        <v>479</v>
      </c>
      <c r="B211" t="s">
        <v>480</v>
      </c>
      <c r="C211" t="s">
        <v>96</v>
      </c>
      <c r="D211" t="s">
        <v>17</v>
      </c>
      <c r="E211" t="s">
        <v>32</v>
      </c>
      <c r="F211" t="s">
        <v>45</v>
      </c>
      <c r="G211" t="s">
        <v>122</v>
      </c>
      <c r="H211" t="s">
        <v>33</v>
      </c>
      <c r="I211">
        <v>2</v>
      </c>
      <c r="J211">
        <v>1500</v>
      </c>
      <c r="K211">
        <v>0.1</v>
      </c>
      <c r="L211">
        <v>2700</v>
      </c>
      <c r="M211">
        <v>1800</v>
      </c>
      <c r="N211">
        <v>900</v>
      </c>
    </row>
    <row r="212" spans="1:14" x14ac:dyDescent="0.35">
      <c r="A212" t="s">
        <v>481</v>
      </c>
      <c r="B212" t="s">
        <v>482</v>
      </c>
      <c r="C212" t="s">
        <v>205</v>
      </c>
      <c r="D212" t="s">
        <v>43</v>
      </c>
      <c r="E212" t="s">
        <v>143</v>
      </c>
      <c r="F212" t="s">
        <v>27</v>
      </c>
      <c r="G212" t="s">
        <v>90</v>
      </c>
      <c r="H212" t="s">
        <v>21</v>
      </c>
      <c r="I212">
        <v>6</v>
      </c>
      <c r="J212">
        <v>650</v>
      </c>
      <c r="K212">
        <v>0.05</v>
      </c>
      <c r="L212">
        <v>3705</v>
      </c>
      <c r="M212">
        <v>2100</v>
      </c>
      <c r="N212">
        <v>1605</v>
      </c>
    </row>
    <row r="213" spans="1:14" x14ac:dyDescent="0.35">
      <c r="A213" t="s">
        <v>483</v>
      </c>
      <c r="B213" t="s">
        <v>482</v>
      </c>
      <c r="C213" t="s">
        <v>189</v>
      </c>
      <c r="D213" t="s">
        <v>43</v>
      </c>
      <c r="E213" t="s">
        <v>143</v>
      </c>
      <c r="F213" t="s">
        <v>19</v>
      </c>
      <c r="G213" t="s">
        <v>215</v>
      </c>
      <c r="H213" t="s">
        <v>47</v>
      </c>
      <c r="I213">
        <v>9</v>
      </c>
      <c r="J213">
        <v>650</v>
      </c>
      <c r="K213">
        <v>0.05</v>
      </c>
      <c r="L213">
        <v>5557.5</v>
      </c>
      <c r="M213">
        <v>3150</v>
      </c>
      <c r="N213">
        <v>2407.5</v>
      </c>
    </row>
    <row r="214" spans="1:14" x14ac:dyDescent="0.35">
      <c r="A214" t="s">
        <v>484</v>
      </c>
      <c r="B214" t="s">
        <v>482</v>
      </c>
      <c r="C214" t="s">
        <v>485</v>
      </c>
      <c r="D214" t="s">
        <v>17</v>
      </c>
      <c r="E214" t="s">
        <v>65</v>
      </c>
      <c r="F214" t="s">
        <v>37</v>
      </c>
      <c r="G214" t="s">
        <v>97</v>
      </c>
      <c r="H214" t="s">
        <v>39</v>
      </c>
      <c r="I214">
        <v>4</v>
      </c>
      <c r="J214">
        <v>2200</v>
      </c>
      <c r="K214">
        <v>0.05</v>
      </c>
      <c r="L214">
        <v>8360</v>
      </c>
      <c r="M214">
        <v>5600</v>
      </c>
      <c r="N214">
        <v>2760</v>
      </c>
    </row>
    <row r="215" spans="1:14" x14ac:dyDescent="0.35">
      <c r="A215" t="s">
        <v>486</v>
      </c>
      <c r="B215" t="s">
        <v>487</v>
      </c>
      <c r="C215" t="s">
        <v>189</v>
      </c>
      <c r="D215" t="s">
        <v>25</v>
      </c>
      <c r="E215" t="s">
        <v>36</v>
      </c>
      <c r="F215" t="s">
        <v>19</v>
      </c>
      <c r="G215" t="s">
        <v>20</v>
      </c>
      <c r="H215" t="s">
        <v>125</v>
      </c>
      <c r="I215">
        <v>7</v>
      </c>
      <c r="J215">
        <v>700</v>
      </c>
      <c r="K215">
        <v>0.1</v>
      </c>
      <c r="L215">
        <v>4410</v>
      </c>
      <c r="M215">
        <v>2800</v>
      </c>
      <c r="N215">
        <v>1610</v>
      </c>
    </row>
    <row r="216" spans="1:14" x14ac:dyDescent="0.35">
      <c r="A216" t="s">
        <v>488</v>
      </c>
      <c r="B216" t="s">
        <v>489</v>
      </c>
      <c r="C216" t="s">
        <v>217</v>
      </c>
      <c r="D216" t="s">
        <v>43</v>
      </c>
      <c r="E216" t="s">
        <v>250</v>
      </c>
      <c r="F216" t="s">
        <v>27</v>
      </c>
      <c r="G216" t="s">
        <v>51</v>
      </c>
      <c r="H216" t="s">
        <v>39</v>
      </c>
      <c r="I216">
        <v>8</v>
      </c>
      <c r="J216">
        <v>900</v>
      </c>
      <c r="K216">
        <v>0</v>
      </c>
      <c r="L216">
        <v>7200</v>
      </c>
      <c r="M216">
        <v>4160</v>
      </c>
      <c r="N216">
        <v>3040</v>
      </c>
    </row>
    <row r="217" spans="1:14" x14ac:dyDescent="0.35">
      <c r="A217" t="s">
        <v>490</v>
      </c>
      <c r="B217" t="s">
        <v>489</v>
      </c>
      <c r="C217" t="s">
        <v>446</v>
      </c>
      <c r="D217" t="s">
        <v>17</v>
      </c>
      <c r="E217" t="s">
        <v>124</v>
      </c>
      <c r="F217" t="s">
        <v>37</v>
      </c>
      <c r="G217" t="s">
        <v>38</v>
      </c>
      <c r="H217" t="s">
        <v>125</v>
      </c>
      <c r="I217">
        <v>6</v>
      </c>
      <c r="J217">
        <v>1200</v>
      </c>
      <c r="K217">
        <v>0.05</v>
      </c>
      <c r="L217">
        <v>6840</v>
      </c>
      <c r="M217">
        <v>4320</v>
      </c>
      <c r="N217">
        <v>2520</v>
      </c>
    </row>
    <row r="218" spans="1:14" x14ac:dyDescent="0.35">
      <c r="A218" t="s">
        <v>491</v>
      </c>
      <c r="B218" t="s">
        <v>489</v>
      </c>
      <c r="C218" t="s">
        <v>119</v>
      </c>
      <c r="D218" t="s">
        <v>17</v>
      </c>
      <c r="E218" t="s">
        <v>18</v>
      </c>
      <c r="F218" t="s">
        <v>37</v>
      </c>
      <c r="G218" t="s">
        <v>73</v>
      </c>
      <c r="H218" t="s">
        <v>21</v>
      </c>
      <c r="I218">
        <v>7</v>
      </c>
      <c r="J218">
        <v>1800</v>
      </c>
      <c r="K218">
        <v>0</v>
      </c>
      <c r="L218">
        <v>12600</v>
      </c>
      <c r="M218">
        <v>7700</v>
      </c>
      <c r="N218">
        <v>4900</v>
      </c>
    </row>
    <row r="219" spans="1:14" x14ac:dyDescent="0.35">
      <c r="A219" t="s">
        <v>492</v>
      </c>
      <c r="B219" t="s">
        <v>493</v>
      </c>
      <c r="C219" t="s">
        <v>494</v>
      </c>
      <c r="D219" t="s">
        <v>43</v>
      </c>
      <c r="E219" t="s">
        <v>44</v>
      </c>
      <c r="F219" t="s">
        <v>27</v>
      </c>
      <c r="G219" t="s">
        <v>85</v>
      </c>
      <c r="H219" t="s">
        <v>125</v>
      </c>
      <c r="I219">
        <v>3</v>
      </c>
      <c r="J219">
        <v>2200</v>
      </c>
      <c r="K219">
        <v>0.1</v>
      </c>
      <c r="L219">
        <v>5940</v>
      </c>
      <c r="M219">
        <v>4350</v>
      </c>
      <c r="N219">
        <v>1590</v>
      </c>
    </row>
    <row r="220" spans="1:14" x14ac:dyDescent="0.35">
      <c r="A220" t="s">
        <v>495</v>
      </c>
      <c r="B220" t="s">
        <v>493</v>
      </c>
      <c r="C220" t="s">
        <v>53</v>
      </c>
      <c r="D220" t="s">
        <v>25</v>
      </c>
      <c r="E220" t="s">
        <v>36</v>
      </c>
      <c r="F220" t="s">
        <v>27</v>
      </c>
      <c r="G220" t="s">
        <v>51</v>
      </c>
      <c r="H220" t="s">
        <v>39</v>
      </c>
      <c r="I220">
        <v>2</v>
      </c>
      <c r="J220">
        <v>700</v>
      </c>
      <c r="K220">
        <v>0</v>
      </c>
      <c r="L220">
        <v>1400</v>
      </c>
      <c r="M220">
        <v>800</v>
      </c>
      <c r="N220">
        <v>600</v>
      </c>
    </row>
    <row r="221" spans="1:14" x14ac:dyDescent="0.35">
      <c r="A221" t="s">
        <v>496</v>
      </c>
      <c r="B221" t="s">
        <v>493</v>
      </c>
      <c r="C221" t="s">
        <v>348</v>
      </c>
      <c r="D221" t="s">
        <v>43</v>
      </c>
      <c r="E221" t="s">
        <v>143</v>
      </c>
      <c r="F221" t="s">
        <v>27</v>
      </c>
      <c r="G221" t="s">
        <v>90</v>
      </c>
      <c r="H221" t="s">
        <v>39</v>
      </c>
      <c r="I221">
        <v>1</v>
      </c>
      <c r="J221">
        <v>650</v>
      </c>
      <c r="K221">
        <v>0</v>
      </c>
      <c r="L221">
        <v>650</v>
      </c>
      <c r="M221">
        <v>350</v>
      </c>
      <c r="N221">
        <v>300</v>
      </c>
    </row>
    <row r="222" spans="1:14" x14ac:dyDescent="0.35">
      <c r="A222" t="s">
        <v>497</v>
      </c>
      <c r="B222" t="s">
        <v>493</v>
      </c>
      <c r="C222" t="s">
        <v>112</v>
      </c>
      <c r="D222" t="s">
        <v>43</v>
      </c>
      <c r="E222" t="s">
        <v>250</v>
      </c>
      <c r="F222" t="s">
        <v>27</v>
      </c>
      <c r="G222" t="s">
        <v>51</v>
      </c>
      <c r="H222" t="s">
        <v>47</v>
      </c>
      <c r="I222">
        <v>10</v>
      </c>
      <c r="J222">
        <v>900</v>
      </c>
      <c r="K222">
        <v>0</v>
      </c>
      <c r="L222">
        <v>9000</v>
      </c>
      <c r="M222">
        <v>5200</v>
      </c>
      <c r="N222">
        <v>3800</v>
      </c>
    </row>
    <row r="223" spans="1:14" x14ac:dyDescent="0.35">
      <c r="A223" t="s">
        <v>498</v>
      </c>
      <c r="B223" t="s">
        <v>493</v>
      </c>
      <c r="C223" t="s">
        <v>16</v>
      </c>
      <c r="D223" t="s">
        <v>43</v>
      </c>
      <c r="E223" t="s">
        <v>62</v>
      </c>
      <c r="F223" t="s">
        <v>37</v>
      </c>
      <c r="G223" t="s">
        <v>73</v>
      </c>
      <c r="H223" t="s">
        <v>125</v>
      </c>
      <c r="I223">
        <v>9</v>
      </c>
      <c r="J223">
        <v>500</v>
      </c>
      <c r="K223">
        <v>0</v>
      </c>
      <c r="L223">
        <v>4500</v>
      </c>
      <c r="M223">
        <v>2520</v>
      </c>
      <c r="N223">
        <v>1980</v>
      </c>
    </row>
    <row r="224" spans="1:14" x14ac:dyDescent="0.35">
      <c r="A224" t="s">
        <v>499</v>
      </c>
      <c r="B224" t="s">
        <v>493</v>
      </c>
      <c r="C224" t="s">
        <v>252</v>
      </c>
      <c r="D224" t="s">
        <v>17</v>
      </c>
      <c r="E224" t="s">
        <v>65</v>
      </c>
      <c r="F224" t="s">
        <v>45</v>
      </c>
      <c r="G224" t="s">
        <v>46</v>
      </c>
      <c r="H224" t="s">
        <v>29</v>
      </c>
      <c r="I224">
        <v>2</v>
      </c>
      <c r="J224">
        <v>2200</v>
      </c>
      <c r="K224">
        <v>0.05</v>
      </c>
      <c r="L224">
        <v>4180</v>
      </c>
      <c r="M224">
        <v>2800</v>
      </c>
      <c r="N224">
        <v>1380</v>
      </c>
    </row>
    <row r="225" spans="1:14" x14ac:dyDescent="0.35">
      <c r="A225" t="s">
        <v>500</v>
      </c>
      <c r="B225" t="s">
        <v>501</v>
      </c>
      <c r="C225" t="s">
        <v>318</v>
      </c>
      <c r="D225" t="s">
        <v>17</v>
      </c>
      <c r="E225" t="s">
        <v>18</v>
      </c>
      <c r="F225" t="s">
        <v>45</v>
      </c>
      <c r="G225" t="s">
        <v>104</v>
      </c>
      <c r="H225" t="s">
        <v>39</v>
      </c>
      <c r="I225">
        <v>8</v>
      </c>
      <c r="J225">
        <v>1800</v>
      </c>
      <c r="K225">
        <v>0</v>
      </c>
      <c r="L225">
        <v>14400</v>
      </c>
      <c r="M225">
        <v>8800</v>
      </c>
      <c r="N225">
        <v>5600</v>
      </c>
    </row>
    <row r="226" spans="1:14" x14ac:dyDescent="0.35">
      <c r="A226" t="s">
        <v>502</v>
      </c>
      <c r="B226" t="s">
        <v>501</v>
      </c>
      <c r="C226" t="s">
        <v>390</v>
      </c>
      <c r="D226" t="s">
        <v>43</v>
      </c>
      <c r="E226" t="s">
        <v>250</v>
      </c>
      <c r="F226" t="s">
        <v>45</v>
      </c>
      <c r="G226" t="s">
        <v>104</v>
      </c>
      <c r="H226" t="s">
        <v>47</v>
      </c>
      <c r="I226">
        <v>1</v>
      </c>
      <c r="J226">
        <v>900</v>
      </c>
      <c r="K226">
        <v>0</v>
      </c>
      <c r="L226">
        <v>900</v>
      </c>
      <c r="M226">
        <v>520</v>
      </c>
      <c r="N226">
        <v>380</v>
      </c>
    </row>
    <row r="227" spans="1:14" x14ac:dyDescent="0.35">
      <c r="A227" t="s">
        <v>503</v>
      </c>
      <c r="B227" t="s">
        <v>501</v>
      </c>
      <c r="C227" t="s">
        <v>402</v>
      </c>
      <c r="D227" t="s">
        <v>25</v>
      </c>
      <c r="E227" t="s">
        <v>26</v>
      </c>
      <c r="F227" t="s">
        <v>37</v>
      </c>
      <c r="G227" t="s">
        <v>38</v>
      </c>
      <c r="H227" t="s">
        <v>39</v>
      </c>
      <c r="I227">
        <v>10</v>
      </c>
      <c r="J227">
        <v>600</v>
      </c>
      <c r="K227">
        <v>0.15</v>
      </c>
      <c r="L227">
        <v>5100</v>
      </c>
      <c r="M227">
        <v>3300</v>
      </c>
      <c r="N227">
        <v>1800</v>
      </c>
    </row>
    <row r="228" spans="1:14" x14ac:dyDescent="0.35">
      <c r="A228" t="s">
        <v>504</v>
      </c>
      <c r="B228" t="s">
        <v>505</v>
      </c>
      <c r="C228" t="s">
        <v>506</v>
      </c>
      <c r="D228" t="s">
        <v>25</v>
      </c>
      <c r="E228" t="s">
        <v>26</v>
      </c>
      <c r="F228" t="s">
        <v>45</v>
      </c>
      <c r="G228" t="s">
        <v>104</v>
      </c>
      <c r="H228" t="s">
        <v>47</v>
      </c>
      <c r="I228">
        <v>1</v>
      </c>
      <c r="J228">
        <v>600</v>
      </c>
      <c r="K228">
        <v>0</v>
      </c>
      <c r="L228">
        <v>600</v>
      </c>
      <c r="M228">
        <v>330</v>
      </c>
      <c r="N228">
        <v>270</v>
      </c>
    </row>
    <row r="229" spans="1:14" x14ac:dyDescent="0.35">
      <c r="A229" t="s">
        <v>507</v>
      </c>
      <c r="B229" t="s">
        <v>505</v>
      </c>
      <c r="C229" t="s">
        <v>352</v>
      </c>
      <c r="D229" t="s">
        <v>54</v>
      </c>
      <c r="E229" t="s">
        <v>103</v>
      </c>
      <c r="F229" t="s">
        <v>37</v>
      </c>
      <c r="G229" t="s">
        <v>38</v>
      </c>
      <c r="H229" t="s">
        <v>29</v>
      </c>
      <c r="I229">
        <v>8</v>
      </c>
      <c r="J229">
        <v>150</v>
      </c>
      <c r="K229">
        <v>0.05</v>
      </c>
      <c r="L229">
        <v>1140</v>
      </c>
      <c r="M229">
        <v>600</v>
      </c>
      <c r="N229">
        <v>540</v>
      </c>
    </row>
    <row r="230" spans="1:14" x14ac:dyDescent="0.35">
      <c r="A230" t="s">
        <v>508</v>
      </c>
      <c r="B230" t="s">
        <v>509</v>
      </c>
      <c r="C230" t="s">
        <v>207</v>
      </c>
      <c r="D230" t="s">
        <v>25</v>
      </c>
      <c r="E230" t="s">
        <v>36</v>
      </c>
      <c r="F230" t="s">
        <v>45</v>
      </c>
      <c r="G230" t="s">
        <v>104</v>
      </c>
      <c r="H230" t="s">
        <v>33</v>
      </c>
      <c r="I230">
        <v>9</v>
      </c>
      <c r="J230">
        <v>700</v>
      </c>
      <c r="K230">
        <v>0.05</v>
      </c>
      <c r="L230">
        <v>5985</v>
      </c>
      <c r="M230">
        <v>3600</v>
      </c>
      <c r="N230">
        <v>2385</v>
      </c>
    </row>
    <row r="231" spans="1:14" x14ac:dyDescent="0.35">
      <c r="A231" t="s">
        <v>510</v>
      </c>
      <c r="B231" t="s">
        <v>509</v>
      </c>
      <c r="C231" t="s">
        <v>339</v>
      </c>
      <c r="D231" t="s">
        <v>25</v>
      </c>
      <c r="E231" t="s">
        <v>69</v>
      </c>
      <c r="F231" t="s">
        <v>27</v>
      </c>
      <c r="G231" t="s">
        <v>51</v>
      </c>
      <c r="H231" t="s">
        <v>29</v>
      </c>
      <c r="I231">
        <v>3</v>
      </c>
      <c r="J231">
        <v>350</v>
      </c>
      <c r="K231">
        <v>0.05</v>
      </c>
      <c r="L231">
        <v>997.5</v>
      </c>
      <c r="M231">
        <v>540</v>
      </c>
      <c r="N231">
        <v>457.5</v>
      </c>
    </row>
    <row r="232" spans="1:14" x14ac:dyDescent="0.35">
      <c r="A232" t="s">
        <v>511</v>
      </c>
      <c r="B232" t="s">
        <v>509</v>
      </c>
      <c r="C232" t="s">
        <v>238</v>
      </c>
      <c r="D232" t="s">
        <v>17</v>
      </c>
      <c r="E232" t="s">
        <v>65</v>
      </c>
      <c r="F232" t="s">
        <v>27</v>
      </c>
      <c r="G232" t="s">
        <v>28</v>
      </c>
      <c r="H232" t="s">
        <v>125</v>
      </c>
      <c r="I232">
        <v>9</v>
      </c>
      <c r="J232">
        <v>2200</v>
      </c>
      <c r="K232">
        <v>0</v>
      </c>
      <c r="L232">
        <v>19800</v>
      </c>
      <c r="M232">
        <v>12600</v>
      </c>
      <c r="N232">
        <v>7200</v>
      </c>
    </row>
    <row r="233" spans="1:14" x14ac:dyDescent="0.35">
      <c r="A233" t="s">
        <v>512</v>
      </c>
      <c r="B233" t="s">
        <v>513</v>
      </c>
      <c r="C233" t="s">
        <v>339</v>
      </c>
      <c r="D233" t="s">
        <v>25</v>
      </c>
      <c r="E233" t="s">
        <v>36</v>
      </c>
      <c r="F233" t="s">
        <v>19</v>
      </c>
      <c r="G233" t="s">
        <v>20</v>
      </c>
      <c r="H233" t="s">
        <v>39</v>
      </c>
      <c r="I233">
        <v>9</v>
      </c>
      <c r="J233">
        <v>700</v>
      </c>
      <c r="K233">
        <v>0.1</v>
      </c>
      <c r="L233">
        <v>5670</v>
      </c>
      <c r="M233">
        <v>3600</v>
      </c>
      <c r="N233">
        <v>2070</v>
      </c>
    </row>
    <row r="234" spans="1:14" x14ac:dyDescent="0.35">
      <c r="A234" t="s">
        <v>514</v>
      </c>
      <c r="B234" t="s">
        <v>513</v>
      </c>
      <c r="C234" t="s">
        <v>350</v>
      </c>
      <c r="D234" t="s">
        <v>43</v>
      </c>
      <c r="E234" t="s">
        <v>62</v>
      </c>
      <c r="F234" t="s">
        <v>45</v>
      </c>
      <c r="G234" t="s">
        <v>122</v>
      </c>
      <c r="H234" t="s">
        <v>29</v>
      </c>
      <c r="I234">
        <v>10</v>
      </c>
      <c r="J234">
        <v>500</v>
      </c>
      <c r="K234">
        <v>0</v>
      </c>
      <c r="L234">
        <v>5000</v>
      </c>
      <c r="M234">
        <v>2800</v>
      </c>
      <c r="N234">
        <v>2200</v>
      </c>
    </row>
    <row r="235" spans="1:14" x14ac:dyDescent="0.35">
      <c r="A235" t="s">
        <v>515</v>
      </c>
      <c r="B235" t="s">
        <v>516</v>
      </c>
      <c r="C235" t="s">
        <v>517</v>
      </c>
      <c r="D235" t="s">
        <v>17</v>
      </c>
      <c r="E235" t="s">
        <v>65</v>
      </c>
      <c r="F235" t="s">
        <v>37</v>
      </c>
      <c r="G235" t="s">
        <v>73</v>
      </c>
      <c r="H235" t="s">
        <v>47</v>
      </c>
      <c r="I235">
        <v>7</v>
      </c>
      <c r="J235">
        <v>2200</v>
      </c>
      <c r="K235">
        <v>0</v>
      </c>
      <c r="L235">
        <v>15400</v>
      </c>
      <c r="M235">
        <v>9800</v>
      </c>
      <c r="N235">
        <v>5600</v>
      </c>
    </row>
    <row r="236" spans="1:14" x14ac:dyDescent="0.35">
      <c r="A236" t="s">
        <v>518</v>
      </c>
      <c r="B236" t="s">
        <v>516</v>
      </c>
      <c r="C236" t="s">
        <v>121</v>
      </c>
      <c r="D236" t="s">
        <v>54</v>
      </c>
      <c r="E236" t="s">
        <v>110</v>
      </c>
      <c r="F236" t="s">
        <v>27</v>
      </c>
      <c r="G236" t="s">
        <v>28</v>
      </c>
      <c r="H236" t="s">
        <v>21</v>
      </c>
      <c r="I236">
        <v>4</v>
      </c>
      <c r="J236">
        <v>280</v>
      </c>
      <c r="K236">
        <v>0</v>
      </c>
      <c r="L236">
        <v>1120</v>
      </c>
      <c r="M236">
        <v>600</v>
      </c>
      <c r="N236">
        <v>520</v>
      </c>
    </row>
    <row r="237" spans="1:14" x14ac:dyDescent="0.35">
      <c r="A237" t="s">
        <v>519</v>
      </c>
      <c r="B237" t="s">
        <v>520</v>
      </c>
      <c r="C237" t="s">
        <v>155</v>
      </c>
      <c r="D237" t="s">
        <v>43</v>
      </c>
      <c r="E237" t="s">
        <v>169</v>
      </c>
      <c r="F237" t="s">
        <v>19</v>
      </c>
      <c r="G237" t="s">
        <v>113</v>
      </c>
      <c r="H237" t="s">
        <v>21</v>
      </c>
      <c r="I237">
        <v>2</v>
      </c>
      <c r="J237">
        <v>350</v>
      </c>
      <c r="K237">
        <v>0</v>
      </c>
      <c r="L237">
        <v>700</v>
      </c>
      <c r="M237">
        <v>340</v>
      </c>
      <c r="N237">
        <v>360</v>
      </c>
    </row>
    <row r="238" spans="1:14" x14ac:dyDescent="0.35">
      <c r="A238" t="s">
        <v>521</v>
      </c>
      <c r="B238" t="s">
        <v>520</v>
      </c>
      <c r="C238" t="s">
        <v>211</v>
      </c>
      <c r="D238" t="s">
        <v>25</v>
      </c>
      <c r="E238" t="s">
        <v>36</v>
      </c>
      <c r="F238" t="s">
        <v>19</v>
      </c>
      <c r="G238" t="s">
        <v>56</v>
      </c>
      <c r="H238" t="s">
        <v>125</v>
      </c>
      <c r="I238">
        <v>7</v>
      </c>
      <c r="J238">
        <v>700</v>
      </c>
      <c r="K238">
        <v>0</v>
      </c>
      <c r="L238">
        <v>4900</v>
      </c>
      <c r="M238">
        <v>2800</v>
      </c>
      <c r="N238">
        <v>2100</v>
      </c>
    </row>
    <row r="239" spans="1:14" x14ac:dyDescent="0.35">
      <c r="A239" t="s">
        <v>522</v>
      </c>
      <c r="B239" t="s">
        <v>523</v>
      </c>
      <c r="C239" t="s">
        <v>217</v>
      </c>
      <c r="D239" t="s">
        <v>54</v>
      </c>
      <c r="E239" t="s">
        <v>103</v>
      </c>
      <c r="F239" t="s">
        <v>37</v>
      </c>
      <c r="G239" t="s">
        <v>140</v>
      </c>
      <c r="H239" t="s">
        <v>33</v>
      </c>
      <c r="I239">
        <v>10</v>
      </c>
      <c r="J239">
        <v>150</v>
      </c>
      <c r="K239">
        <v>0</v>
      </c>
      <c r="L239">
        <v>1500</v>
      </c>
      <c r="M239">
        <v>750</v>
      </c>
      <c r="N239">
        <v>750</v>
      </c>
    </row>
    <row r="240" spans="1:14" x14ac:dyDescent="0.35">
      <c r="A240" t="s">
        <v>524</v>
      </c>
      <c r="B240" t="s">
        <v>523</v>
      </c>
      <c r="C240" t="s">
        <v>355</v>
      </c>
      <c r="D240" t="s">
        <v>54</v>
      </c>
      <c r="E240" t="s">
        <v>110</v>
      </c>
      <c r="F240" t="s">
        <v>45</v>
      </c>
      <c r="G240" t="s">
        <v>70</v>
      </c>
      <c r="H240" t="s">
        <v>29</v>
      </c>
      <c r="I240">
        <v>5</v>
      </c>
      <c r="J240">
        <v>280</v>
      </c>
      <c r="K240">
        <v>0.05</v>
      </c>
      <c r="L240">
        <v>1330</v>
      </c>
      <c r="M240">
        <v>750</v>
      </c>
      <c r="N240">
        <v>580</v>
      </c>
    </row>
    <row r="241" spans="1:14" x14ac:dyDescent="0.35">
      <c r="A241" t="s">
        <v>525</v>
      </c>
      <c r="B241" t="s">
        <v>523</v>
      </c>
      <c r="C241" t="s">
        <v>248</v>
      </c>
      <c r="D241" t="s">
        <v>17</v>
      </c>
      <c r="E241" t="s">
        <v>18</v>
      </c>
      <c r="F241" t="s">
        <v>27</v>
      </c>
      <c r="G241" t="s">
        <v>51</v>
      </c>
      <c r="H241" t="s">
        <v>47</v>
      </c>
      <c r="I241">
        <v>8</v>
      </c>
      <c r="J241">
        <v>1800</v>
      </c>
      <c r="K241">
        <v>0.05</v>
      </c>
      <c r="L241">
        <v>13680</v>
      </c>
      <c r="M241">
        <v>8800</v>
      </c>
      <c r="N241">
        <v>4880</v>
      </c>
    </row>
    <row r="242" spans="1:14" x14ac:dyDescent="0.35">
      <c r="A242" t="s">
        <v>526</v>
      </c>
      <c r="B242" t="s">
        <v>523</v>
      </c>
      <c r="C242" t="s">
        <v>455</v>
      </c>
      <c r="D242" t="s">
        <v>25</v>
      </c>
      <c r="E242" t="s">
        <v>36</v>
      </c>
      <c r="F242" t="s">
        <v>37</v>
      </c>
      <c r="G242" t="s">
        <v>97</v>
      </c>
      <c r="H242" t="s">
        <v>125</v>
      </c>
      <c r="I242">
        <v>9</v>
      </c>
      <c r="J242">
        <v>700</v>
      </c>
      <c r="K242">
        <v>0.1</v>
      </c>
      <c r="L242">
        <v>5670</v>
      </c>
      <c r="M242">
        <v>3600</v>
      </c>
      <c r="N242">
        <v>2070</v>
      </c>
    </row>
    <row r="243" spans="1:14" x14ac:dyDescent="0.35">
      <c r="A243" t="s">
        <v>527</v>
      </c>
      <c r="B243" t="s">
        <v>523</v>
      </c>
      <c r="C243" t="s">
        <v>528</v>
      </c>
      <c r="D243" t="s">
        <v>54</v>
      </c>
      <c r="E243" t="s">
        <v>116</v>
      </c>
      <c r="F243" t="s">
        <v>37</v>
      </c>
      <c r="G243" t="s">
        <v>73</v>
      </c>
      <c r="H243" t="s">
        <v>29</v>
      </c>
      <c r="I243">
        <v>6</v>
      </c>
      <c r="J243">
        <v>450</v>
      </c>
      <c r="K243">
        <v>0.05</v>
      </c>
      <c r="L243">
        <v>2565</v>
      </c>
      <c r="M243">
        <v>1500</v>
      </c>
      <c r="N243">
        <v>1065</v>
      </c>
    </row>
    <row r="244" spans="1:14" x14ac:dyDescent="0.35">
      <c r="A244" t="s">
        <v>529</v>
      </c>
      <c r="B244" t="s">
        <v>523</v>
      </c>
      <c r="C244" t="s">
        <v>309</v>
      </c>
      <c r="D244" t="s">
        <v>17</v>
      </c>
      <c r="E244" t="s">
        <v>18</v>
      </c>
      <c r="F244" t="s">
        <v>19</v>
      </c>
      <c r="G244" t="s">
        <v>215</v>
      </c>
      <c r="H244" t="s">
        <v>125</v>
      </c>
      <c r="I244">
        <v>10</v>
      </c>
      <c r="J244">
        <v>1800</v>
      </c>
      <c r="K244">
        <v>0</v>
      </c>
      <c r="L244">
        <v>18000</v>
      </c>
      <c r="M244">
        <v>11000</v>
      </c>
      <c r="N244">
        <v>7000</v>
      </c>
    </row>
    <row r="245" spans="1:14" x14ac:dyDescent="0.35">
      <c r="A245" t="s">
        <v>530</v>
      </c>
      <c r="B245" t="s">
        <v>531</v>
      </c>
      <c r="C245" t="s">
        <v>175</v>
      </c>
      <c r="D245" t="s">
        <v>43</v>
      </c>
      <c r="E245" t="s">
        <v>62</v>
      </c>
      <c r="F245" t="s">
        <v>27</v>
      </c>
      <c r="G245" t="s">
        <v>28</v>
      </c>
      <c r="H245" t="s">
        <v>33</v>
      </c>
      <c r="I245">
        <v>3</v>
      </c>
      <c r="J245">
        <v>500</v>
      </c>
      <c r="K245">
        <v>0</v>
      </c>
      <c r="L245">
        <v>1500</v>
      </c>
      <c r="M245">
        <v>840</v>
      </c>
      <c r="N245">
        <v>660</v>
      </c>
    </row>
    <row r="246" spans="1:14" x14ac:dyDescent="0.35">
      <c r="A246" t="s">
        <v>532</v>
      </c>
      <c r="B246" t="s">
        <v>533</v>
      </c>
      <c r="C246" t="s">
        <v>534</v>
      </c>
      <c r="D246" t="s">
        <v>43</v>
      </c>
      <c r="E246" t="s">
        <v>250</v>
      </c>
      <c r="F246" t="s">
        <v>45</v>
      </c>
      <c r="G246" t="s">
        <v>70</v>
      </c>
      <c r="H246" t="s">
        <v>39</v>
      </c>
      <c r="I246">
        <v>3</v>
      </c>
      <c r="J246">
        <v>900</v>
      </c>
      <c r="K246">
        <v>0.1</v>
      </c>
      <c r="L246">
        <v>2430</v>
      </c>
      <c r="M246">
        <v>1560</v>
      </c>
      <c r="N246">
        <v>870</v>
      </c>
    </row>
    <row r="247" spans="1:14" x14ac:dyDescent="0.35">
      <c r="A247" t="s">
        <v>535</v>
      </c>
      <c r="B247" t="s">
        <v>533</v>
      </c>
      <c r="C247" t="s">
        <v>485</v>
      </c>
      <c r="D247" t="s">
        <v>17</v>
      </c>
      <c r="E247" t="s">
        <v>65</v>
      </c>
      <c r="F247" t="s">
        <v>19</v>
      </c>
      <c r="G247" t="s">
        <v>20</v>
      </c>
      <c r="H247" t="s">
        <v>125</v>
      </c>
      <c r="I247">
        <v>3</v>
      </c>
      <c r="J247">
        <v>2200</v>
      </c>
      <c r="K247">
        <v>0</v>
      </c>
      <c r="L247">
        <v>6600</v>
      </c>
      <c r="M247">
        <v>4200</v>
      </c>
      <c r="N247">
        <v>2400</v>
      </c>
    </row>
    <row r="248" spans="1:14" x14ac:dyDescent="0.35">
      <c r="A248" t="s">
        <v>536</v>
      </c>
      <c r="B248" t="s">
        <v>533</v>
      </c>
      <c r="C248" t="s">
        <v>222</v>
      </c>
      <c r="D248" t="s">
        <v>54</v>
      </c>
      <c r="E248" t="s">
        <v>107</v>
      </c>
      <c r="F248" t="s">
        <v>37</v>
      </c>
      <c r="G248" t="s">
        <v>97</v>
      </c>
      <c r="H248" t="s">
        <v>29</v>
      </c>
      <c r="I248">
        <v>2</v>
      </c>
      <c r="J248">
        <v>120</v>
      </c>
      <c r="K248">
        <v>0</v>
      </c>
      <c r="L248">
        <v>240</v>
      </c>
      <c r="M248">
        <v>110</v>
      </c>
      <c r="N248">
        <v>130</v>
      </c>
    </row>
    <row r="249" spans="1:14" x14ac:dyDescent="0.35">
      <c r="A249" t="s">
        <v>537</v>
      </c>
      <c r="B249" t="s">
        <v>533</v>
      </c>
      <c r="C249" t="s">
        <v>96</v>
      </c>
      <c r="D249" t="s">
        <v>25</v>
      </c>
      <c r="E249" t="s">
        <v>36</v>
      </c>
      <c r="F249" t="s">
        <v>45</v>
      </c>
      <c r="G249" t="s">
        <v>70</v>
      </c>
      <c r="H249" t="s">
        <v>39</v>
      </c>
      <c r="I249">
        <v>9</v>
      </c>
      <c r="J249">
        <v>700</v>
      </c>
      <c r="K249">
        <v>0.05</v>
      </c>
      <c r="L249">
        <v>5985</v>
      </c>
      <c r="M249">
        <v>3600</v>
      </c>
      <c r="N249">
        <v>2385</v>
      </c>
    </row>
    <row r="250" spans="1:14" x14ac:dyDescent="0.35">
      <c r="A250" t="s">
        <v>538</v>
      </c>
      <c r="B250" t="s">
        <v>539</v>
      </c>
      <c r="C250" t="s">
        <v>254</v>
      </c>
      <c r="D250" t="s">
        <v>43</v>
      </c>
      <c r="E250" t="s">
        <v>143</v>
      </c>
      <c r="F250" t="s">
        <v>45</v>
      </c>
      <c r="G250" t="s">
        <v>46</v>
      </c>
      <c r="H250" t="s">
        <v>21</v>
      </c>
      <c r="I250">
        <v>3</v>
      </c>
      <c r="J250">
        <v>650</v>
      </c>
      <c r="K250">
        <v>0</v>
      </c>
      <c r="L250">
        <v>1950</v>
      </c>
      <c r="M250">
        <v>1050</v>
      </c>
      <c r="N250">
        <v>900</v>
      </c>
    </row>
    <row r="251" spans="1:14" x14ac:dyDescent="0.35">
      <c r="A251" t="s">
        <v>540</v>
      </c>
      <c r="B251" t="s">
        <v>539</v>
      </c>
      <c r="C251" t="s">
        <v>541</v>
      </c>
      <c r="D251" t="s">
        <v>54</v>
      </c>
      <c r="E251" t="s">
        <v>103</v>
      </c>
      <c r="F251" t="s">
        <v>45</v>
      </c>
      <c r="G251" t="s">
        <v>46</v>
      </c>
      <c r="H251" t="s">
        <v>29</v>
      </c>
      <c r="I251">
        <v>2</v>
      </c>
      <c r="J251">
        <v>150</v>
      </c>
      <c r="K251">
        <v>0.05</v>
      </c>
      <c r="L251">
        <v>285</v>
      </c>
      <c r="M251">
        <v>150</v>
      </c>
      <c r="N251">
        <v>135</v>
      </c>
    </row>
    <row r="252" spans="1:14" x14ac:dyDescent="0.35">
      <c r="A252" t="s">
        <v>542</v>
      </c>
      <c r="B252" t="s">
        <v>539</v>
      </c>
      <c r="C252" t="s">
        <v>543</v>
      </c>
      <c r="D252" t="s">
        <v>54</v>
      </c>
      <c r="E252" t="s">
        <v>103</v>
      </c>
      <c r="F252" t="s">
        <v>37</v>
      </c>
      <c r="G252" t="s">
        <v>140</v>
      </c>
      <c r="H252" t="s">
        <v>21</v>
      </c>
      <c r="I252">
        <v>1</v>
      </c>
      <c r="J252">
        <v>150</v>
      </c>
      <c r="K252">
        <v>0.05</v>
      </c>
      <c r="L252">
        <v>142.5</v>
      </c>
      <c r="M252">
        <v>75</v>
      </c>
      <c r="N252">
        <v>67.5</v>
      </c>
    </row>
    <row r="253" spans="1:14" x14ac:dyDescent="0.35">
      <c r="A253" t="s">
        <v>544</v>
      </c>
      <c r="B253" t="s">
        <v>539</v>
      </c>
      <c r="C253" t="s">
        <v>134</v>
      </c>
      <c r="D253" t="s">
        <v>17</v>
      </c>
      <c r="E253" t="s">
        <v>124</v>
      </c>
      <c r="F253" t="s">
        <v>37</v>
      </c>
      <c r="G253" t="s">
        <v>73</v>
      </c>
      <c r="H253" t="s">
        <v>125</v>
      </c>
      <c r="I253">
        <v>1</v>
      </c>
      <c r="J253">
        <v>1200</v>
      </c>
      <c r="K253">
        <v>0</v>
      </c>
      <c r="L253">
        <v>1200</v>
      </c>
      <c r="M253">
        <v>720</v>
      </c>
      <c r="N253">
        <v>480</v>
      </c>
    </row>
    <row r="254" spans="1:14" x14ac:dyDescent="0.35">
      <c r="A254" t="s">
        <v>545</v>
      </c>
      <c r="B254" t="s">
        <v>546</v>
      </c>
      <c r="C254" t="s">
        <v>248</v>
      </c>
      <c r="D254" t="s">
        <v>25</v>
      </c>
      <c r="E254" t="s">
        <v>89</v>
      </c>
      <c r="F254" t="s">
        <v>37</v>
      </c>
      <c r="G254" t="s">
        <v>73</v>
      </c>
      <c r="H254" t="s">
        <v>21</v>
      </c>
      <c r="I254">
        <v>5</v>
      </c>
      <c r="J254">
        <v>550</v>
      </c>
      <c r="K254">
        <v>0</v>
      </c>
      <c r="L254">
        <v>2750</v>
      </c>
      <c r="M254">
        <v>1500</v>
      </c>
      <c r="N254">
        <v>1250</v>
      </c>
    </row>
    <row r="255" spans="1:14" x14ac:dyDescent="0.35">
      <c r="A255" t="s">
        <v>547</v>
      </c>
      <c r="B255" t="s">
        <v>546</v>
      </c>
      <c r="C255" t="s">
        <v>331</v>
      </c>
      <c r="D255" t="s">
        <v>17</v>
      </c>
      <c r="E255" t="s">
        <v>50</v>
      </c>
      <c r="F255" t="s">
        <v>19</v>
      </c>
      <c r="G255" t="s">
        <v>215</v>
      </c>
      <c r="H255" t="s">
        <v>47</v>
      </c>
      <c r="I255">
        <v>8</v>
      </c>
      <c r="J255">
        <v>650</v>
      </c>
      <c r="K255">
        <v>0.05</v>
      </c>
      <c r="L255">
        <v>4940</v>
      </c>
      <c r="M255">
        <v>3040</v>
      </c>
      <c r="N255">
        <v>1900</v>
      </c>
    </row>
    <row r="256" spans="1:14" x14ac:dyDescent="0.35">
      <c r="A256" t="s">
        <v>548</v>
      </c>
      <c r="B256" t="s">
        <v>546</v>
      </c>
      <c r="C256" t="s">
        <v>549</v>
      </c>
      <c r="D256" t="s">
        <v>25</v>
      </c>
      <c r="E256" t="s">
        <v>89</v>
      </c>
      <c r="F256" t="s">
        <v>45</v>
      </c>
      <c r="G256" t="s">
        <v>122</v>
      </c>
      <c r="H256" t="s">
        <v>125</v>
      </c>
      <c r="I256">
        <v>2</v>
      </c>
      <c r="J256">
        <v>550</v>
      </c>
      <c r="K256">
        <v>0</v>
      </c>
      <c r="L256">
        <v>1100</v>
      </c>
      <c r="M256">
        <v>600</v>
      </c>
      <c r="N256">
        <v>500</v>
      </c>
    </row>
    <row r="257" spans="1:14" x14ac:dyDescent="0.35">
      <c r="A257" t="s">
        <v>550</v>
      </c>
      <c r="B257" t="s">
        <v>546</v>
      </c>
      <c r="C257" t="s">
        <v>348</v>
      </c>
      <c r="D257" t="s">
        <v>43</v>
      </c>
      <c r="E257" t="s">
        <v>169</v>
      </c>
      <c r="F257" t="s">
        <v>45</v>
      </c>
      <c r="G257" t="s">
        <v>70</v>
      </c>
      <c r="H257" t="s">
        <v>125</v>
      </c>
      <c r="I257">
        <v>6</v>
      </c>
      <c r="J257">
        <v>350</v>
      </c>
      <c r="K257">
        <v>0.05</v>
      </c>
      <c r="L257">
        <v>1995</v>
      </c>
      <c r="M257">
        <v>1020</v>
      </c>
      <c r="N257">
        <v>975</v>
      </c>
    </row>
    <row r="258" spans="1:14" x14ac:dyDescent="0.35">
      <c r="A258" t="s">
        <v>551</v>
      </c>
      <c r="B258" t="s">
        <v>552</v>
      </c>
      <c r="C258" t="s">
        <v>485</v>
      </c>
      <c r="D258" t="s">
        <v>25</v>
      </c>
      <c r="E258" t="s">
        <v>89</v>
      </c>
      <c r="F258" t="s">
        <v>45</v>
      </c>
      <c r="G258" t="s">
        <v>104</v>
      </c>
      <c r="H258" t="s">
        <v>47</v>
      </c>
      <c r="I258">
        <v>6</v>
      </c>
      <c r="J258">
        <v>550</v>
      </c>
      <c r="K258">
        <v>0</v>
      </c>
      <c r="L258">
        <v>3300</v>
      </c>
      <c r="M258">
        <v>1800</v>
      </c>
      <c r="N258">
        <v>1500</v>
      </c>
    </row>
    <row r="259" spans="1:14" x14ac:dyDescent="0.35">
      <c r="A259" t="s">
        <v>553</v>
      </c>
      <c r="B259" t="s">
        <v>552</v>
      </c>
      <c r="C259" t="s">
        <v>267</v>
      </c>
      <c r="D259" t="s">
        <v>25</v>
      </c>
      <c r="E259" t="s">
        <v>36</v>
      </c>
      <c r="F259" t="s">
        <v>37</v>
      </c>
      <c r="G259" t="s">
        <v>140</v>
      </c>
      <c r="H259" t="s">
        <v>47</v>
      </c>
      <c r="I259">
        <v>10</v>
      </c>
      <c r="J259">
        <v>700</v>
      </c>
      <c r="K259">
        <v>0</v>
      </c>
      <c r="L259">
        <v>7000</v>
      </c>
      <c r="M259">
        <v>4000</v>
      </c>
      <c r="N259">
        <v>3000</v>
      </c>
    </row>
    <row r="260" spans="1:14" x14ac:dyDescent="0.35">
      <c r="A260" t="s">
        <v>554</v>
      </c>
      <c r="B260" t="s">
        <v>555</v>
      </c>
      <c r="C260" t="s">
        <v>446</v>
      </c>
      <c r="D260" t="s">
        <v>54</v>
      </c>
      <c r="E260" t="s">
        <v>116</v>
      </c>
      <c r="F260" t="s">
        <v>37</v>
      </c>
      <c r="G260" t="s">
        <v>38</v>
      </c>
      <c r="H260" t="s">
        <v>29</v>
      </c>
      <c r="I260">
        <v>4</v>
      </c>
      <c r="J260">
        <v>450</v>
      </c>
      <c r="K260">
        <v>0</v>
      </c>
      <c r="L260">
        <v>1800</v>
      </c>
      <c r="M260">
        <v>1000</v>
      </c>
      <c r="N260">
        <v>800</v>
      </c>
    </row>
    <row r="261" spans="1:14" x14ac:dyDescent="0.35">
      <c r="A261" t="s">
        <v>556</v>
      </c>
      <c r="B261" t="s">
        <v>555</v>
      </c>
      <c r="C261" t="s">
        <v>557</v>
      </c>
      <c r="D261" t="s">
        <v>25</v>
      </c>
      <c r="E261" t="s">
        <v>26</v>
      </c>
      <c r="F261" t="s">
        <v>45</v>
      </c>
      <c r="G261" t="s">
        <v>46</v>
      </c>
      <c r="H261" t="s">
        <v>125</v>
      </c>
      <c r="I261">
        <v>4</v>
      </c>
      <c r="J261">
        <v>600</v>
      </c>
      <c r="K261">
        <v>0.05</v>
      </c>
      <c r="L261">
        <v>2280</v>
      </c>
      <c r="M261">
        <v>1320</v>
      </c>
      <c r="N261">
        <v>960</v>
      </c>
    </row>
    <row r="262" spans="1:14" x14ac:dyDescent="0.35">
      <c r="A262" t="s">
        <v>558</v>
      </c>
      <c r="B262" t="s">
        <v>559</v>
      </c>
      <c r="C262" t="s">
        <v>49</v>
      </c>
      <c r="D262" t="s">
        <v>43</v>
      </c>
      <c r="E262" t="s">
        <v>169</v>
      </c>
      <c r="F262" t="s">
        <v>45</v>
      </c>
      <c r="G262" t="s">
        <v>70</v>
      </c>
      <c r="H262" t="s">
        <v>47</v>
      </c>
      <c r="I262">
        <v>2</v>
      </c>
      <c r="J262">
        <v>350</v>
      </c>
      <c r="K262">
        <v>0</v>
      </c>
      <c r="L262">
        <v>700</v>
      </c>
      <c r="M262">
        <v>340</v>
      </c>
      <c r="N262">
        <v>360</v>
      </c>
    </row>
    <row r="263" spans="1:14" x14ac:dyDescent="0.35">
      <c r="A263" t="s">
        <v>560</v>
      </c>
      <c r="B263" t="s">
        <v>559</v>
      </c>
      <c r="C263" t="s">
        <v>138</v>
      </c>
      <c r="D263" t="s">
        <v>43</v>
      </c>
      <c r="E263" t="s">
        <v>143</v>
      </c>
      <c r="F263" t="s">
        <v>19</v>
      </c>
      <c r="G263" t="s">
        <v>113</v>
      </c>
      <c r="H263" t="s">
        <v>47</v>
      </c>
      <c r="I263">
        <v>6</v>
      </c>
      <c r="J263">
        <v>650</v>
      </c>
      <c r="K263">
        <v>0.05</v>
      </c>
      <c r="L263">
        <v>3705</v>
      </c>
      <c r="M263">
        <v>2100</v>
      </c>
      <c r="N263">
        <v>1605</v>
      </c>
    </row>
    <row r="264" spans="1:14" x14ac:dyDescent="0.35">
      <c r="A264" t="s">
        <v>561</v>
      </c>
      <c r="B264" t="s">
        <v>559</v>
      </c>
      <c r="C264" t="s">
        <v>257</v>
      </c>
      <c r="D264" t="s">
        <v>17</v>
      </c>
      <c r="E264" t="s">
        <v>124</v>
      </c>
      <c r="F264" t="s">
        <v>45</v>
      </c>
      <c r="G264" t="s">
        <v>122</v>
      </c>
      <c r="H264" t="s">
        <v>33</v>
      </c>
      <c r="I264">
        <v>2</v>
      </c>
      <c r="J264">
        <v>1200</v>
      </c>
      <c r="K264">
        <v>0</v>
      </c>
      <c r="L264">
        <v>2400</v>
      </c>
      <c r="M264">
        <v>1440</v>
      </c>
      <c r="N264">
        <v>960</v>
      </c>
    </row>
    <row r="265" spans="1:14" x14ac:dyDescent="0.35">
      <c r="A265" t="s">
        <v>562</v>
      </c>
      <c r="B265" t="s">
        <v>559</v>
      </c>
      <c r="C265" t="s">
        <v>238</v>
      </c>
      <c r="D265" t="s">
        <v>54</v>
      </c>
      <c r="E265" t="s">
        <v>116</v>
      </c>
      <c r="F265" t="s">
        <v>19</v>
      </c>
      <c r="G265" t="s">
        <v>215</v>
      </c>
      <c r="H265" t="s">
        <v>47</v>
      </c>
      <c r="I265">
        <v>7</v>
      </c>
      <c r="J265">
        <v>450</v>
      </c>
      <c r="K265">
        <v>0.05</v>
      </c>
      <c r="L265">
        <v>2992.5</v>
      </c>
      <c r="M265">
        <v>1750</v>
      </c>
      <c r="N265">
        <v>1242.5</v>
      </c>
    </row>
    <row r="266" spans="1:14" x14ac:dyDescent="0.35">
      <c r="A266" t="s">
        <v>563</v>
      </c>
      <c r="B266" t="s">
        <v>564</v>
      </c>
      <c r="C266" t="s">
        <v>224</v>
      </c>
      <c r="D266" t="s">
        <v>54</v>
      </c>
      <c r="E266" t="s">
        <v>55</v>
      </c>
      <c r="F266" t="s">
        <v>19</v>
      </c>
      <c r="G266" t="s">
        <v>20</v>
      </c>
      <c r="H266" t="s">
        <v>29</v>
      </c>
      <c r="I266">
        <v>8</v>
      </c>
      <c r="J266">
        <v>180</v>
      </c>
      <c r="K266">
        <v>0.05</v>
      </c>
      <c r="L266">
        <v>1368</v>
      </c>
      <c r="M266">
        <v>720</v>
      </c>
      <c r="N266">
        <v>648</v>
      </c>
    </row>
    <row r="267" spans="1:14" x14ac:dyDescent="0.35">
      <c r="A267" t="s">
        <v>565</v>
      </c>
      <c r="B267" t="s">
        <v>564</v>
      </c>
      <c r="C267" t="s">
        <v>566</v>
      </c>
      <c r="D267" t="s">
        <v>54</v>
      </c>
      <c r="E267" t="s">
        <v>110</v>
      </c>
      <c r="F267" t="s">
        <v>37</v>
      </c>
      <c r="G267" t="s">
        <v>97</v>
      </c>
      <c r="H267" t="s">
        <v>29</v>
      </c>
      <c r="I267">
        <v>9</v>
      </c>
      <c r="J267">
        <v>280</v>
      </c>
      <c r="K267">
        <v>0</v>
      </c>
      <c r="L267">
        <v>2520</v>
      </c>
      <c r="M267">
        <v>1350</v>
      </c>
      <c r="N267">
        <v>1170</v>
      </c>
    </row>
    <row r="268" spans="1:14" x14ac:dyDescent="0.35">
      <c r="A268" t="s">
        <v>567</v>
      </c>
      <c r="B268" t="s">
        <v>568</v>
      </c>
      <c r="C268" t="s">
        <v>569</v>
      </c>
      <c r="D268" t="s">
        <v>43</v>
      </c>
      <c r="E268" t="s">
        <v>62</v>
      </c>
      <c r="F268" t="s">
        <v>27</v>
      </c>
      <c r="G268" t="s">
        <v>90</v>
      </c>
      <c r="H268" t="s">
        <v>39</v>
      </c>
      <c r="I268">
        <v>7</v>
      </c>
      <c r="J268">
        <v>500</v>
      </c>
      <c r="K268">
        <v>0</v>
      </c>
      <c r="L268">
        <v>3500</v>
      </c>
      <c r="M268">
        <v>1960</v>
      </c>
      <c r="N268">
        <v>1540</v>
      </c>
    </row>
    <row r="269" spans="1:14" x14ac:dyDescent="0.35">
      <c r="A269" t="s">
        <v>570</v>
      </c>
      <c r="B269" t="s">
        <v>568</v>
      </c>
      <c r="C269" t="s">
        <v>24</v>
      </c>
      <c r="D269" t="s">
        <v>43</v>
      </c>
      <c r="E269" t="s">
        <v>169</v>
      </c>
      <c r="F269" t="s">
        <v>37</v>
      </c>
      <c r="G269" t="s">
        <v>97</v>
      </c>
      <c r="H269" t="s">
        <v>125</v>
      </c>
      <c r="I269">
        <v>1</v>
      </c>
      <c r="J269">
        <v>350</v>
      </c>
      <c r="K269">
        <v>0.05</v>
      </c>
      <c r="L269">
        <v>332.5</v>
      </c>
      <c r="M269">
        <v>170</v>
      </c>
      <c r="N269">
        <v>162.5</v>
      </c>
    </row>
    <row r="270" spans="1:14" x14ac:dyDescent="0.35">
      <c r="A270" t="s">
        <v>571</v>
      </c>
      <c r="B270" t="s">
        <v>568</v>
      </c>
      <c r="C270" t="s">
        <v>339</v>
      </c>
      <c r="D270" t="s">
        <v>17</v>
      </c>
      <c r="E270" t="s">
        <v>65</v>
      </c>
      <c r="F270" t="s">
        <v>37</v>
      </c>
      <c r="G270" t="s">
        <v>140</v>
      </c>
      <c r="H270" t="s">
        <v>33</v>
      </c>
      <c r="I270">
        <v>8</v>
      </c>
      <c r="J270">
        <v>2200</v>
      </c>
      <c r="K270">
        <v>0.05</v>
      </c>
      <c r="L270">
        <v>16720</v>
      </c>
      <c r="M270">
        <v>11200</v>
      </c>
      <c r="N270">
        <v>5520</v>
      </c>
    </row>
    <row r="271" spans="1:14" x14ac:dyDescent="0.35">
      <c r="A271" t="s">
        <v>572</v>
      </c>
      <c r="B271" t="s">
        <v>568</v>
      </c>
      <c r="C271" t="s">
        <v>145</v>
      </c>
      <c r="D271" t="s">
        <v>17</v>
      </c>
      <c r="E271" t="s">
        <v>65</v>
      </c>
      <c r="F271" t="s">
        <v>19</v>
      </c>
      <c r="G271" t="s">
        <v>215</v>
      </c>
      <c r="H271" t="s">
        <v>21</v>
      </c>
      <c r="I271">
        <v>2</v>
      </c>
      <c r="J271">
        <v>2200</v>
      </c>
      <c r="K271">
        <v>0.1</v>
      </c>
      <c r="L271">
        <v>3960</v>
      </c>
      <c r="M271">
        <v>2800</v>
      </c>
      <c r="N271">
        <v>1160</v>
      </c>
    </row>
    <row r="272" spans="1:14" x14ac:dyDescent="0.35">
      <c r="A272" t="s">
        <v>573</v>
      </c>
      <c r="B272" t="s">
        <v>574</v>
      </c>
      <c r="C272" t="s">
        <v>575</v>
      </c>
      <c r="D272" t="s">
        <v>43</v>
      </c>
      <c r="E272" t="s">
        <v>250</v>
      </c>
      <c r="F272" t="s">
        <v>37</v>
      </c>
      <c r="G272" t="s">
        <v>73</v>
      </c>
      <c r="H272" t="s">
        <v>125</v>
      </c>
      <c r="I272">
        <v>6</v>
      </c>
      <c r="J272">
        <v>900</v>
      </c>
      <c r="K272">
        <v>0.1</v>
      </c>
      <c r="L272">
        <v>4860</v>
      </c>
      <c r="M272">
        <v>3120</v>
      </c>
      <c r="N272">
        <v>1740</v>
      </c>
    </row>
    <row r="273" spans="1:14" x14ac:dyDescent="0.35">
      <c r="A273" t="s">
        <v>576</v>
      </c>
      <c r="B273" t="s">
        <v>574</v>
      </c>
      <c r="C273" t="s">
        <v>362</v>
      </c>
      <c r="D273" t="s">
        <v>43</v>
      </c>
      <c r="E273" t="s">
        <v>44</v>
      </c>
      <c r="F273" t="s">
        <v>37</v>
      </c>
      <c r="G273" t="s">
        <v>97</v>
      </c>
      <c r="H273" t="s">
        <v>47</v>
      </c>
      <c r="I273">
        <v>2</v>
      </c>
      <c r="J273">
        <v>2200</v>
      </c>
      <c r="K273">
        <v>0</v>
      </c>
      <c r="L273">
        <v>4400</v>
      </c>
      <c r="M273">
        <v>2900</v>
      </c>
      <c r="N273">
        <v>1500</v>
      </c>
    </row>
    <row r="274" spans="1:14" x14ac:dyDescent="0.35">
      <c r="A274" t="s">
        <v>577</v>
      </c>
      <c r="B274" t="s">
        <v>578</v>
      </c>
      <c r="C274" t="s">
        <v>242</v>
      </c>
      <c r="D274" t="s">
        <v>25</v>
      </c>
      <c r="E274" t="s">
        <v>26</v>
      </c>
      <c r="F274" t="s">
        <v>45</v>
      </c>
      <c r="G274" t="s">
        <v>122</v>
      </c>
      <c r="H274" t="s">
        <v>125</v>
      </c>
      <c r="I274">
        <v>3</v>
      </c>
      <c r="J274">
        <v>600</v>
      </c>
      <c r="K274">
        <v>0</v>
      </c>
      <c r="L274">
        <v>1800</v>
      </c>
      <c r="M274">
        <v>990</v>
      </c>
      <c r="N274">
        <v>810</v>
      </c>
    </row>
    <row r="275" spans="1:14" x14ac:dyDescent="0.35">
      <c r="A275" t="s">
        <v>579</v>
      </c>
      <c r="B275" t="s">
        <v>580</v>
      </c>
      <c r="C275" t="s">
        <v>388</v>
      </c>
      <c r="D275" t="s">
        <v>54</v>
      </c>
      <c r="E275" t="s">
        <v>110</v>
      </c>
      <c r="F275" t="s">
        <v>19</v>
      </c>
      <c r="G275" t="s">
        <v>215</v>
      </c>
      <c r="H275" t="s">
        <v>39</v>
      </c>
      <c r="I275">
        <v>8</v>
      </c>
      <c r="J275">
        <v>280</v>
      </c>
      <c r="K275">
        <v>0.05</v>
      </c>
      <c r="L275">
        <v>2128</v>
      </c>
      <c r="M275">
        <v>1200</v>
      </c>
      <c r="N275">
        <v>928</v>
      </c>
    </row>
    <row r="276" spans="1:14" x14ac:dyDescent="0.35">
      <c r="A276" t="s">
        <v>581</v>
      </c>
      <c r="B276" t="s">
        <v>580</v>
      </c>
      <c r="C276" t="s">
        <v>464</v>
      </c>
      <c r="D276" t="s">
        <v>17</v>
      </c>
      <c r="E276" t="s">
        <v>32</v>
      </c>
      <c r="F276" t="s">
        <v>37</v>
      </c>
      <c r="G276" t="s">
        <v>73</v>
      </c>
      <c r="H276" t="s">
        <v>21</v>
      </c>
      <c r="I276">
        <v>2</v>
      </c>
      <c r="J276">
        <v>1500</v>
      </c>
      <c r="K276">
        <v>0.1</v>
      </c>
      <c r="L276">
        <v>2700</v>
      </c>
      <c r="M276">
        <v>1800</v>
      </c>
      <c r="N276">
        <v>900</v>
      </c>
    </row>
    <row r="277" spans="1:14" x14ac:dyDescent="0.35">
      <c r="A277" t="s">
        <v>582</v>
      </c>
      <c r="B277" t="s">
        <v>580</v>
      </c>
      <c r="C277" t="s">
        <v>528</v>
      </c>
      <c r="D277" t="s">
        <v>25</v>
      </c>
      <c r="E277" t="s">
        <v>80</v>
      </c>
      <c r="F277" t="s">
        <v>37</v>
      </c>
      <c r="G277" t="s">
        <v>73</v>
      </c>
      <c r="H277" t="s">
        <v>125</v>
      </c>
      <c r="I277">
        <v>10</v>
      </c>
      <c r="J277">
        <v>950</v>
      </c>
      <c r="K277">
        <v>0.1</v>
      </c>
      <c r="L277">
        <v>8550</v>
      </c>
      <c r="M277">
        <v>5600</v>
      </c>
      <c r="N277">
        <v>2950</v>
      </c>
    </row>
    <row r="278" spans="1:14" x14ac:dyDescent="0.35">
      <c r="A278" t="s">
        <v>583</v>
      </c>
      <c r="B278" t="s">
        <v>580</v>
      </c>
      <c r="C278" t="s">
        <v>566</v>
      </c>
      <c r="D278" t="s">
        <v>17</v>
      </c>
      <c r="E278" t="s">
        <v>32</v>
      </c>
      <c r="F278" t="s">
        <v>45</v>
      </c>
      <c r="G278" t="s">
        <v>70</v>
      </c>
      <c r="H278" t="s">
        <v>47</v>
      </c>
      <c r="I278">
        <v>7</v>
      </c>
      <c r="J278">
        <v>1500</v>
      </c>
      <c r="K278">
        <v>0.1</v>
      </c>
      <c r="L278">
        <v>9450</v>
      </c>
      <c r="M278">
        <v>6300</v>
      </c>
      <c r="N278">
        <v>3150</v>
      </c>
    </row>
    <row r="279" spans="1:14" x14ac:dyDescent="0.35">
      <c r="A279" t="s">
        <v>584</v>
      </c>
      <c r="B279" t="s">
        <v>585</v>
      </c>
      <c r="C279" t="s">
        <v>82</v>
      </c>
      <c r="D279" t="s">
        <v>43</v>
      </c>
      <c r="E279" t="s">
        <v>250</v>
      </c>
      <c r="F279" t="s">
        <v>27</v>
      </c>
      <c r="G279" t="s">
        <v>51</v>
      </c>
      <c r="H279" t="s">
        <v>29</v>
      </c>
      <c r="I279">
        <v>1</v>
      </c>
      <c r="J279">
        <v>900</v>
      </c>
      <c r="K279">
        <v>0</v>
      </c>
      <c r="L279">
        <v>900</v>
      </c>
      <c r="M279">
        <v>520</v>
      </c>
      <c r="N279">
        <v>380</v>
      </c>
    </row>
    <row r="280" spans="1:14" x14ac:dyDescent="0.35">
      <c r="A280" t="s">
        <v>586</v>
      </c>
      <c r="B280" t="s">
        <v>587</v>
      </c>
      <c r="C280" t="s">
        <v>79</v>
      </c>
      <c r="D280" t="s">
        <v>54</v>
      </c>
      <c r="E280" t="s">
        <v>55</v>
      </c>
      <c r="F280" t="s">
        <v>27</v>
      </c>
      <c r="G280" t="s">
        <v>28</v>
      </c>
      <c r="H280" t="s">
        <v>39</v>
      </c>
      <c r="I280">
        <v>5</v>
      </c>
      <c r="J280">
        <v>180</v>
      </c>
      <c r="K280">
        <v>0</v>
      </c>
      <c r="L280">
        <v>900</v>
      </c>
      <c r="M280">
        <v>450</v>
      </c>
      <c r="N280">
        <v>450</v>
      </c>
    </row>
    <row r="281" spans="1:14" x14ac:dyDescent="0.35">
      <c r="A281" t="s">
        <v>588</v>
      </c>
      <c r="B281" t="s">
        <v>587</v>
      </c>
      <c r="C281" t="s">
        <v>517</v>
      </c>
      <c r="D281" t="s">
        <v>43</v>
      </c>
      <c r="E281" t="s">
        <v>169</v>
      </c>
      <c r="F281" t="s">
        <v>45</v>
      </c>
      <c r="G281" t="s">
        <v>70</v>
      </c>
      <c r="H281" t="s">
        <v>125</v>
      </c>
      <c r="I281">
        <v>2</v>
      </c>
      <c r="J281">
        <v>350</v>
      </c>
      <c r="K281">
        <v>0.1</v>
      </c>
      <c r="L281">
        <v>630</v>
      </c>
      <c r="M281">
        <v>340</v>
      </c>
      <c r="N281">
        <v>290</v>
      </c>
    </row>
    <row r="282" spans="1:14" x14ac:dyDescent="0.35">
      <c r="A282" t="s">
        <v>589</v>
      </c>
      <c r="B282" t="s">
        <v>587</v>
      </c>
      <c r="C282" t="s">
        <v>450</v>
      </c>
      <c r="D282" t="s">
        <v>25</v>
      </c>
      <c r="E282" t="s">
        <v>89</v>
      </c>
      <c r="F282" t="s">
        <v>19</v>
      </c>
      <c r="G282" t="s">
        <v>113</v>
      </c>
      <c r="H282" t="s">
        <v>29</v>
      </c>
      <c r="I282">
        <v>5</v>
      </c>
      <c r="J282">
        <v>550</v>
      </c>
      <c r="K282">
        <v>0</v>
      </c>
      <c r="L282">
        <v>2750</v>
      </c>
      <c r="M282">
        <v>1500</v>
      </c>
      <c r="N282">
        <v>1250</v>
      </c>
    </row>
    <row r="283" spans="1:14" x14ac:dyDescent="0.35">
      <c r="A283" t="s">
        <v>590</v>
      </c>
      <c r="B283" t="s">
        <v>587</v>
      </c>
      <c r="C283" t="s">
        <v>591</v>
      </c>
      <c r="D283" t="s">
        <v>17</v>
      </c>
      <c r="E283" t="s">
        <v>32</v>
      </c>
      <c r="F283" t="s">
        <v>19</v>
      </c>
      <c r="G283" t="s">
        <v>56</v>
      </c>
      <c r="H283" t="s">
        <v>39</v>
      </c>
      <c r="I283">
        <v>7</v>
      </c>
      <c r="J283">
        <v>1500</v>
      </c>
      <c r="K283">
        <v>0</v>
      </c>
      <c r="L283">
        <v>10500</v>
      </c>
      <c r="M283">
        <v>6300</v>
      </c>
      <c r="N283">
        <v>4200</v>
      </c>
    </row>
    <row r="284" spans="1:14" x14ac:dyDescent="0.35">
      <c r="A284" t="s">
        <v>592</v>
      </c>
      <c r="B284" t="s">
        <v>593</v>
      </c>
      <c r="C284" t="s">
        <v>68</v>
      </c>
      <c r="D284" t="s">
        <v>43</v>
      </c>
      <c r="E284" t="s">
        <v>143</v>
      </c>
      <c r="F284" t="s">
        <v>45</v>
      </c>
      <c r="G284" t="s">
        <v>46</v>
      </c>
      <c r="H284" t="s">
        <v>21</v>
      </c>
      <c r="I284">
        <v>2</v>
      </c>
      <c r="J284">
        <v>650</v>
      </c>
      <c r="K284">
        <v>0.1</v>
      </c>
      <c r="L284">
        <v>1170</v>
      </c>
      <c r="M284">
        <v>700</v>
      </c>
      <c r="N284">
        <v>470</v>
      </c>
    </row>
    <row r="285" spans="1:14" x14ac:dyDescent="0.35">
      <c r="A285" t="s">
        <v>594</v>
      </c>
      <c r="B285" t="s">
        <v>593</v>
      </c>
      <c r="C285" t="s">
        <v>248</v>
      </c>
      <c r="D285" t="s">
        <v>43</v>
      </c>
      <c r="E285" t="s">
        <v>62</v>
      </c>
      <c r="F285" t="s">
        <v>19</v>
      </c>
      <c r="G285" t="s">
        <v>215</v>
      </c>
      <c r="H285" t="s">
        <v>29</v>
      </c>
      <c r="I285">
        <v>9</v>
      </c>
      <c r="J285">
        <v>500</v>
      </c>
      <c r="K285">
        <v>0</v>
      </c>
      <c r="L285">
        <v>4500</v>
      </c>
      <c r="M285">
        <v>2520</v>
      </c>
      <c r="N285">
        <v>1980</v>
      </c>
    </row>
    <row r="286" spans="1:14" x14ac:dyDescent="0.35">
      <c r="A286" t="s">
        <v>595</v>
      </c>
      <c r="B286" t="s">
        <v>593</v>
      </c>
      <c r="C286" t="s">
        <v>292</v>
      </c>
      <c r="D286" t="s">
        <v>17</v>
      </c>
      <c r="E286" t="s">
        <v>124</v>
      </c>
      <c r="F286" t="s">
        <v>37</v>
      </c>
      <c r="G286" t="s">
        <v>73</v>
      </c>
      <c r="H286" t="s">
        <v>125</v>
      </c>
      <c r="I286">
        <v>9</v>
      </c>
      <c r="J286">
        <v>1200</v>
      </c>
      <c r="K286">
        <v>0.05</v>
      </c>
      <c r="L286">
        <v>10260</v>
      </c>
      <c r="M286">
        <v>6480</v>
      </c>
      <c r="N286">
        <v>3780</v>
      </c>
    </row>
    <row r="287" spans="1:14" x14ac:dyDescent="0.35">
      <c r="A287" t="s">
        <v>596</v>
      </c>
      <c r="B287" t="s">
        <v>597</v>
      </c>
      <c r="C287" t="s">
        <v>598</v>
      </c>
      <c r="D287" t="s">
        <v>54</v>
      </c>
      <c r="E287" t="s">
        <v>116</v>
      </c>
      <c r="F287" t="s">
        <v>45</v>
      </c>
      <c r="G287" t="s">
        <v>46</v>
      </c>
      <c r="H287" t="s">
        <v>47</v>
      </c>
      <c r="I287">
        <v>1</v>
      </c>
      <c r="J287">
        <v>450</v>
      </c>
      <c r="K287">
        <v>0.1</v>
      </c>
      <c r="L287">
        <v>405</v>
      </c>
      <c r="M287">
        <v>250</v>
      </c>
      <c r="N287">
        <v>155</v>
      </c>
    </row>
    <row r="288" spans="1:14" x14ac:dyDescent="0.35">
      <c r="A288" t="s">
        <v>599</v>
      </c>
      <c r="B288" t="s">
        <v>597</v>
      </c>
      <c r="C288" t="s">
        <v>261</v>
      </c>
      <c r="D288" t="s">
        <v>25</v>
      </c>
      <c r="E288" t="s">
        <v>26</v>
      </c>
      <c r="F288" t="s">
        <v>19</v>
      </c>
      <c r="G288" t="s">
        <v>56</v>
      </c>
      <c r="H288" t="s">
        <v>39</v>
      </c>
      <c r="I288">
        <v>4</v>
      </c>
      <c r="J288">
        <v>600</v>
      </c>
      <c r="K288">
        <v>0</v>
      </c>
      <c r="L288">
        <v>2400</v>
      </c>
      <c r="M288">
        <v>1320</v>
      </c>
      <c r="N288">
        <v>1080</v>
      </c>
    </row>
    <row r="289" spans="1:14" x14ac:dyDescent="0.35">
      <c r="A289" t="s">
        <v>600</v>
      </c>
      <c r="B289" t="s">
        <v>601</v>
      </c>
      <c r="C289" t="s">
        <v>602</v>
      </c>
      <c r="D289" t="s">
        <v>54</v>
      </c>
      <c r="E289" t="s">
        <v>55</v>
      </c>
      <c r="F289" t="s">
        <v>37</v>
      </c>
      <c r="G289" t="s">
        <v>73</v>
      </c>
      <c r="H289" t="s">
        <v>33</v>
      </c>
      <c r="I289">
        <v>1</v>
      </c>
      <c r="J289">
        <v>180</v>
      </c>
      <c r="K289">
        <v>0.1</v>
      </c>
      <c r="L289">
        <v>162</v>
      </c>
      <c r="M289">
        <v>90</v>
      </c>
      <c r="N289">
        <v>72</v>
      </c>
    </row>
    <row r="290" spans="1:14" x14ac:dyDescent="0.35">
      <c r="A290" t="s">
        <v>603</v>
      </c>
      <c r="B290" t="s">
        <v>601</v>
      </c>
      <c r="C290" t="s">
        <v>339</v>
      </c>
      <c r="D290" t="s">
        <v>17</v>
      </c>
      <c r="E290" t="s">
        <v>124</v>
      </c>
      <c r="F290" t="s">
        <v>37</v>
      </c>
      <c r="G290" t="s">
        <v>140</v>
      </c>
      <c r="H290" t="s">
        <v>33</v>
      </c>
      <c r="I290">
        <v>3</v>
      </c>
      <c r="J290">
        <v>1200</v>
      </c>
      <c r="K290">
        <v>0.05</v>
      </c>
      <c r="L290">
        <v>3420</v>
      </c>
      <c r="M290">
        <v>2160</v>
      </c>
      <c r="N290">
        <v>1260</v>
      </c>
    </row>
    <row r="291" spans="1:14" x14ac:dyDescent="0.35">
      <c r="A291" t="s">
        <v>604</v>
      </c>
      <c r="B291" t="s">
        <v>601</v>
      </c>
      <c r="C291" t="s">
        <v>355</v>
      </c>
      <c r="D291" t="s">
        <v>54</v>
      </c>
      <c r="E291" t="s">
        <v>110</v>
      </c>
      <c r="F291" t="s">
        <v>19</v>
      </c>
      <c r="G291" t="s">
        <v>113</v>
      </c>
      <c r="H291" t="s">
        <v>125</v>
      </c>
      <c r="I291">
        <v>6</v>
      </c>
      <c r="J291">
        <v>280</v>
      </c>
      <c r="K291">
        <v>0.1</v>
      </c>
      <c r="L291">
        <v>1512</v>
      </c>
      <c r="M291">
        <v>900</v>
      </c>
      <c r="N291">
        <v>612</v>
      </c>
    </row>
    <row r="292" spans="1:14" x14ac:dyDescent="0.35">
      <c r="A292" t="s">
        <v>605</v>
      </c>
      <c r="B292" t="s">
        <v>606</v>
      </c>
      <c r="C292" t="s">
        <v>152</v>
      </c>
      <c r="D292" t="s">
        <v>43</v>
      </c>
      <c r="E292" t="s">
        <v>44</v>
      </c>
      <c r="F292" t="s">
        <v>45</v>
      </c>
      <c r="G292" t="s">
        <v>46</v>
      </c>
      <c r="H292" t="s">
        <v>125</v>
      </c>
      <c r="I292">
        <v>10</v>
      </c>
      <c r="J292">
        <v>2200</v>
      </c>
      <c r="K292">
        <v>0.1</v>
      </c>
      <c r="L292">
        <v>19800</v>
      </c>
      <c r="M292">
        <v>14500</v>
      </c>
      <c r="N292">
        <v>5300</v>
      </c>
    </row>
    <row r="293" spans="1:14" x14ac:dyDescent="0.35">
      <c r="A293" t="s">
        <v>607</v>
      </c>
      <c r="B293" t="s">
        <v>606</v>
      </c>
      <c r="C293" t="s">
        <v>264</v>
      </c>
      <c r="D293" t="s">
        <v>54</v>
      </c>
      <c r="E293" t="s">
        <v>103</v>
      </c>
      <c r="F293" t="s">
        <v>19</v>
      </c>
      <c r="G293" t="s">
        <v>56</v>
      </c>
      <c r="H293" t="s">
        <v>125</v>
      </c>
      <c r="I293">
        <v>8</v>
      </c>
      <c r="J293">
        <v>150</v>
      </c>
      <c r="K293">
        <v>0.1</v>
      </c>
      <c r="L293">
        <v>1080</v>
      </c>
      <c r="M293">
        <v>600</v>
      </c>
      <c r="N293">
        <v>480</v>
      </c>
    </row>
    <row r="294" spans="1:14" x14ac:dyDescent="0.35">
      <c r="A294" t="s">
        <v>608</v>
      </c>
      <c r="B294" t="s">
        <v>606</v>
      </c>
      <c r="C294" t="s">
        <v>448</v>
      </c>
      <c r="D294" t="s">
        <v>17</v>
      </c>
      <c r="E294" t="s">
        <v>65</v>
      </c>
      <c r="F294" t="s">
        <v>19</v>
      </c>
      <c r="G294" t="s">
        <v>20</v>
      </c>
      <c r="H294" t="s">
        <v>39</v>
      </c>
      <c r="I294">
        <v>1</v>
      </c>
      <c r="J294">
        <v>2200</v>
      </c>
      <c r="K294">
        <v>0</v>
      </c>
      <c r="L294">
        <v>2200</v>
      </c>
      <c r="M294">
        <v>1400</v>
      </c>
      <c r="N294">
        <v>800</v>
      </c>
    </row>
    <row r="295" spans="1:14" x14ac:dyDescent="0.35">
      <c r="A295" t="s">
        <v>609</v>
      </c>
      <c r="B295" t="s">
        <v>606</v>
      </c>
      <c r="C295" t="s">
        <v>53</v>
      </c>
      <c r="D295" t="s">
        <v>54</v>
      </c>
      <c r="E295" t="s">
        <v>110</v>
      </c>
      <c r="F295" t="s">
        <v>27</v>
      </c>
      <c r="G295" t="s">
        <v>90</v>
      </c>
      <c r="H295" t="s">
        <v>125</v>
      </c>
      <c r="I295">
        <v>6</v>
      </c>
      <c r="J295">
        <v>280</v>
      </c>
      <c r="K295">
        <v>0.05</v>
      </c>
      <c r="L295">
        <v>1596</v>
      </c>
      <c r="M295">
        <v>900</v>
      </c>
      <c r="N295">
        <v>696</v>
      </c>
    </row>
    <row r="296" spans="1:14" x14ac:dyDescent="0.35">
      <c r="A296" t="s">
        <v>610</v>
      </c>
      <c r="B296" t="s">
        <v>611</v>
      </c>
      <c r="C296" t="s">
        <v>88</v>
      </c>
      <c r="D296" t="s">
        <v>25</v>
      </c>
      <c r="E296" t="s">
        <v>26</v>
      </c>
      <c r="F296" t="s">
        <v>37</v>
      </c>
      <c r="G296" t="s">
        <v>140</v>
      </c>
      <c r="H296" t="s">
        <v>33</v>
      </c>
      <c r="I296">
        <v>10</v>
      </c>
      <c r="J296">
        <v>600</v>
      </c>
      <c r="K296">
        <v>0</v>
      </c>
      <c r="L296">
        <v>6000</v>
      </c>
      <c r="M296">
        <v>3300</v>
      </c>
      <c r="N296">
        <v>2700</v>
      </c>
    </row>
    <row r="297" spans="1:14" x14ac:dyDescent="0.35">
      <c r="A297" t="s">
        <v>612</v>
      </c>
      <c r="B297" t="s">
        <v>613</v>
      </c>
      <c r="C297" t="s">
        <v>236</v>
      </c>
      <c r="D297" t="s">
        <v>25</v>
      </c>
      <c r="E297" t="s">
        <v>26</v>
      </c>
      <c r="F297" t="s">
        <v>45</v>
      </c>
      <c r="G297" t="s">
        <v>122</v>
      </c>
      <c r="H297" t="s">
        <v>29</v>
      </c>
      <c r="I297">
        <v>9</v>
      </c>
      <c r="J297">
        <v>600</v>
      </c>
      <c r="K297">
        <v>0.05</v>
      </c>
      <c r="L297">
        <v>5130</v>
      </c>
      <c r="M297">
        <v>2970</v>
      </c>
      <c r="N297">
        <v>2160</v>
      </c>
    </row>
    <row r="298" spans="1:14" x14ac:dyDescent="0.35">
      <c r="A298" t="s">
        <v>614</v>
      </c>
      <c r="B298" t="s">
        <v>613</v>
      </c>
      <c r="C298" t="s">
        <v>615</v>
      </c>
      <c r="D298" t="s">
        <v>43</v>
      </c>
      <c r="E298" t="s">
        <v>44</v>
      </c>
      <c r="F298" t="s">
        <v>45</v>
      </c>
      <c r="G298" t="s">
        <v>104</v>
      </c>
      <c r="H298" t="s">
        <v>21</v>
      </c>
      <c r="I298">
        <v>8</v>
      </c>
      <c r="J298">
        <v>2200</v>
      </c>
      <c r="K298">
        <v>0.05</v>
      </c>
      <c r="L298">
        <v>16720</v>
      </c>
      <c r="M298">
        <v>11600</v>
      </c>
      <c r="N298">
        <v>5120</v>
      </c>
    </row>
    <row r="299" spans="1:14" x14ac:dyDescent="0.35">
      <c r="A299" t="s">
        <v>616</v>
      </c>
      <c r="B299" t="s">
        <v>617</v>
      </c>
      <c r="C299" t="s">
        <v>549</v>
      </c>
      <c r="D299" t="s">
        <v>17</v>
      </c>
      <c r="E299" t="s">
        <v>32</v>
      </c>
      <c r="F299" t="s">
        <v>45</v>
      </c>
      <c r="G299" t="s">
        <v>46</v>
      </c>
      <c r="H299" t="s">
        <v>39</v>
      </c>
      <c r="I299">
        <v>4</v>
      </c>
      <c r="J299">
        <v>1500</v>
      </c>
      <c r="K299">
        <v>0.1</v>
      </c>
      <c r="L299">
        <v>5400</v>
      </c>
      <c r="M299">
        <v>3600</v>
      </c>
      <c r="N299">
        <v>1800</v>
      </c>
    </row>
    <row r="300" spans="1:14" x14ac:dyDescent="0.35">
      <c r="A300" t="s">
        <v>618</v>
      </c>
      <c r="B300" t="s">
        <v>619</v>
      </c>
      <c r="C300" t="s">
        <v>343</v>
      </c>
      <c r="D300" t="s">
        <v>17</v>
      </c>
      <c r="E300" t="s">
        <v>124</v>
      </c>
      <c r="F300" t="s">
        <v>27</v>
      </c>
      <c r="G300" t="s">
        <v>51</v>
      </c>
      <c r="H300" t="s">
        <v>47</v>
      </c>
      <c r="I300">
        <v>7</v>
      </c>
      <c r="J300">
        <v>1200</v>
      </c>
      <c r="K300">
        <v>0.05</v>
      </c>
      <c r="L300">
        <v>7980</v>
      </c>
      <c r="M300">
        <v>5040</v>
      </c>
      <c r="N300">
        <v>2940</v>
      </c>
    </row>
    <row r="301" spans="1:14" x14ac:dyDescent="0.35">
      <c r="A301" t="s">
        <v>620</v>
      </c>
      <c r="B301" t="s">
        <v>619</v>
      </c>
      <c r="C301" t="s">
        <v>543</v>
      </c>
      <c r="D301" t="s">
        <v>17</v>
      </c>
      <c r="E301" t="s">
        <v>18</v>
      </c>
      <c r="F301" t="s">
        <v>19</v>
      </c>
      <c r="G301" t="s">
        <v>20</v>
      </c>
      <c r="H301" t="s">
        <v>29</v>
      </c>
      <c r="I301">
        <v>2</v>
      </c>
      <c r="J301">
        <v>1800</v>
      </c>
      <c r="K301">
        <v>0.05</v>
      </c>
      <c r="L301">
        <v>3420</v>
      </c>
      <c r="M301">
        <v>2200</v>
      </c>
      <c r="N301">
        <v>1220</v>
      </c>
    </row>
    <row r="302" spans="1:14" x14ac:dyDescent="0.35">
      <c r="A302" t="s">
        <v>621</v>
      </c>
      <c r="B302" t="s">
        <v>619</v>
      </c>
      <c r="C302" t="s">
        <v>506</v>
      </c>
      <c r="D302" t="s">
        <v>54</v>
      </c>
      <c r="E302" t="s">
        <v>103</v>
      </c>
      <c r="F302" t="s">
        <v>37</v>
      </c>
      <c r="G302" t="s">
        <v>73</v>
      </c>
      <c r="H302" t="s">
        <v>47</v>
      </c>
      <c r="I302">
        <v>10</v>
      </c>
      <c r="J302">
        <v>150</v>
      </c>
      <c r="K302">
        <v>0.1</v>
      </c>
      <c r="L302">
        <v>1350</v>
      </c>
      <c r="M302">
        <v>750</v>
      </c>
      <c r="N302">
        <v>600</v>
      </c>
    </row>
    <row r="303" spans="1:14" x14ac:dyDescent="0.35">
      <c r="A303" t="s">
        <v>622</v>
      </c>
      <c r="B303" t="s">
        <v>623</v>
      </c>
      <c r="C303" t="s">
        <v>455</v>
      </c>
      <c r="D303" t="s">
        <v>17</v>
      </c>
      <c r="E303" t="s">
        <v>65</v>
      </c>
      <c r="F303" t="s">
        <v>27</v>
      </c>
      <c r="G303" t="s">
        <v>85</v>
      </c>
      <c r="H303" t="s">
        <v>125</v>
      </c>
      <c r="I303">
        <v>5</v>
      </c>
      <c r="J303">
        <v>2200</v>
      </c>
      <c r="K303">
        <v>0.15</v>
      </c>
      <c r="L303">
        <v>9350</v>
      </c>
      <c r="M303">
        <v>7000</v>
      </c>
      <c r="N303">
        <v>2350</v>
      </c>
    </row>
    <row r="304" spans="1:14" x14ac:dyDescent="0.35">
      <c r="A304" t="s">
        <v>624</v>
      </c>
      <c r="B304" t="s">
        <v>623</v>
      </c>
      <c r="C304" t="s">
        <v>625</v>
      </c>
      <c r="D304" t="s">
        <v>25</v>
      </c>
      <c r="E304" t="s">
        <v>80</v>
      </c>
      <c r="F304" t="s">
        <v>27</v>
      </c>
      <c r="G304" t="s">
        <v>90</v>
      </c>
      <c r="H304" t="s">
        <v>39</v>
      </c>
      <c r="I304">
        <v>8</v>
      </c>
      <c r="J304">
        <v>950</v>
      </c>
      <c r="K304">
        <v>0.1</v>
      </c>
      <c r="L304">
        <v>6840</v>
      </c>
      <c r="M304">
        <v>4480</v>
      </c>
      <c r="N304">
        <v>2360</v>
      </c>
    </row>
    <row r="305" spans="1:14" x14ac:dyDescent="0.35">
      <c r="A305" t="s">
        <v>626</v>
      </c>
      <c r="B305" t="s">
        <v>623</v>
      </c>
      <c r="C305" t="s">
        <v>328</v>
      </c>
      <c r="D305" t="s">
        <v>25</v>
      </c>
      <c r="E305" t="s">
        <v>36</v>
      </c>
      <c r="F305" t="s">
        <v>19</v>
      </c>
      <c r="G305" t="s">
        <v>56</v>
      </c>
      <c r="H305" t="s">
        <v>125</v>
      </c>
      <c r="I305">
        <v>6</v>
      </c>
      <c r="J305">
        <v>700</v>
      </c>
      <c r="K305">
        <v>0</v>
      </c>
      <c r="L305">
        <v>4200</v>
      </c>
      <c r="M305">
        <v>2400</v>
      </c>
      <c r="N305">
        <v>1800</v>
      </c>
    </row>
    <row r="306" spans="1:14" x14ac:dyDescent="0.35">
      <c r="A306" t="s">
        <v>627</v>
      </c>
      <c r="B306" t="s">
        <v>623</v>
      </c>
      <c r="C306" t="s">
        <v>335</v>
      </c>
      <c r="D306" t="s">
        <v>17</v>
      </c>
      <c r="E306" t="s">
        <v>65</v>
      </c>
      <c r="F306" t="s">
        <v>45</v>
      </c>
      <c r="G306" t="s">
        <v>104</v>
      </c>
      <c r="H306" t="s">
        <v>29</v>
      </c>
      <c r="I306">
        <v>9</v>
      </c>
      <c r="J306">
        <v>2200</v>
      </c>
      <c r="K306">
        <v>0</v>
      </c>
      <c r="L306">
        <v>19800</v>
      </c>
      <c r="M306">
        <v>12600</v>
      </c>
      <c r="N306">
        <v>7200</v>
      </c>
    </row>
    <row r="307" spans="1:14" x14ac:dyDescent="0.35">
      <c r="A307" t="s">
        <v>628</v>
      </c>
      <c r="B307" t="s">
        <v>629</v>
      </c>
      <c r="C307" t="s">
        <v>412</v>
      </c>
      <c r="D307" t="s">
        <v>54</v>
      </c>
      <c r="E307" t="s">
        <v>55</v>
      </c>
      <c r="F307" t="s">
        <v>45</v>
      </c>
      <c r="G307" t="s">
        <v>104</v>
      </c>
      <c r="H307" t="s">
        <v>33</v>
      </c>
      <c r="I307">
        <v>10</v>
      </c>
      <c r="J307">
        <v>180</v>
      </c>
      <c r="K307">
        <v>0.1</v>
      </c>
      <c r="L307">
        <v>1620</v>
      </c>
      <c r="M307">
        <v>900</v>
      </c>
      <c r="N307">
        <v>720</v>
      </c>
    </row>
    <row r="308" spans="1:14" x14ac:dyDescent="0.35">
      <c r="A308" t="s">
        <v>630</v>
      </c>
      <c r="B308" t="s">
        <v>629</v>
      </c>
      <c r="C308" t="s">
        <v>631</v>
      </c>
      <c r="D308" t="s">
        <v>25</v>
      </c>
      <c r="E308" t="s">
        <v>80</v>
      </c>
      <c r="F308" t="s">
        <v>27</v>
      </c>
      <c r="G308" t="s">
        <v>90</v>
      </c>
      <c r="H308" t="s">
        <v>47</v>
      </c>
      <c r="I308">
        <v>1</v>
      </c>
      <c r="J308">
        <v>950</v>
      </c>
      <c r="K308">
        <v>0.05</v>
      </c>
      <c r="L308">
        <v>902.5</v>
      </c>
      <c r="M308">
        <v>560</v>
      </c>
      <c r="N308">
        <v>342.5</v>
      </c>
    </row>
    <row r="309" spans="1:14" x14ac:dyDescent="0.35">
      <c r="A309" t="s">
        <v>632</v>
      </c>
      <c r="B309" t="s">
        <v>629</v>
      </c>
      <c r="C309" t="s">
        <v>220</v>
      </c>
      <c r="D309" t="s">
        <v>54</v>
      </c>
      <c r="E309" t="s">
        <v>110</v>
      </c>
      <c r="F309" t="s">
        <v>37</v>
      </c>
      <c r="G309" t="s">
        <v>38</v>
      </c>
      <c r="H309" t="s">
        <v>33</v>
      </c>
      <c r="I309">
        <v>1</v>
      </c>
      <c r="J309">
        <v>280</v>
      </c>
      <c r="K309">
        <v>0</v>
      </c>
      <c r="L309">
        <v>280</v>
      </c>
      <c r="M309">
        <v>150</v>
      </c>
      <c r="N309">
        <v>130</v>
      </c>
    </row>
    <row r="310" spans="1:14" x14ac:dyDescent="0.35">
      <c r="A310" t="s">
        <v>633</v>
      </c>
      <c r="B310" t="s">
        <v>629</v>
      </c>
      <c r="C310" t="s">
        <v>244</v>
      </c>
      <c r="D310" t="s">
        <v>43</v>
      </c>
      <c r="E310" t="s">
        <v>250</v>
      </c>
      <c r="F310" t="s">
        <v>19</v>
      </c>
      <c r="G310" t="s">
        <v>20</v>
      </c>
      <c r="H310" t="s">
        <v>33</v>
      </c>
      <c r="I310">
        <v>6</v>
      </c>
      <c r="J310">
        <v>900</v>
      </c>
      <c r="K310">
        <v>0.15</v>
      </c>
      <c r="L310">
        <v>4590</v>
      </c>
      <c r="M310">
        <v>3120</v>
      </c>
      <c r="N310">
        <v>1470</v>
      </c>
    </row>
    <row r="311" spans="1:14" x14ac:dyDescent="0.35">
      <c r="A311" t="s">
        <v>634</v>
      </c>
      <c r="B311" t="s">
        <v>635</v>
      </c>
      <c r="C311" t="s">
        <v>309</v>
      </c>
      <c r="D311" t="s">
        <v>43</v>
      </c>
      <c r="E311" t="s">
        <v>143</v>
      </c>
      <c r="F311" t="s">
        <v>37</v>
      </c>
      <c r="G311" t="s">
        <v>38</v>
      </c>
      <c r="H311" t="s">
        <v>21</v>
      </c>
      <c r="I311">
        <v>9</v>
      </c>
      <c r="J311">
        <v>650</v>
      </c>
      <c r="K311">
        <v>0</v>
      </c>
      <c r="L311">
        <v>5850</v>
      </c>
      <c r="M311">
        <v>3150</v>
      </c>
      <c r="N311">
        <v>2700</v>
      </c>
    </row>
    <row r="312" spans="1:14" x14ac:dyDescent="0.35">
      <c r="A312" t="s">
        <v>636</v>
      </c>
      <c r="B312" t="s">
        <v>635</v>
      </c>
      <c r="C312" t="s">
        <v>637</v>
      </c>
      <c r="D312" t="s">
        <v>25</v>
      </c>
      <c r="E312" t="s">
        <v>89</v>
      </c>
      <c r="F312" t="s">
        <v>19</v>
      </c>
      <c r="G312" t="s">
        <v>20</v>
      </c>
      <c r="H312" t="s">
        <v>29</v>
      </c>
      <c r="I312">
        <v>5</v>
      </c>
      <c r="J312">
        <v>550</v>
      </c>
      <c r="K312">
        <v>0</v>
      </c>
      <c r="L312">
        <v>2750</v>
      </c>
      <c r="M312">
        <v>1500</v>
      </c>
      <c r="N312">
        <v>1250</v>
      </c>
    </row>
    <row r="313" spans="1:14" x14ac:dyDescent="0.35">
      <c r="A313" t="s">
        <v>638</v>
      </c>
      <c r="B313" t="s">
        <v>635</v>
      </c>
      <c r="C313" t="s">
        <v>639</v>
      </c>
      <c r="D313" t="s">
        <v>25</v>
      </c>
      <c r="E313" t="s">
        <v>89</v>
      </c>
      <c r="F313" t="s">
        <v>19</v>
      </c>
      <c r="G313" t="s">
        <v>113</v>
      </c>
      <c r="H313" t="s">
        <v>33</v>
      </c>
      <c r="I313">
        <v>3</v>
      </c>
      <c r="J313">
        <v>550</v>
      </c>
      <c r="K313">
        <v>0.05</v>
      </c>
      <c r="L313">
        <v>1567.5</v>
      </c>
      <c r="M313">
        <v>900</v>
      </c>
      <c r="N313">
        <v>667.5</v>
      </c>
    </row>
    <row r="314" spans="1:14" x14ac:dyDescent="0.35">
      <c r="A314" t="s">
        <v>640</v>
      </c>
      <c r="B314" t="s">
        <v>641</v>
      </c>
      <c r="C314" t="s">
        <v>325</v>
      </c>
      <c r="D314" t="s">
        <v>25</v>
      </c>
      <c r="E314" t="s">
        <v>36</v>
      </c>
      <c r="F314" t="s">
        <v>37</v>
      </c>
      <c r="G314" t="s">
        <v>140</v>
      </c>
      <c r="H314" t="s">
        <v>39</v>
      </c>
      <c r="I314">
        <v>5</v>
      </c>
      <c r="J314">
        <v>700</v>
      </c>
      <c r="K314">
        <v>0</v>
      </c>
      <c r="L314">
        <v>3500</v>
      </c>
      <c r="M314">
        <v>2000</v>
      </c>
      <c r="N314">
        <v>1500</v>
      </c>
    </row>
    <row r="315" spans="1:14" x14ac:dyDescent="0.35">
      <c r="A315" t="s">
        <v>642</v>
      </c>
      <c r="B315" t="s">
        <v>641</v>
      </c>
      <c r="C315" t="s">
        <v>643</v>
      </c>
      <c r="D315" t="s">
        <v>54</v>
      </c>
      <c r="E315" t="s">
        <v>107</v>
      </c>
      <c r="F315" t="s">
        <v>19</v>
      </c>
      <c r="G315" t="s">
        <v>56</v>
      </c>
      <c r="H315" t="s">
        <v>29</v>
      </c>
      <c r="I315">
        <v>4</v>
      </c>
      <c r="J315">
        <v>120</v>
      </c>
      <c r="K315">
        <v>0.1</v>
      </c>
      <c r="L315">
        <v>432</v>
      </c>
      <c r="M315">
        <v>220</v>
      </c>
      <c r="N315">
        <v>212</v>
      </c>
    </row>
    <row r="316" spans="1:14" x14ac:dyDescent="0.35">
      <c r="A316" t="s">
        <v>644</v>
      </c>
      <c r="B316" t="s">
        <v>641</v>
      </c>
      <c r="C316" t="s">
        <v>64</v>
      </c>
      <c r="D316" t="s">
        <v>25</v>
      </c>
      <c r="E316" t="s">
        <v>89</v>
      </c>
      <c r="F316" t="s">
        <v>37</v>
      </c>
      <c r="G316" t="s">
        <v>97</v>
      </c>
      <c r="H316" t="s">
        <v>33</v>
      </c>
      <c r="I316">
        <v>2</v>
      </c>
      <c r="J316">
        <v>550</v>
      </c>
      <c r="K316">
        <v>0.1</v>
      </c>
      <c r="L316">
        <v>990</v>
      </c>
      <c r="M316">
        <v>600</v>
      </c>
      <c r="N316">
        <v>390</v>
      </c>
    </row>
    <row r="317" spans="1:14" x14ac:dyDescent="0.35">
      <c r="A317" t="s">
        <v>645</v>
      </c>
      <c r="B317" t="s">
        <v>646</v>
      </c>
      <c r="C317" t="s">
        <v>49</v>
      </c>
      <c r="D317" t="s">
        <v>17</v>
      </c>
      <c r="E317" t="s">
        <v>124</v>
      </c>
      <c r="F317" t="s">
        <v>45</v>
      </c>
      <c r="G317" t="s">
        <v>122</v>
      </c>
      <c r="H317" t="s">
        <v>33</v>
      </c>
      <c r="I317">
        <v>3</v>
      </c>
      <c r="J317">
        <v>1200</v>
      </c>
      <c r="K317">
        <v>0</v>
      </c>
      <c r="L317">
        <v>3600</v>
      </c>
      <c r="M317">
        <v>2160</v>
      </c>
      <c r="N317">
        <v>1440</v>
      </c>
    </row>
    <row r="318" spans="1:14" x14ac:dyDescent="0.35">
      <c r="A318" t="s">
        <v>647</v>
      </c>
      <c r="B318" t="s">
        <v>646</v>
      </c>
      <c r="C318" t="s">
        <v>248</v>
      </c>
      <c r="D318" t="s">
        <v>17</v>
      </c>
      <c r="E318" t="s">
        <v>65</v>
      </c>
      <c r="F318" t="s">
        <v>45</v>
      </c>
      <c r="G318" t="s">
        <v>70</v>
      </c>
      <c r="H318" t="s">
        <v>33</v>
      </c>
      <c r="I318">
        <v>9</v>
      </c>
      <c r="J318">
        <v>2200</v>
      </c>
      <c r="K318">
        <v>0.05</v>
      </c>
      <c r="L318">
        <v>18810</v>
      </c>
      <c r="M318">
        <v>12600</v>
      </c>
      <c r="N318">
        <v>6210</v>
      </c>
    </row>
    <row r="319" spans="1:14" x14ac:dyDescent="0.35">
      <c r="A319" t="s">
        <v>648</v>
      </c>
      <c r="B319" t="s">
        <v>646</v>
      </c>
      <c r="C319" t="s">
        <v>649</v>
      </c>
      <c r="D319" t="s">
        <v>54</v>
      </c>
      <c r="E319" t="s">
        <v>110</v>
      </c>
      <c r="F319" t="s">
        <v>19</v>
      </c>
      <c r="G319" t="s">
        <v>215</v>
      </c>
      <c r="H319" t="s">
        <v>29</v>
      </c>
      <c r="I319">
        <v>8</v>
      </c>
      <c r="J319">
        <v>280</v>
      </c>
      <c r="K319">
        <v>0</v>
      </c>
      <c r="L319">
        <v>2240</v>
      </c>
      <c r="M319">
        <v>1200</v>
      </c>
      <c r="N319">
        <v>1040</v>
      </c>
    </row>
    <row r="320" spans="1:14" x14ac:dyDescent="0.35">
      <c r="A320" t="s">
        <v>650</v>
      </c>
      <c r="B320" t="s">
        <v>646</v>
      </c>
      <c r="C320" t="s">
        <v>173</v>
      </c>
      <c r="D320" t="s">
        <v>43</v>
      </c>
      <c r="E320" t="s">
        <v>44</v>
      </c>
      <c r="F320" t="s">
        <v>37</v>
      </c>
      <c r="G320" t="s">
        <v>73</v>
      </c>
      <c r="H320" t="s">
        <v>125</v>
      </c>
      <c r="I320">
        <v>1</v>
      </c>
      <c r="J320">
        <v>2200</v>
      </c>
      <c r="K320">
        <v>0.05</v>
      </c>
      <c r="L320">
        <v>2090</v>
      </c>
      <c r="M320">
        <v>1450</v>
      </c>
      <c r="N320">
        <v>640</v>
      </c>
    </row>
    <row r="321" spans="1:14" x14ac:dyDescent="0.35">
      <c r="A321" t="s">
        <v>651</v>
      </c>
      <c r="B321" t="s">
        <v>652</v>
      </c>
      <c r="C321" t="s">
        <v>653</v>
      </c>
      <c r="D321" t="s">
        <v>17</v>
      </c>
      <c r="E321" t="s">
        <v>65</v>
      </c>
      <c r="F321" t="s">
        <v>19</v>
      </c>
      <c r="G321" t="s">
        <v>215</v>
      </c>
      <c r="H321" t="s">
        <v>29</v>
      </c>
      <c r="I321">
        <v>7</v>
      </c>
      <c r="J321">
        <v>2200</v>
      </c>
      <c r="K321">
        <v>0.1</v>
      </c>
      <c r="L321">
        <v>13860</v>
      </c>
      <c r="M321">
        <v>9800</v>
      </c>
      <c r="N321">
        <v>4060</v>
      </c>
    </row>
    <row r="322" spans="1:14" x14ac:dyDescent="0.35">
      <c r="A322" t="s">
        <v>654</v>
      </c>
      <c r="B322" t="s">
        <v>652</v>
      </c>
      <c r="C322" t="s">
        <v>534</v>
      </c>
      <c r="D322" t="s">
        <v>25</v>
      </c>
      <c r="E322" t="s">
        <v>36</v>
      </c>
      <c r="F322" t="s">
        <v>37</v>
      </c>
      <c r="G322" t="s">
        <v>73</v>
      </c>
      <c r="H322" t="s">
        <v>47</v>
      </c>
      <c r="I322">
        <v>9</v>
      </c>
      <c r="J322">
        <v>700</v>
      </c>
      <c r="K322">
        <v>0</v>
      </c>
      <c r="L322">
        <v>6300</v>
      </c>
      <c r="M322">
        <v>3600</v>
      </c>
      <c r="N322">
        <v>2700</v>
      </c>
    </row>
    <row r="323" spans="1:14" x14ac:dyDescent="0.35">
      <c r="A323" t="s">
        <v>655</v>
      </c>
      <c r="B323" t="s">
        <v>656</v>
      </c>
      <c r="C323" t="s">
        <v>161</v>
      </c>
      <c r="D323" t="s">
        <v>17</v>
      </c>
      <c r="E323" t="s">
        <v>32</v>
      </c>
      <c r="F323" t="s">
        <v>45</v>
      </c>
      <c r="G323" t="s">
        <v>46</v>
      </c>
      <c r="H323" t="s">
        <v>39</v>
      </c>
      <c r="I323">
        <v>7</v>
      </c>
      <c r="J323">
        <v>1500</v>
      </c>
      <c r="K323">
        <v>0.15</v>
      </c>
      <c r="L323">
        <v>8925</v>
      </c>
      <c r="M323">
        <v>6300</v>
      </c>
      <c r="N323">
        <v>2625</v>
      </c>
    </row>
    <row r="324" spans="1:14" x14ac:dyDescent="0.35">
      <c r="A324" t="s">
        <v>657</v>
      </c>
      <c r="B324" t="s">
        <v>656</v>
      </c>
      <c r="C324" t="s">
        <v>127</v>
      </c>
      <c r="D324" t="s">
        <v>54</v>
      </c>
      <c r="E324" t="s">
        <v>116</v>
      </c>
      <c r="F324" t="s">
        <v>37</v>
      </c>
      <c r="G324" t="s">
        <v>38</v>
      </c>
      <c r="H324" t="s">
        <v>21</v>
      </c>
      <c r="I324">
        <v>9</v>
      </c>
      <c r="J324">
        <v>450</v>
      </c>
      <c r="K324">
        <v>0</v>
      </c>
      <c r="L324">
        <v>4050</v>
      </c>
      <c r="M324">
        <v>2250</v>
      </c>
      <c r="N324">
        <v>1800</v>
      </c>
    </row>
    <row r="325" spans="1:14" x14ac:dyDescent="0.35">
      <c r="A325" t="s">
        <v>658</v>
      </c>
      <c r="B325" t="s">
        <v>656</v>
      </c>
      <c r="C325" t="s">
        <v>653</v>
      </c>
      <c r="D325" t="s">
        <v>17</v>
      </c>
      <c r="E325" t="s">
        <v>50</v>
      </c>
      <c r="F325" t="s">
        <v>45</v>
      </c>
      <c r="G325" t="s">
        <v>104</v>
      </c>
      <c r="H325" t="s">
        <v>21</v>
      </c>
      <c r="I325">
        <v>10</v>
      </c>
      <c r="J325">
        <v>650</v>
      </c>
      <c r="K325">
        <v>0.1</v>
      </c>
      <c r="L325">
        <v>5850</v>
      </c>
      <c r="M325">
        <v>3800</v>
      </c>
      <c r="N325">
        <v>2050</v>
      </c>
    </row>
    <row r="326" spans="1:14" x14ac:dyDescent="0.35">
      <c r="A326" t="s">
        <v>659</v>
      </c>
      <c r="B326" t="s">
        <v>656</v>
      </c>
      <c r="C326" t="s">
        <v>82</v>
      </c>
      <c r="D326" t="s">
        <v>17</v>
      </c>
      <c r="E326" t="s">
        <v>32</v>
      </c>
      <c r="F326" t="s">
        <v>37</v>
      </c>
      <c r="G326" t="s">
        <v>38</v>
      </c>
      <c r="H326" t="s">
        <v>21</v>
      </c>
      <c r="I326">
        <v>3</v>
      </c>
      <c r="J326">
        <v>1500</v>
      </c>
      <c r="K326">
        <v>0</v>
      </c>
      <c r="L326">
        <v>4500</v>
      </c>
      <c r="M326">
        <v>2700</v>
      </c>
      <c r="N326">
        <v>1800</v>
      </c>
    </row>
    <row r="327" spans="1:14" x14ac:dyDescent="0.35">
      <c r="A327" t="s">
        <v>660</v>
      </c>
      <c r="B327" t="s">
        <v>661</v>
      </c>
      <c r="C327" t="s">
        <v>662</v>
      </c>
      <c r="D327" t="s">
        <v>25</v>
      </c>
      <c r="E327" t="s">
        <v>69</v>
      </c>
      <c r="F327" t="s">
        <v>45</v>
      </c>
      <c r="G327" t="s">
        <v>122</v>
      </c>
      <c r="H327" t="s">
        <v>39</v>
      </c>
      <c r="I327">
        <v>7</v>
      </c>
      <c r="J327">
        <v>350</v>
      </c>
      <c r="K327">
        <v>0</v>
      </c>
      <c r="L327">
        <v>2450</v>
      </c>
      <c r="M327">
        <v>1260</v>
      </c>
      <c r="N327">
        <v>1190</v>
      </c>
    </row>
    <row r="328" spans="1:14" x14ac:dyDescent="0.35">
      <c r="A328" t="s">
        <v>663</v>
      </c>
      <c r="B328" t="s">
        <v>661</v>
      </c>
      <c r="C328" t="s">
        <v>664</v>
      </c>
      <c r="D328" t="s">
        <v>17</v>
      </c>
      <c r="E328" t="s">
        <v>32</v>
      </c>
      <c r="F328" t="s">
        <v>45</v>
      </c>
      <c r="G328" t="s">
        <v>122</v>
      </c>
      <c r="H328" t="s">
        <v>21</v>
      </c>
      <c r="I328">
        <v>10</v>
      </c>
      <c r="J328">
        <v>1500</v>
      </c>
      <c r="K328">
        <v>0</v>
      </c>
      <c r="L328">
        <v>15000</v>
      </c>
      <c r="M328">
        <v>9000</v>
      </c>
      <c r="N328">
        <v>6000</v>
      </c>
    </row>
    <row r="329" spans="1:14" x14ac:dyDescent="0.35">
      <c r="A329" t="s">
        <v>665</v>
      </c>
      <c r="B329" t="s">
        <v>666</v>
      </c>
      <c r="C329" t="s">
        <v>464</v>
      </c>
      <c r="D329" t="s">
        <v>25</v>
      </c>
      <c r="E329" t="s">
        <v>89</v>
      </c>
      <c r="F329" t="s">
        <v>37</v>
      </c>
      <c r="G329" t="s">
        <v>38</v>
      </c>
      <c r="H329" t="s">
        <v>33</v>
      </c>
      <c r="I329">
        <v>4</v>
      </c>
      <c r="J329">
        <v>550</v>
      </c>
      <c r="K329">
        <v>0</v>
      </c>
      <c r="L329">
        <v>2200</v>
      </c>
      <c r="M329">
        <v>1200</v>
      </c>
      <c r="N329">
        <v>1000</v>
      </c>
    </row>
    <row r="330" spans="1:14" x14ac:dyDescent="0.35">
      <c r="A330" t="s">
        <v>667</v>
      </c>
      <c r="B330" t="s">
        <v>666</v>
      </c>
      <c r="C330" t="s">
        <v>517</v>
      </c>
      <c r="D330" t="s">
        <v>54</v>
      </c>
      <c r="E330" t="s">
        <v>103</v>
      </c>
      <c r="F330" t="s">
        <v>19</v>
      </c>
      <c r="G330" t="s">
        <v>215</v>
      </c>
      <c r="H330" t="s">
        <v>39</v>
      </c>
      <c r="I330">
        <v>6</v>
      </c>
      <c r="J330">
        <v>150</v>
      </c>
      <c r="K330">
        <v>0.1</v>
      </c>
      <c r="L330">
        <v>810</v>
      </c>
      <c r="M330">
        <v>450</v>
      </c>
      <c r="N330">
        <v>360</v>
      </c>
    </row>
    <row r="331" spans="1:14" x14ac:dyDescent="0.35">
      <c r="A331" t="s">
        <v>668</v>
      </c>
      <c r="B331" t="s">
        <v>669</v>
      </c>
      <c r="C331" t="s">
        <v>670</v>
      </c>
      <c r="D331" t="s">
        <v>54</v>
      </c>
      <c r="E331" t="s">
        <v>110</v>
      </c>
      <c r="F331" t="s">
        <v>19</v>
      </c>
      <c r="G331" t="s">
        <v>113</v>
      </c>
      <c r="H331" t="s">
        <v>33</v>
      </c>
      <c r="I331">
        <v>10</v>
      </c>
      <c r="J331">
        <v>280</v>
      </c>
      <c r="K331">
        <v>0.1</v>
      </c>
      <c r="L331">
        <v>2520</v>
      </c>
      <c r="M331">
        <v>1500</v>
      </c>
      <c r="N331">
        <v>1020</v>
      </c>
    </row>
    <row r="332" spans="1:14" x14ac:dyDescent="0.35">
      <c r="A332" t="s">
        <v>671</v>
      </c>
      <c r="B332" t="s">
        <v>672</v>
      </c>
      <c r="C332" t="s">
        <v>201</v>
      </c>
      <c r="D332" t="s">
        <v>25</v>
      </c>
      <c r="E332" t="s">
        <v>26</v>
      </c>
      <c r="F332" t="s">
        <v>27</v>
      </c>
      <c r="G332" t="s">
        <v>51</v>
      </c>
      <c r="H332" t="s">
        <v>39</v>
      </c>
      <c r="I332">
        <v>1</v>
      </c>
      <c r="J332">
        <v>600</v>
      </c>
      <c r="K332">
        <v>0.05</v>
      </c>
      <c r="L332">
        <v>570</v>
      </c>
      <c r="M332">
        <v>330</v>
      </c>
      <c r="N332">
        <v>240</v>
      </c>
    </row>
    <row r="333" spans="1:14" x14ac:dyDescent="0.35">
      <c r="A333" t="s">
        <v>673</v>
      </c>
      <c r="B333" t="s">
        <v>672</v>
      </c>
      <c r="C333" t="s">
        <v>598</v>
      </c>
      <c r="D333" t="s">
        <v>17</v>
      </c>
      <c r="E333" t="s">
        <v>18</v>
      </c>
      <c r="F333" t="s">
        <v>45</v>
      </c>
      <c r="G333" t="s">
        <v>104</v>
      </c>
      <c r="H333" t="s">
        <v>33</v>
      </c>
      <c r="I333">
        <v>4</v>
      </c>
      <c r="J333">
        <v>1800</v>
      </c>
      <c r="K333">
        <v>0</v>
      </c>
      <c r="L333">
        <v>7200</v>
      </c>
      <c r="M333">
        <v>4400</v>
      </c>
      <c r="N333">
        <v>2800</v>
      </c>
    </row>
    <row r="334" spans="1:14" x14ac:dyDescent="0.35">
      <c r="A334" t="s">
        <v>674</v>
      </c>
      <c r="B334" t="s">
        <v>672</v>
      </c>
      <c r="C334" t="s">
        <v>227</v>
      </c>
      <c r="D334" t="s">
        <v>17</v>
      </c>
      <c r="E334" t="s">
        <v>18</v>
      </c>
      <c r="F334" t="s">
        <v>45</v>
      </c>
      <c r="G334" t="s">
        <v>46</v>
      </c>
      <c r="H334" t="s">
        <v>39</v>
      </c>
      <c r="I334">
        <v>6</v>
      </c>
      <c r="J334">
        <v>1800</v>
      </c>
      <c r="K334">
        <v>0.15</v>
      </c>
      <c r="L334">
        <v>9180</v>
      </c>
      <c r="M334">
        <v>6600</v>
      </c>
      <c r="N334">
        <v>2580</v>
      </c>
    </row>
    <row r="335" spans="1:14" x14ac:dyDescent="0.35">
      <c r="A335" t="s">
        <v>675</v>
      </c>
      <c r="B335" t="s">
        <v>672</v>
      </c>
      <c r="C335" t="s">
        <v>477</v>
      </c>
      <c r="D335" t="s">
        <v>54</v>
      </c>
      <c r="E335" t="s">
        <v>107</v>
      </c>
      <c r="F335" t="s">
        <v>19</v>
      </c>
      <c r="G335" t="s">
        <v>20</v>
      </c>
      <c r="H335" t="s">
        <v>47</v>
      </c>
      <c r="I335">
        <v>2</v>
      </c>
      <c r="J335">
        <v>120</v>
      </c>
      <c r="K335">
        <v>0.05</v>
      </c>
      <c r="L335">
        <v>228</v>
      </c>
      <c r="M335">
        <v>110</v>
      </c>
      <c r="N335">
        <v>118</v>
      </c>
    </row>
    <row r="336" spans="1:14" x14ac:dyDescent="0.35">
      <c r="A336" t="s">
        <v>676</v>
      </c>
      <c r="B336" t="s">
        <v>677</v>
      </c>
      <c r="C336" t="s">
        <v>187</v>
      </c>
      <c r="D336" t="s">
        <v>54</v>
      </c>
      <c r="E336" t="s">
        <v>55</v>
      </c>
      <c r="F336" t="s">
        <v>19</v>
      </c>
      <c r="G336" t="s">
        <v>113</v>
      </c>
      <c r="H336" t="s">
        <v>125</v>
      </c>
      <c r="I336">
        <v>3</v>
      </c>
      <c r="J336">
        <v>180</v>
      </c>
      <c r="K336">
        <v>0.05</v>
      </c>
      <c r="L336">
        <v>513</v>
      </c>
      <c r="M336">
        <v>270</v>
      </c>
      <c r="N336">
        <v>243</v>
      </c>
    </row>
    <row r="337" spans="1:14" x14ac:dyDescent="0.35">
      <c r="A337" t="s">
        <v>678</v>
      </c>
      <c r="B337" t="s">
        <v>677</v>
      </c>
      <c r="C337" t="s">
        <v>152</v>
      </c>
      <c r="D337" t="s">
        <v>54</v>
      </c>
      <c r="E337" t="s">
        <v>116</v>
      </c>
      <c r="F337" t="s">
        <v>27</v>
      </c>
      <c r="G337" t="s">
        <v>85</v>
      </c>
      <c r="H337" t="s">
        <v>33</v>
      </c>
      <c r="I337">
        <v>2</v>
      </c>
      <c r="J337">
        <v>450</v>
      </c>
      <c r="K337">
        <v>0.05</v>
      </c>
      <c r="L337">
        <v>855</v>
      </c>
      <c r="M337">
        <v>500</v>
      </c>
      <c r="N337">
        <v>355</v>
      </c>
    </row>
    <row r="338" spans="1:14" x14ac:dyDescent="0.35">
      <c r="A338" t="s">
        <v>679</v>
      </c>
      <c r="B338" t="s">
        <v>680</v>
      </c>
      <c r="C338" t="s">
        <v>348</v>
      </c>
      <c r="D338" t="s">
        <v>25</v>
      </c>
      <c r="E338" t="s">
        <v>69</v>
      </c>
      <c r="F338" t="s">
        <v>37</v>
      </c>
      <c r="G338" t="s">
        <v>97</v>
      </c>
      <c r="H338" t="s">
        <v>39</v>
      </c>
      <c r="I338">
        <v>8</v>
      </c>
      <c r="J338">
        <v>350</v>
      </c>
      <c r="K338">
        <v>0</v>
      </c>
      <c r="L338">
        <v>2800</v>
      </c>
      <c r="M338">
        <v>1440</v>
      </c>
      <c r="N338">
        <v>1360</v>
      </c>
    </row>
    <row r="339" spans="1:14" x14ac:dyDescent="0.35">
      <c r="A339" t="s">
        <v>681</v>
      </c>
      <c r="B339" t="s">
        <v>682</v>
      </c>
      <c r="C339" t="s">
        <v>683</v>
      </c>
      <c r="D339" t="s">
        <v>17</v>
      </c>
      <c r="E339" t="s">
        <v>32</v>
      </c>
      <c r="F339" t="s">
        <v>45</v>
      </c>
      <c r="G339" t="s">
        <v>104</v>
      </c>
      <c r="H339" t="s">
        <v>33</v>
      </c>
      <c r="I339">
        <v>7</v>
      </c>
      <c r="J339">
        <v>1500</v>
      </c>
      <c r="K339">
        <v>0</v>
      </c>
      <c r="L339">
        <v>10500</v>
      </c>
      <c r="M339">
        <v>6300</v>
      </c>
      <c r="N339">
        <v>4200</v>
      </c>
    </row>
    <row r="340" spans="1:14" x14ac:dyDescent="0.35">
      <c r="A340" t="s">
        <v>684</v>
      </c>
      <c r="B340" t="s">
        <v>682</v>
      </c>
      <c r="C340" t="s">
        <v>639</v>
      </c>
      <c r="D340" t="s">
        <v>17</v>
      </c>
      <c r="E340" t="s">
        <v>50</v>
      </c>
      <c r="F340" t="s">
        <v>45</v>
      </c>
      <c r="G340" t="s">
        <v>70</v>
      </c>
      <c r="H340" t="s">
        <v>47</v>
      </c>
      <c r="I340">
        <v>7</v>
      </c>
      <c r="J340">
        <v>650</v>
      </c>
      <c r="K340">
        <v>0.1</v>
      </c>
      <c r="L340">
        <v>4095</v>
      </c>
      <c r="M340">
        <v>2660</v>
      </c>
      <c r="N340">
        <v>1435</v>
      </c>
    </row>
    <row r="341" spans="1:14" x14ac:dyDescent="0.35">
      <c r="A341" t="s">
        <v>685</v>
      </c>
      <c r="B341" t="s">
        <v>682</v>
      </c>
      <c r="C341" t="s">
        <v>252</v>
      </c>
      <c r="D341" t="s">
        <v>54</v>
      </c>
      <c r="E341" t="s">
        <v>107</v>
      </c>
      <c r="F341" t="s">
        <v>37</v>
      </c>
      <c r="G341" t="s">
        <v>97</v>
      </c>
      <c r="H341" t="s">
        <v>39</v>
      </c>
      <c r="I341">
        <v>9</v>
      </c>
      <c r="J341">
        <v>120</v>
      </c>
      <c r="K341">
        <v>0</v>
      </c>
      <c r="L341">
        <v>1080</v>
      </c>
      <c r="M341">
        <v>495</v>
      </c>
      <c r="N341">
        <v>585</v>
      </c>
    </row>
    <row r="342" spans="1:14" x14ac:dyDescent="0.35">
      <c r="A342" t="s">
        <v>686</v>
      </c>
      <c r="B342" t="s">
        <v>682</v>
      </c>
      <c r="C342" t="s">
        <v>687</v>
      </c>
      <c r="D342" t="s">
        <v>25</v>
      </c>
      <c r="E342" t="s">
        <v>36</v>
      </c>
      <c r="F342" t="s">
        <v>37</v>
      </c>
      <c r="G342" t="s">
        <v>140</v>
      </c>
      <c r="H342" t="s">
        <v>39</v>
      </c>
      <c r="I342">
        <v>6</v>
      </c>
      <c r="J342">
        <v>700</v>
      </c>
      <c r="K342">
        <v>0.1</v>
      </c>
      <c r="L342">
        <v>3780</v>
      </c>
      <c r="M342">
        <v>2400</v>
      </c>
      <c r="N342">
        <v>1380</v>
      </c>
    </row>
    <row r="343" spans="1:14" x14ac:dyDescent="0.35">
      <c r="A343" t="s">
        <v>688</v>
      </c>
      <c r="B343" t="s">
        <v>682</v>
      </c>
      <c r="C343" t="s">
        <v>412</v>
      </c>
      <c r="D343" t="s">
        <v>54</v>
      </c>
      <c r="E343" t="s">
        <v>116</v>
      </c>
      <c r="F343" t="s">
        <v>45</v>
      </c>
      <c r="G343" t="s">
        <v>46</v>
      </c>
      <c r="H343" t="s">
        <v>33</v>
      </c>
      <c r="I343">
        <v>2</v>
      </c>
      <c r="J343">
        <v>450</v>
      </c>
      <c r="K343">
        <v>0.05</v>
      </c>
      <c r="L343">
        <v>855</v>
      </c>
      <c r="M343">
        <v>500</v>
      </c>
      <c r="N343">
        <v>355</v>
      </c>
    </row>
    <row r="344" spans="1:14" x14ac:dyDescent="0.35">
      <c r="A344" t="s">
        <v>689</v>
      </c>
      <c r="B344" t="s">
        <v>690</v>
      </c>
      <c r="C344" t="s">
        <v>691</v>
      </c>
      <c r="D344" t="s">
        <v>17</v>
      </c>
      <c r="E344" t="s">
        <v>18</v>
      </c>
      <c r="F344" t="s">
        <v>27</v>
      </c>
      <c r="G344" t="s">
        <v>85</v>
      </c>
      <c r="H344" t="s">
        <v>125</v>
      </c>
      <c r="I344">
        <v>4</v>
      </c>
      <c r="J344">
        <v>1800</v>
      </c>
      <c r="K344">
        <v>0</v>
      </c>
      <c r="L344">
        <v>7200</v>
      </c>
      <c r="M344">
        <v>4400</v>
      </c>
      <c r="N344">
        <v>2800</v>
      </c>
    </row>
    <row r="345" spans="1:14" x14ac:dyDescent="0.35">
      <c r="A345" t="s">
        <v>692</v>
      </c>
      <c r="B345" t="s">
        <v>690</v>
      </c>
      <c r="C345" t="s">
        <v>158</v>
      </c>
      <c r="D345" t="s">
        <v>17</v>
      </c>
      <c r="E345" t="s">
        <v>18</v>
      </c>
      <c r="F345" t="s">
        <v>27</v>
      </c>
      <c r="G345" t="s">
        <v>90</v>
      </c>
      <c r="H345" t="s">
        <v>125</v>
      </c>
      <c r="I345">
        <v>4</v>
      </c>
      <c r="J345">
        <v>1800</v>
      </c>
      <c r="K345">
        <v>0.05</v>
      </c>
      <c r="L345">
        <v>6840</v>
      </c>
      <c r="M345">
        <v>4400</v>
      </c>
      <c r="N345">
        <v>2440</v>
      </c>
    </row>
    <row r="346" spans="1:14" x14ac:dyDescent="0.35">
      <c r="A346" t="s">
        <v>693</v>
      </c>
      <c r="B346" t="s">
        <v>690</v>
      </c>
      <c r="C346" t="s">
        <v>517</v>
      </c>
      <c r="D346" t="s">
        <v>25</v>
      </c>
      <c r="E346" t="s">
        <v>36</v>
      </c>
      <c r="F346" t="s">
        <v>19</v>
      </c>
      <c r="G346" t="s">
        <v>113</v>
      </c>
      <c r="H346" t="s">
        <v>125</v>
      </c>
      <c r="I346">
        <v>3</v>
      </c>
      <c r="J346">
        <v>700</v>
      </c>
      <c r="K346">
        <v>0</v>
      </c>
      <c r="L346">
        <v>2100</v>
      </c>
      <c r="M346">
        <v>1200</v>
      </c>
      <c r="N346">
        <v>900</v>
      </c>
    </row>
    <row r="347" spans="1:14" x14ac:dyDescent="0.35">
      <c r="A347" t="s">
        <v>694</v>
      </c>
      <c r="B347" t="s">
        <v>695</v>
      </c>
      <c r="C347" t="s">
        <v>696</v>
      </c>
      <c r="D347" t="s">
        <v>43</v>
      </c>
      <c r="E347" t="s">
        <v>169</v>
      </c>
      <c r="F347" t="s">
        <v>37</v>
      </c>
      <c r="G347" t="s">
        <v>73</v>
      </c>
      <c r="H347" t="s">
        <v>33</v>
      </c>
      <c r="I347">
        <v>4</v>
      </c>
      <c r="J347">
        <v>350</v>
      </c>
      <c r="K347">
        <v>0</v>
      </c>
      <c r="L347">
        <v>1400</v>
      </c>
      <c r="M347">
        <v>680</v>
      </c>
      <c r="N347">
        <v>720</v>
      </c>
    </row>
    <row r="348" spans="1:14" x14ac:dyDescent="0.35">
      <c r="A348" t="s">
        <v>697</v>
      </c>
      <c r="B348" t="s">
        <v>695</v>
      </c>
      <c r="C348" t="s">
        <v>109</v>
      </c>
      <c r="D348" t="s">
        <v>25</v>
      </c>
      <c r="E348" t="s">
        <v>36</v>
      </c>
      <c r="F348" t="s">
        <v>37</v>
      </c>
      <c r="G348" t="s">
        <v>140</v>
      </c>
      <c r="H348" t="s">
        <v>33</v>
      </c>
      <c r="I348">
        <v>10</v>
      </c>
      <c r="J348">
        <v>700</v>
      </c>
      <c r="K348">
        <v>0</v>
      </c>
      <c r="L348">
        <v>7000</v>
      </c>
      <c r="M348">
        <v>4000</v>
      </c>
      <c r="N348">
        <v>3000</v>
      </c>
    </row>
    <row r="349" spans="1:14" x14ac:dyDescent="0.35">
      <c r="A349" t="s">
        <v>698</v>
      </c>
      <c r="B349" t="s">
        <v>699</v>
      </c>
      <c r="C349" t="s">
        <v>93</v>
      </c>
      <c r="D349" t="s">
        <v>25</v>
      </c>
      <c r="E349" t="s">
        <v>26</v>
      </c>
      <c r="F349" t="s">
        <v>45</v>
      </c>
      <c r="G349" t="s">
        <v>122</v>
      </c>
      <c r="H349" t="s">
        <v>21</v>
      </c>
      <c r="I349">
        <v>10</v>
      </c>
      <c r="J349">
        <v>600</v>
      </c>
      <c r="K349">
        <v>0.1</v>
      </c>
      <c r="L349">
        <v>5400</v>
      </c>
      <c r="M349">
        <v>3300</v>
      </c>
      <c r="N349">
        <v>2100</v>
      </c>
    </row>
    <row r="350" spans="1:14" x14ac:dyDescent="0.35">
      <c r="A350" t="s">
        <v>700</v>
      </c>
      <c r="B350" t="s">
        <v>699</v>
      </c>
      <c r="C350" t="s">
        <v>701</v>
      </c>
      <c r="D350" t="s">
        <v>54</v>
      </c>
      <c r="E350" t="s">
        <v>55</v>
      </c>
      <c r="F350" t="s">
        <v>27</v>
      </c>
      <c r="G350" t="s">
        <v>28</v>
      </c>
      <c r="H350" t="s">
        <v>21</v>
      </c>
      <c r="I350">
        <v>10</v>
      </c>
      <c r="J350">
        <v>180</v>
      </c>
      <c r="K350">
        <v>0</v>
      </c>
      <c r="L350">
        <v>1800</v>
      </c>
      <c r="M350">
        <v>900</v>
      </c>
      <c r="N350">
        <v>900</v>
      </c>
    </row>
    <row r="351" spans="1:14" x14ac:dyDescent="0.35">
      <c r="A351" t="s">
        <v>702</v>
      </c>
      <c r="B351" t="s">
        <v>699</v>
      </c>
      <c r="C351" t="s">
        <v>703</v>
      </c>
      <c r="D351" t="s">
        <v>54</v>
      </c>
      <c r="E351" t="s">
        <v>107</v>
      </c>
      <c r="F351" t="s">
        <v>27</v>
      </c>
      <c r="G351" t="s">
        <v>28</v>
      </c>
      <c r="H351" t="s">
        <v>21</v>
      </c>
      <c r="I351">
        <v>8</v>
      </c>
      <c r="J351">
        <v>120</v>
      </c>
      <c r="K351">
        <v>0.1</v>
      </c>
      <c r="L351">
        <v>864</v>
      </c>
      <c r="M351">
        <v>440</v>
      </c>
      <c r="N351">
        <v>424</v>
      </c>
    </row>
    <row r="352" spans="1:14" x14ac:dyDescent="0.35">
      <c r="A352" t="s">
        <v>704</v>
      </c>
      <c r="B352" t="s">
        <v>699</v>
      </c>
      <c r="C352" t="s">
        <v>72</v>
      </c>
      <c r="D352" t="s">
        <v>54</v>
      </c>
      <c r="E352" t="s">
        <v>107</v>
      </c>
      <c r="F352" t="s">
        <v>37</v>
      </c>
      <c r="G352" t="s">
        <v>97</v>
      </c>
      <c r="H352" t="s">
        <v>125</v>
      </c>
      <c r="I352">
        <v>6</v>
      </c>
      <c r="J352">
        <v>120</v>
      </c>
      <c r="K352">
        <v>0</v>
      </c>
      <c r="L352">
        <v>720</v>
      </c>
      <c r="M352">
        <v>330</v>
      </c>
      <c r="N352">
        <v>390</v>
      </c>
    </row>
    <row r="353" spans="1:14" x14ac:dyDescent="0.35">
      <c r="A353" t="s">
        <v>705</v>
      </c>
      <c r="B353" t="s">
        <v>699</v>
      </c>
      <c r="C353" t="s">
        <v>138</v>
      </c>
      <c r="D353" t="s">
        <v>54</v>
      </c>
      <c r="E353" t="s">
        <v>55</v>
      </c>
      <c r="F353" t="s">
        <v>27</v>
      </c>
      <c r="G353" t="s">
        <v>85</v>
      </c>
      <c r="H353" t="s">
        <v>29</v>
      </c>
      <c r="I353">
        <v>6</v>
      </c>
      <c r="J353">
        <v>180</v>
      </c>
      <c r="K353">
        <v>0.1</v>
      </c>
      <c r="L353">
        <v>972</v>
      </c>
      <c r="M353">
        <v>540</v>
      </c>
      <c r="N353">
        <v>432</v>
      </c>
    </row>
    <row r="354" spans="1:14" x14ac:dyDescent="0.35">
      <c r="A354" t="s">
        <v>706</v>
      </c>
      <c r="B354" t="s">
        <v>707</v>
      </c>
      <c r="C354" t="s">
        <v>59</v>
      </c>
      <c r="D354" t="s">
        <v>17</v>
      </c>
      <c r="E354" t="s">
        <v>32</v>
      </c>
      <c r="F354" t="s">
        <v>37</v>
      </c>
      <c r="G354" t="s">
        <v>38</v>
      </c>
      <c r="H354" t="s">
        <v>33</v>
      </c>
      <c r="I354">
        <v>8</v>
      </c>
      <c r="J354">
        <v>1500</v>
      </c>
      <c r="K354">
        <v>0.1</v>
      </c>
      <c r="L354">
        <v>10800</v>
      </c>
      <c r="M354">
        <v>7200</v>
      </c>
      <c r="N354">
        <v>3600</v>
      </c>
    </row>
    <row r="355" spans="1:14" x14ac:dyDescent="0.35">
      <c r="A355" t="s">
        <v>708</v>
      </c>
      <c r="B355" t="s">
        <v>709</v>
      </c>
      <c r="C355" t="s">
        <v>236</v>
      </c>
      <c r="D355" t="s">
        <v>25</v>
      </c>
      <c r="E355" t="s">
        <v>26</v>
      </c>
      <c r="F355" t="s">
        <v>37</v>
      </c>
      <c r="G355" t="s">
        <v>73</v>
      </c>
      <c r="H355" t="s">
        <v>39</v>
      </c>
      <c r="I355">
        <v>5</v>
      </c>
      <c r="J355">
        <v>600</v>
      </c>
      <c r="K355">
        <v>0.05</v>
      </c>
      <c r="L355">
        <v>2850</v>
      </c>
      <c r="M355">
        <v>1650</v>
      </c>
      <c r="N355">
        <v>1200</v>
      </c>
    </row>
    <row r="356" spans="1:14" x14ac:dyDescent="0.35">
      <c r="A356" t="s">
        <v>710</v>
      </c>
      <c r="B356" t="s">
        <v>709</v>
      </c>
      <c r="C356" t="s">
        <v>711</v>
      </c>
      <c r="D356" t="s">
        <v>54</v>
      </c>
      <c r="E356" t="s">
        <v>103</v>
      </c>
      <c r="F356" t="s">
        <v>19</v>
      </c>
      <c r="G356" t="s">
        <v>113</v>
      </c>
      <c r="H356" t="s">
        <v>33</v>
      </c>
      <c r="I356">
        <v>6</v>
      </c>
      <c r="J356">
        <v>150</v>
      </c>
      <c r="K356">
        <v>0</v>
      </c>
      <c r="L356">
        <v>900</v>
      </c>
      <c r="M356">
        <v>450</v>
      </c>
      <c r="N356">
        <v>450</v>
      </c>
    </row>
    <row r="357" spans="1:14" x14ac:dyDescent="0.35">
      <c r="A357" t="s">
        <v>712</v>
      </c>
      <c r="B357" t="s">
        <v>709</v>
      </c>
      <c r="C357" t="s">
        <v>713</v>
      </c>
      <c r="D357" t="s">
        <v>25</v>
      </c>
      <c r="E357" t="s">
        <v>69</v>
      </c>
      <c r="F357" t="s">
        <v>27</v>
      </c>
      <c r="G357" t="s">
        <v>90</v>
      </c>
      <c r="H357" t="s">
        <v>21</v>
      </c>
      <c r="I357">
        <v>8</v>
      </c>
      <c r="J357">
        <v>350</v>
      </c>
      <c r="K357">
        <v>0</v>
      </c>
      <c r="L357">
        <v>2800</v>
      </c>
      <c r="M357">
        <v>1440</v>
      </c>
      <c r="N357">
        <v>1360</v>
      </c>
    </row>
    <row r="358" spans="1:14" x14ac:dyDescent="0.35">
      <c r="A358" t="s">
        <v>714</v>
      </c>
      <c r="B358" t="s">
        <v>709</v>
      </c>
      <c r="C358" t="s">
        <v>715</v>
      </c>
      <c r="D358" t="s">
        <v>17</v>
      </c>
      <c r="E358" t="s">
        <v>32</v>
      </c>
      <c r="F358" t="s">
        <v>45</v>
      </c>
      <c r="G358" t="s">
        <v>46</v>
      </c>
      <c r="H358" t="s">
        <v>29</v>
      </c>
      <c r="I358">
        <v>7</v>
      </c>
      <c r="J358">
        <v>1500</v>
      </c>
      <c r="K358">
        <v>0.05</v>
      </c>
      <c r="L358">
        <v>9975</v>
      </c>
      <c r="M358">
        <v>6300</v>
      </c>
      <c r="N358">
        <v>3675</v>
      </c>
    </row>
    <row r="359" spans="1:14" x14ac:dyDescent="0.35">
      <c r="A359" t="s">
        <v>716</v>
      </c>
      <c r="B359" t="s">
        <v>717</v>
      </c>
      <c r="C359" t="s">
        <v>402</v>
      </c>
      <c r="D359" t="s">
        <v>54</v>
      </c>
      <c r="E359" t="s">
        <v>55</v>
      </c>
      <c r="F359" t="s">
        <v>45</v>
      </c>
      <c r="G359" t="s">
        <v>104</v>
      </c>
      <c r="H359" t="s">
        <v>33</v>
      </c>
      <c r="I359">
        <v>6</v>
      </c>
      <c r="J359">
        <v>180</v>
      </c>
      <c r="K359">
        <v>0</v>
      </c>
      <c r="L359">
        <v>1080</v>
      </c>
      <c r="M359">
        <v>540</v>
      </c>
      <c r="N359">
        <v>540</v>
      </c>
    </row>
    <row r="360" spans="1:14" x14ac:dyDescent="0.35">
      <c r="A360" t="s">
        <v>718</v>
      </c>
      <c r="B360" t="s">
        <v>717</v>
      </c>
      <c r="C360" t="s">
        <v>227</v>
      </c>
      <c r="D360" t="s">
        <v>25</v>
      </c>
      <c r="E360" t="s">
        <v>69</v>
      </c>
      <c r="F360" t="s">
        <v>19</v>
      </c>
      <c r="G360" t="s">
        <v>215</v>
      </c>
      <c r="H360" t="s">
        <v>39</v>
      </c>
      <c r="I360">
        <v>8</v>
      </c>
      <c r="J360">
        <v>350</v>
      </c>
      <c r="K360">
        <v>0.15</v>
      </c>
      <c r="L360">
        <v>2380</v>
      </c>
      <c r="M360">
        <v>1440</v>
      </c>
      <c r="N360">
        <v>940</v>
      </c>
    </row>
    <row r="361" spans="1:14" x14ac:dyDescent="0.35">
      <c r="A361" t="s">
        <v>719</v>
      </c>
      <c r="B361" t="s">
        <v>720</v>
      </c>
      <c r="C361" t="s">
        <v>437</v>
      </c>
      <c r="D361" t="s">
        <v>43</v>
      </c>
      <c r="E361" t="s">
        <v>250</v>
      </c>
      <c r="F361" t="s">
        <v>19</v>
      </c>
      <c r="G361" t="s">
        <v>215</v>
      </c>
      <c r="H361" t="s">
        <v>125</v>
      </c>
      <c r="I361">
        <v>6</v>
      </c>
      <c r="J361">
        <v>900</v>
      </c>
      <c r="K361">
        <v>0.05</v>
      </c>
      <c r="L361">
        <v>5130</v>
      </c>
      <c r="M361">
        <v>3120</v>
      </c>
      <c r="N361">
        <v>2010</v>
      </c>
    </row>
    <row r="362" spans="1:14" x14ac:dyDescent="0.35">
      <c r="A362" t="s">
        <v>721</v>
      </c>
      <c r="B362" t="s">
        <v>720</v>
      </c>
      <c r="C362" t="s">
        <v>77</v>
      </c>
      <c r="D362" t="s">
        <v>43</v>
      </c>
      <c r="E362" t="s">
        <v>44</v>
      </c>
      <c r="F362" t="s">
        <v>27</v>
      </c>
      <c r="G362" t="s">
        <v>28</v>
      </c>
      <c r="H362" t="s">
        <v>21</v>
      </c>
      <c r="I362">
        <v>5</v>
      </c>
      <c r="J362">
        <v>2200</v>
      </c>
      <c r="K362">
        <v>0.05</v>
      </c>
      <c r="L362">
        <v>10450</v>
      </c>
      <c r="M362">
        <v>7250</v>
      </c>
      <c r="N362">
        <v>3200</v>
      </c>
    </row>
    <row r="363" spans="1:14" x14ac:dyDescent="0.35">
      <c r="A363" t="s">
        <v>722</v>
      </c>
      <c r="B363" t="s">
        <v>720</v>
      </c>
      <c r="C363" t="s">
        <v>723</v>
      </c>
      <c r="D363" t="s">
        <v>54</v>
      </c>
      <c r="E363" t="s">
        <v>107</v>
      </c>
      <c r="F363" t="s">
        <v>27</v>
      </c>
      <c r="G363" t="s">
        <v>85</v>
      </c>
      <c r="H363" t="s">
        <v>21</v>
      </c>
      <c r="I363">
        <v>2</v>
      </c>
      <c r="J363">
        <v>120</v>
      </c>
      <c r="K363">
        <v>0</v>
      </c>
      <c r="L363">
        <v>240</v>
      </c>
      <c r="M363">
        <v>110</v>
      </c>
      <c r="N363">
        <v>130</v>
      </c>
    </row>
    <row r="364" spans="1:14" x14ac:dyDescent="0.35">
      <c r="A364" t="s">
        <v>724</v>
      </c>
      <c r="B364" t="s">
        <v>720</v>
      </c>
      <c r="C364" t="s">
        <v>325</v>
      </c>
      <c r="D364" t="s">
        <v>17</v>
      </c>
      <c r="E364" t="s">
        <v>50</v>
      </c>
      <c r="F364" t="s">
        <v>45</v>
      </c>
      <c r="G364" t="s">
        <v>70</v>
      </c>
      <c r="H364" t="s">
        <v>47</v>
      </c>
      <c r="I364">
        <v>9</v>
      </c>
      <c r="J364">
        <v>650</v>
      </c>
      <c r="K364">
        <v>0</v>
      </c>
      <c r="L364">
        <v>5850</v>
      </c>
      <c r="M364">
        <v>3420</v>
      </c>
      <c r="N364">
        <v>2430</v>
      </c>
    </row>
    <row r="365" spans="1:14" x14ac:dyDescent="0.35">
      <c r="A365" t="s">
        <v>725</v>
      </c>
      <c r="B365" t="s">
        <v>726</v>
      </c>
      <c r="C365" t="s">
        <v>134</v>
      </c>
      <c r="D365" t="s">
        <v>17</v>
      </c>
      <c r="E365" t="s">
        <v>65</v>
      </c>
      <c r="F365" t="s">
        <v>19</v>
      </c>
      <c r="G365" t="s">
        <v>113</v>
      </c>
      <c r="H365" t="s">
        <v>47</v>
      </c>
      <c r="I365">
        <v>9</v>
      </c>
      <c r="J365">
        <v>2200</v>
      </c>
      <c r="K365">
        <v>0.05</v>
      </c>
      <c r="L365">
        <v>18810</v>
      </c>
      <c r="M365">
        <v>12600</v>
      </c>
      <c r="N365">
        <v>6210</v>
      </c>
    </row>
    <row r="366" spans="1:14" x14ac:dyDescent="0.35">
      <c r="A366" t="s">
        <v>727</v>
      </c>
      <c r="B366" t="s">
        <v>728</v>
      </c>
      <c r="C366" t="s">
        <v>24</v>
      </c>
      <c r="D366" t="s">
        <v>54</v>
      </c>
      <c r="E366" t="s">
        <v>107</v>
      </c>
      <c r="F366" t="s">
        <v>37</v>
      </c>
      <c r="G366" t="s">
        <v>97</v>
      </c>
      <c r="H366" t="s">
        <v>33</v>
      </c>
      <c r="I366">
        <v>2</v>
      </c>
      <c r="J366">
        <v>120</v>
      </c>
      <c r="K366">
        <v>0</v>
      </c>
      <c r="L366">
        <v>240</v>
      </c>
      <c r="M366">
        <v>110</v>
      </c>
      <c r="N366">
        <v>130</v>
      </c>
    </row>
    <row r="367" spans="1:14" x14ac:dyDescent="0.35">
      <c r="A367" t="s">
        <v>729</v>
      </c>
      <c r="B367" t="s">
        <v>728</v>
      </c>
      <c r="C367" t="s">
        <v>224</v>
      </c>
      <c r="D367" t="s">
        <v>54</v>
      </c>
      <c r="E367" t="s">
        <v>116</v>
      </c>
      <c r="F367" t="s">
        <v>45</v>
      </c>
      <c r="G367" t="s">
        <v>104</v>
      </c>
      <c r="H367" t="s">
        <v>33</v>
      </c>
      <c r="I367">
        <v>3</v>
      </c>
      <c r="J367">
        <v>450</v>
      </c>
      <c r="K367">
        <v>0</v>
      </c>
      <c r="L367">
        <v>1350</v>
      </c>
      <c r="M367">
        <v>750</v>
      </c>
      <c r="N367">
        <v>600</v>
      </c>
    </row>
    <row r="368" spans="1:14" x14ac:dyDescent="0.35">
      <c r="A368" t="s">
        <v>730</v>
      </c>
      <c r="B368" t="s">
        <v>728</v>
      </c>
      <c r="C368" t="s">
        <v>234</v>
      </c>
      <c r="D368" t="s">
        <v>43</v>
      </c>
      <c r="E368" t="s">
        <v>169</v>
      </c>
      <c r="F368" t="s">
        <v>19</v>
      </c>
      <c r="G368" t="s">
        <v>215</v>
      </c>
      <c r="H368" t="s">
        <v>47</v>
      </c>
      <c r="I368">
        <v>4</v>
      </c>
      <c r="J368">
        <v>350</v>
      </c>
      <c r="K368">
        <v>0.05</v>
      </c>
      <c r="L368">
        <v>1330</v>
      </c>
      <c r="M368">
        <v>680</v>
      </c>
      <c r="N368">
        <v>650</v>
      </c>
    </row>
    <row r="369" spans="1:14" x14ac:dyDescent="0.35">
      <c r="A369" t="s">
        <v>731</v>
      </c>
      <c r="B369" t="s">
        <v>728</v>
      </c>
      <c r="C369" t="s">
        <v>732</v>
      </c>
      <c r="D369" t="s">
        <v>54</v>
      </c>
      <c r="E369" t="s">
        <v>103</v>
      </c>
      <c r="F369" t="s">
        <v>37</v>
      </c>
      <c r="G369" t="s">
        <v>140</v>
      </c>
      <c r="H369" t="s">
        <v>29</v>
      </c>
      <c r="I369">
        <v>4</v>
      </c>
      <c r="J369">
        <v>150</v>
      </c>
      <c r="K369">
        <v>0.05</v>
      </c>
      <c r="L369">
        <v>570</v>
      </c>
      <c r="M369">
        <v>300</v>
      </c>
      <c r="N369">
        <v>270</v>
      </c>
    </row>
    <row r="370" spans="1:14" x14ac:dyDescent="0.35">
      <c r="A370" t="s">
        <v>733</v>
      </c>
      <c r="B370" t="s">
        <v>734</v>
      </c>
      <c r="C370" t="s">
        <v>494</v>
      </c>
      <c r="D370" t="s">
        <v>17</v>
      </c>
      <c r="E370" t="s">
        <v>65</v>
      </c>
      <c r="F370" t="s">
        <v>37</v>
      </c>
      <c r="G370" t="s">
        <v>140</v>
      </c>
      <c r="H370" t="s">
        <v>21</v>
      </c>
      <c r="I370">
        <v>1</v>
      </c>
      <c r="J370">
        <v>2200</v>
      </c>
      <c r="K370">
        <v>0</v>
      </c>
      <c r="L370">
        <v>2200</v>
      </c>
      <c r="M370">
        <v>1400</v>
      </c>
      <c r="N370">
        <v>800</v>
      </c>
    </row>
    <row r="371" spans="1:14" x14ac:dyDescent="0.35">
      <c r="A371" t="s">
        <v>735</v>
      </c>
      <c r="B371" t="s">
        <v>734</v>
      </c>
      <c r="C371" t="s">
        <v>736</v>
      </c>
      <c r="D371" t="s">
        <v>17</v>
      </c>
      <c r="E371" t="s">
        <v>18</v>
      </c>
      <c r="F371" t="s">
        <v>37</v>
      </c>
      <c r="G371" t="s">
        <v>38</v>
      </c>
      <c r="H371" t="s">
        <v>33</v>
      </c>
      <c r="I371">
        <v>8</v>
      </c>
      <c r="J371">
        <v>1800</v>
      </c>
      <c r="K371">
        <v>0.05</v>
      </c>
      <c r="L371">
        <v>13680</v>
      </c>
      <c r="M371">
        <v>8800</v>
      </c>
      <c r="N371">
        <v>4880</v>
      </c>
    </row>
    <row r="372" spans="1:14" x14ac:dyDescent="0.35">
      <c r="A372" t="s">
        <v>737</v>
      </c>
      <c r="B372" t="s">
        <v>738</v>
      </c>
      <c r="C372" t="s">
        <v>711</v>
      </c>
      <c r="D372" t="s">
        <v>54</v>
      </c>
      <c r="E372" t="s">
        <v>103</v>
      </c>
      <c r="F372" t="s">
        <v>45</v>
      </c>
      <c r="G372" t="s">
        <v>104</v>
      </c>
      <c r="H372" t="s">
        <v>125</v>
      </c>
      <c r="I372">
        <v>7</v>
      </c>
      <c r="J372">
        <v>150</v>
      </c>
      <c r="K372">
        <v>0.05</v>
      </c>
      <c r="L372">
        <v>997.5</v>
      </c>
      <c r="M372">
        <v>525</v>
      </c>
      <c r="N372">
        <v>472.5</v>
      </c>
    </row>
    <row r="373" spans="1:14" x14ac:dyDescent="0.35">
      <c r="A373" t="s">
        <v>739</v>
      </c>
      <c r="B373" t="s">
        <v>738</v>
      </c>
      <c r="C373" t="s">
        <v>649</v>
      </c>
      <c r="D373" t="s">
        <v>25</v>
      </c>
      <c r="E373" t="s">
        <v>89</v>
      </c>
      <c r="F373" t="s">
        <v>45</v>
      </c>
      <c r="G373" t="s">
        <v>122</v>
      </c>
      <c r="H373" t="s">
        <v>47</v>
      </c>
      <c r="I373">
        <v>9</v>
      </c>
      <c r="J373">
        <v>550</v>
      </c>
      <c r="K373">
        <v>0</v>
      </c>
      <c r="L373">
        <v>4950</v>
      </c>
      <c r="M373">
        <v>2700</v>
      </c>
      <c r="N373">
        <v>2250</v>
      </c>
    </row>
    <row r="374" spans="1:14" x14ac:dyDescent="0.35">
      <c r="A374" t="s">
        <v>740</v>
      </c>
      <c r="B374" t="s">
        <v>738</v>
      </c>
      <c r="C374" t="s">
        <v>741</v>
      </c>
      <c r="D374" t="s">
        <v>17</v>
      </c>
      <c r="E374" t="s">
        <v>124</v>
      </c>
      <c r="F374" t="s">
        <v>27</v>
      </c>
      <c r="G374" t="s">
        <v>28</v>
      </c>
      <c r="H374" t="s">
        <v>21</v>
      </c>
      <c r="I374">
        <v>7</v>
      </c>
      <c r="J374">
        <v>1200</v>
      </c>
      <c r="K374">
        <v>0</v>
      </c>
      <c r="L374">
        <v>8400</v>
      </c>
      <c r="M374">
        <v>5040</v>
      </c>
      <c r="N374">
        <v>3360</v>
      </c>
    </row>
    <row r="375" spans="1:14" x14ac:dyDescent="0.35">
      <c r="A375" t="s">
        <v>742</v>
      </c>
      <c r="B375" t="s">
        <v>743</v>
      </c>
      <c r="C375" t="s">
        <v>127</v>
      </c>
      <c r="D375" t="s">
        <v>54</v>
      </c>
      <c r="E375" t="s">
        <v>103</v>
      </c>
      <c r="F375" t="s">
        <v>37</v>
      </c>
      <c r="G375" t="s">
        <v>140</v>
      </c>
      <c r="H375" t="s">
        <v>125</v>
      </c>
      <c r="I375">
        <v>8</v>
      </c>
      <c r="J375">
        <v>150</v>
      </c>
      <c r="K375">
        <v>0.1</v>
      </c>
      <c r="L375">
        <v>1080</v>
      </c>
      <c r="M375">
        <v>600</v>
      </c>
      <c r="N375">
        <v>480</v>
      </c>
    </row>
    <row r="376" spans="1:14" x14ac:dyDescent="0.35">
      <c r="A376" t="s">
        <v>744</v>
      </c>
      <c r="B376" t="s">
        <v>743</v>
      </c>
      <c r="C376" t="s">
        <v>541</v>
      </c>
      <c r="D376" t="s">
        <v>17</v>
      </c>
      <c r="E376" t="s">
        <v>124</v>
      </c>
      <c r="F376" t="s">
        <v>45</v>
      </c>
      <c r="G376" t="s">
        <v>104</v>
      </c>
      <c r="H376" t="s">
        <v>29</v>
      </c>
      <c r="I376">
        <v>4</v>
      </c>
      <c r="J376">
        <v>1200</v>
      </c>
      <c r="K376">
        <v>0.1</v>
      </c>
      <c r="L376">
        <v>4320</v>
      </c>
      <c r="M376">
        <v>2880</v>
      </c>
      <c r="N376">
        <v>1440</v>
      </c>
    </row>
    <row r="377" spans="1:14" x14ac:dyDescent="0.35">
      <c r="A377" t="s">
        <v>745</v>
      </c>
      <c r="B377" t="s">
        <v>743</v>
      </c>
      <c r="C377" t="s">
        <v>625</v>
      </c>
      <c r="D377" t="s">
        <v>54</v>
      </c>
      <c r="E377" t="s">
        <v>107</v>
      </c>
      <c r="F377" t="s">
        <v>45</v>
      </c>
      <c r="G377" t="s">
        <v>70</v>
      </c>
      <c r="H377" t="s">
        <v>29</v>
      </c>
      <c r="I377">
        <v>8</v>
      </c>
      <c r="J377">
        <v>120</v>
      </c>
      <c r="K377">
        <v>0.05</v>
      </c>
      <c r="L377">
        <v>912</v>
      </c>
      <c r="M377">
        <v>440</v>
      </c>
      <c r="N377">
        <v>472</v>
      </c>
    </row>
    <row r="378" spans="1:14" x14ac:dyDescent="0.35">
      <c r="A378" t="s">
        <v>746</v>
      </c>
      <c r="B378" t="s">
        <v>743</v>
      </c>
      <c r="C378" t="s">
        <v>236</v>
      </c>
      <c r="D378" t="s">
        <v>17</v>
      </c>
      <c r="E378" t="s">
        <v>65</v>
      </c>
      <c r="F378" t="s">
        <v>19</v>
      </c>
      <c r="G378" t="s">
        <v>20</v>
      </c>
      <c r="H378" t="s">
        <v>29</v>
      </c>
      <c r="I378">
        <v>3</v>
      </c>
      <c r="J378">
        <v>2200</v>
      </c>
      <c r="K378">
        <v>0.1</v>
      </c>
      <c r="L378">
        <v>5940</v>
      </c>
      <c r="M378">
        <v>4200</v>
      </c>
      <c r="N378">
        <v>1740</v>
      </c>
    </row>
    <row r="379" spans="1:14" x14ac:dyDescent="0.35">
      <c r="A379" t="s">
        <v>747</v>
      </c>
      <c r="B379" t="s">
        <v>748</v>
      </c>
      <c r="C379" t="s">
        <v>557</v>
      </c>
      <c r="D379" t="s">
        <v>17</v>
      </c>
      <c r="E379" t="s">
        <v>65</v>
      </c>
      <c r="F379" t="s">
        <v>27</v>
      </c>
      <c r="G379" t="s">
        <v>85</v>
      </c>
      <c r="H379" t="s">
        <v>125</v>
      </c>
      <c r="I379">
        <v>9</v>
      </c>
      <c r="J379">
        <v>2200</v>
      </c>
      <c r="K379">
        <v>0</v>
      </c>
      <c r="L379">
        <v>19800</v>
      </c>
      <c r="M379">
        <v>12600</v>
      </c>
      <c r="N379">
        <v>7200</v>
      </c>
    </row>
    <row r="380" spans="1:14" x14ac:dyDescent="0.35">
      <c r="A380" t="s">
        <v>749</v>
      </c>
      <c r="B380" t="s">
        <v>748</v>
      </c>
      <c r="C380" t="s">
        <v>452</v>
      </c>
      <c r="D380" t="s">
        <v>43</v>
      </c>
      <c r="E380" t="s">
        <v>143</v>
      </c>
      <c r="F380" t="s">
        <v>27</v>
      </c>
      <c r="G380" t="s">
        <v>51</v>
      </c>
      <c r="H380" t="s">
        <v>33</v>
      </c>
      <c r="I380">
        <v>6</v>
      </c>
      <c r="J380">
        <v>650</v>
      </c>
      <c r="K380">
        <v>0.15</v>
      </c>
      <c r="L380">
        <v>3315</v>
      </c>
      <c r="M380">
        <v>2100</v>
      </c>
      <c r="N380">
        <v>1215</v>
      </c>
    </row>
    <row r="381" spans="1:14" x14ac:dyDescent="0.35">
      <c r="A381" t="s">
        <v>750</v>
      </c>
      <c r="B381" t="s">
        <v>751</v>
      </c>
      <c r="C381" t="s">
        <v>220</v>
      </c>
      <c r="D381" t="s">
        <v>25</v>
      </c>
      <c r="E381" t="s">
        <v>36</v>
      </c>
      <c r="F381" t="s">
        <v>19</v>
      </c>
      <c r="G381" t="s">
        <v>113</v>
      </c>
      <c r="H381" t="s">
        <v>29</v>
      </c>
      <c r="I381">
        <v>10</v>
      </c>
      <c r="J381">
        <v>700</v>
      </c>
      <c r="K381">
        <v>0.1</v>
      </c>
      <c r="L381">
        <v>6300</v>
      </c>
      <c r="M381">
        <v>4000</v>
      </c>
      <c r="N381">
        <v>2300</v>
      </c>
    </row>
    <row r="382" spans="1:14" x14ac:dyDescent="0.35">
      <c r="A382" t="s">
        <v>752</v>
      </c>
      <c r="B382" t="s">
        <v>751</v>
      </c>
      <c r="C382" t="s">
        <v>109</v>
      </c>
      <c r="D382" t="s">
        <v>43</v>
      </c>
      <c r="E382" t="s">
        <v>250</v>
      </c>
      <c r="F382" t="s">
        <v>27</v>
      </c>
      <c r="G382" t="s">
        <v>28</v>
      </c>
      <c r="H382" t="s">
        <v>21</v>
      </c>
      <c r="I382">
        <v>7</v>
      </c>
      <c r="J382">
        <v>900</v>
      </c>
      <c r="K382">
        <v>0.1</v>
      </c>
      <c r="L382">
        <v>5670</v>
      </c>
      <c r="M382">
        <v>3640</v>
      </c>
      <c r="N382">
        <v>2030</v>
      </c>
    </row>
    <row r="383" spans="1:14" x14ac:dyDescent="0.35">
      <c r="A383" t="s">
        <v>753</v>
      </c>
      <c r="B383" t="s">
        <v>751</v>
      </c>
      <c r="C383" t="s">
        <v>534</v>
      </c>
      <c r="D383" t="s">
        <v>54</v>
      </c>
      <c r="E383" t="s">
        <v>55</v>
      </c>
      <c r="F383" t="s">
        <v>37</v>
      </c>
      <c r="G383" t="s">
        <v>38</v>
      </c>
      <c r="H383" t="s">
        <v>39</v>
      </c>
      <c r="I383">
        <v>3</v>
      </c>
      <c r="J383">
        <v>180</v>
      </c>
      <c r="K383">
        <v>0</v>
      </c>
      <c r="L383">
        <v>540</v>
      </c>
      <c r="M383">
        <v>270</v>
      </c>
      <c r="N383">
        <v>270</v>
      </c>
    </row>
    <row r="384" spans="1:14" x14ac:dyDescent="0.35">
      <c r="A384" t="s">
        <v>754</v>
      </c>
      <c r="B384" t="s">
        <v>755</v>
      </c>
      <c r="C384" t="s">
        <v>318</v>
      </c>
      <c r="D384" t="s">
        <v>54</v>
      </c>
      <c r="E384" t="s">
        <v>110</v>
      </c>
      <c r="F384" t="s">
        <v>27</v>
      </c>
      <c r="G384" t="s">
        <v>85</v>
      </c>
      <c r="H384" t="s">
        <v>39</v>
      </c>
      <c r="I384">
        <v>9</v>
      </c>
      <c r="J384">
        <v>280</v>
      </c>
      <c r="K384">
        <v>0</v>
      </c>
      <c r="L384">
        <v>2520</v>
      </c>
      <c r="M384">
        <v>1350</v>
      </c>
      <c r="N384">
        <v>1170</v>
      </c>
    </row>
    <row r="385" spans="1:14" x14ac:dyDescent="0.35">
      <c r="A385" t="s">
        <v>756</v>
      </c>
      <c r="B385" t="s">
        <v>755</v>
      </c>
      <c r="C385" t="s">
        <v>318</v>
      </c>
      <c r="D385" t="s">
        <v>54</v>
      </c>
      <c r="E385" t="s">
        <v>103</v>
      </c>
      <c r="F385" t="s">
        <v>45</v>
      </c>
      <c r="G385" t="s">
        <v>104</v>
      </c>
      <c r="H385" t="s">
        <v>125</v>
      </c>
      <c r="I385">
        <v>10</v>
      </c>
      <c r="J385">
        <v>150</v>
      </c>
      <c r="K385">
        <v>0.05</v>
      </c>
      <c r="L385">
        <v>1425</v>
      </c>
      <c r="M385">
        <v>750</v>
      </c>
      <c r="N385">
        <v>675</v>
      </c>
    </row>
    <row r="386" spans="1:14" x14ac:dyDescent="0.35">
      <c r="A386" t="s">
        <v>757</v>
      </c>
      <c r="B386" t="s">
        <v>758</v>
      </c>
      <c r="C386" t="s">
        <v>275</v>
      </c>
      <c r="D386" t="s">
        <v>25</v>
      </c>
      <c r="E386" t="s">
        <v>36</v>
      </c>
      <c r="F386" t="s">
        <v>37</v>
      </c>
      <c r="G386" t="s">
        <v>38</v>
      </c>
      <c r="H386" t="s">
        <v>125</v>
      </c>
      <c r="I386">
        <v>5</v>
      </c>
      <c r="J386">
        <v>700</v>
      </c>
      <c r="K386">
        <v>0</v>
      </c>
      <c r="L386">
        <v>3500</v>
      </c>
      <c r="M386">
        <v>2000</v>
      </c>
      <c r="N386">
        <v>1500</v>
      </c>
    </row>
    <row r="387" spans="1:14" x14ac:dyDescent="0.35">
      <c r="A387" t="s">
        <v>759</v>
      </c>
      <c r="B387" t="s">
        <v>760</v>
      </c>
      <c r="C387" t="s">
        <v>115</v>
      </c>
      <c r="D387" t="s">
        <v>43</v>
      </c>
      <c r="E387" t="s">
        <v>44</v>
      </c>
      <c r="F387" t="s">
        <v>19</v>
      </c>
      <c r="G387" t="s">
        <v>215</v>
      </c>
      <c r="H387" t="s">
        <v>21</v>
      </c>
      <c r="I387">
        <v>2</v>
      </c>
      <c r="J387">
        <v>2200</v>
      </c>
      <c r="K387">
        <v>0.05</v>
      </c>
      <c r="L387">
        <v>4180</v>
      </c>
      <c r="M387">
        <v>2900</v>
      </c>
      <c r="N387">
        <v>1280</v>
      </c>
    </row>
    <row r="388" spans="1:14" x14ac:dyDescent="0.35">
      <c r="A388" t="s">
        <v>761</v>
      </c>
      <c r="B388" t="s">
        <v>762</v>
      </c>
      <c r="C388" t="s">
        <v>649</v>
      </c>
      <c r="D388" t="s">
        <v>25</v>
      </c>
      <c r="E388" t="s">
        <v>69</v>
      </c>
      <c r="F388" t="s">
        <v>27</v>
      </c>
      <c r="G388" t="s">
        <v>85</v>
      </c>
      <c r="H388" t="s">
        <v>29</v>
      </c>
      <c r="I388">
        <v>9</v>
      </c>
      <c r="J388">
        <v>350</v>
      </c>
      <c r="K388">
        <v>0</v>
      </c>
      <c r="L388">
        <v>3150</v>
      </c>
      <c r="M388">
        <v>1620</v>
      </c>
      <c r="N388">
        <v>1530</v>
      </c>
    </row>
    <row r="389" spans="1:14" x14ac:dyDescent="0.35">
      <c r="A389" t="s">
        <v>763</v>
      </c>
      <c r="B389" t="s">
        <v>762</v>
      </c>
      <c r="C389" t="s">
        <v>272</v>
      </c>
      <c r="D389" t="s">
        <v>54</v>
      </c>
      <c r="E389" t="s">
        <v>116</v>
      </c>
      <c r="F389" t="s">
        <v>19</v>
      </c>
      <c r="G389" t="s">
        <v>56</v>
      </c>
      <c r="H389" t="s">
        <v>39</v>
      </c>
      <c r="I389">
        <v>3</v>
      </c>
      <c r="J389">
        <v>450</v>
      </c>
      <c r="K389">
        <v>0.05</v>
      </c>
      <c r="L389">
        <v>1282.5</v>
      </c>
      <c r="M389">
        <v>750</v>
      </c>
      <c r="N389">
        <v>532.5</v>
      </c>
    </row>
    <row r="390" spans="1:14" x14ac:dyDescent="0.35">
      <c r="A390" t="s">
        <v>764</v>
      </c>
      <c r="B390" t="s">
        <v>762</v>
      </c>
      <c r="C390" t="s">
        <v>741</v>
      </c>
      <c r="D390" t="s">
        <v>25</v>
      </c>
      <c r="E390" t="s">
        <v>80</v>
      </c>
      <c r="F390" t="s">
        <v>45</v>
      </c>
      <c r="G390" t="s">
        <v>70</v>
      </c>
      <c r="H390" t="s">
        <v>29</v>
      </c>
      <c r="I390">
        <v>8</v>
      </c>
      <c r="J390">
        <v>950</v>
      </c>
      <c r="K390">
        <v>0.05</v>
      </c>
      <c r="L390">
        <v>7220</v>
      </c>
      <c r="M390">
        <v>4480</v>
      </c>
      <c r="N390">
        <v>2740</v>
      </c>
    </row>
    <row r="391" spans="1:14" x14ac:dyDescent="0.35">
      <c r="A391" t="s">
        <v>765</v>
      </c>
      <c r="B391" t="s">
        <v>762</v>
      </c>
      <c r="C391" t="s">
        <v>766</v>
      </c>
      <c r="D391" t="s">
        <v>43</v>
      </c>
      <c r="E391" t="s">
        <v>169</v>
      </c>
      <c r="F391" t="s">
        <v>19</v>
      </c>
      <c r="G391" t="s">
        <v>20</v>
      </c>
      <c r="H391" t="s">
        <v>29</v>
      </c>
      <c r="I391">
        <v>9</v>
      </c>
      <c r="J391">
        <v>350</v>
      </c>
      <c r="K391">
        <v>0</v>
      </c>
      <c r="L391">
        <v>3150</v>
      </c>
      <c r="M391">
        <v>1530</v>
      </c>
      <c r="N391">
        <v>1620</v>
      </c>
    </row>
    <row r="392" spans="1:14" x14ac:dyDescent="0.35">
      <c r="A392" t="s">
        <v>767</v>
      </c>
      <c r="B392" t="s">
        <v>762</v>
      </c>
      <c r="C392" t="s">
        <v>236</v>
      </c>
      <c r="D392" t="s">
        <v>17</v>
      </c>
      <c r="E392" t="s">
        <v>65</v>
      </c>
      <c r="F392" t="s">
        <v>37</v>
      </c>
      <c r="G392" t="s">
        <v>140</v>
      </c>
      <c r="H392" t="s">
        <v>21</v>
      </c>
      <c r="I392">
        <v>7</v>
      </c>
      <c r="J392">
        <v>2200</v>
      </c>
      <c r="K392">
        <v>0</v>
      </c>
      <c r="L392">
        <v>15400</v>
      </c>
      <c r="M392">
        <v>9800</v>
      </c>
      <c r="N392">
        <v>5600</v>
      </c>
    </row>
    <row r="393" spans="1:14" x14ac:dyDescent="0.35">
      <c r="A393" t="s">
        <v>768</v>
      </c>
      <c r="B393" t="s">
        <v>762</v>
      </c>
      <c r="C393" t="s">
        <v>248</v>
      </c>
      <c r="D393" t="s">
        <v>54</v>
      </c>
      <c r="E393" t="s">
        <v>116</v>
      </c>
      <c r="F393" t="s">
        <v>37</v>
      </c>
      <c r="G393" t="s">
        <v>38</v>
      </c>
      <c r="H393" t="s">
        <v>29</v>
      </c>
      <c r="I393">
        <v>8</v>
      </c>
      <c r="J393">
        <v>450</v>
      </c>
      <c r="K393">
        <v>0.05</v>
      </c>
      <c r="L393">
        <v>3420</v>
      </c>
      <c r="M393">
        <v>2000</v>
      </c>
      <c r="N393">
        <v>1420</v>
      </c>
    </row>
    <row r="394" spans="1:14" x14ac:dyDescent="0.35">
      <c r="A394" t="s">
        <v>769</v>
      </c>
      <c r="B394" t="s">
        <v>770</v>
      </c>
      <c r="C394" t="s">
        <v>205</v>
      </c>
      <c r="D394" t="s">
        <v>43</v>
      </c>
      <c r="E394" t="s">
        <v>62</v>
      </c>
      <c r="F394" t="s">
        <v>45</v>
      </c>
      <c r="G394" t="s">
        <v>104</v>
      </c>
      <c r="H394" t="s">
        <v>47</v>
      </c>
      <c r="I394">
        <v>7</v>
      </c>
      <c r="J394">
        <v>500</v>
      </c>
      <c r="K394">
        <v>0</v>
      </c>
      <c r="L394">
        <v>3500</v>
      </c>
      <c r="M394">
        <v>1960</v>
      </c>
      <c r="N394">
        <v>1540</v>
      </c>
    </row>
    <row r="395" spans="1:14" x14ac:dyDescent="0.35">
      <c r="A395" t="s">
        <v>771</v>
      </c>
      <c r="B395" t="s">
        <v>770</v>
      </c>
      <c r="C395" t="s">
        <v>264</v>
      </c>
      <c r="D395" t="s">
        <v>43</v>
      </c>
      <c r="E395" t="s">
        <v>143</v>
      </c>
      <c r="F395" t="s">
        <v>45</v>
      </c>
      <c r="G395" t="s">
        <v>70</v>
      </c>
      <c r="H395" t="s">
        <v>125</v>
      </c>
      <c r="I395">
        <v>5</v>
      </c>
      <c r="J395">
        <v>650</v>
      </c>
      <c r="K395">
        <v>0.1</v>
      </c>
      <c r="L395">
        <v>2925</v>
      </c>
      <c r="M395">
        <v>1750</v>
      </c>
      <c r="N395">
        <v>1175</v>
      </c>
    </row>
    <row r="396" spans="1:14" x14ac:dyDescent="0.35">
      <c r="A396" t="s">
        <v>772</v>
      </c>
      <c r="B396" t="s">
        <v>770</v>
      </c>
      <c r="C396" t="s">
        <v>313</v>
      </c>
      <c r="D396" t="s">
        <v>17</v>
      </c>
      <c r="E396" t="s">
        <v>124</v>
      </c>
      <c r="F396" t="s">
        <v>19</v>
      </c>
      <c r="G396" t="s">
        <v>113</v>
      </c>
      <c r="H396" t="s">
        <v>29</v>
      </c>
      <c r="I396">
        <v>8</v>
      </c>
      <c r="J396">
        <v>1200</v>
      </c>
      <c r="K396">
        <v>0.05</v>
      </c>
      <c r="L396">
        <v>9120</v>
      </c>
      <c r="M396">
        <v>5760</v>
      </c>
      <c r="N396">
        <v>3360</v>
      </c>
    </row>
    <row r="397" spans="1:14" x14ac:dyDescent="0.35">
      <c r="A397" t="s">
        <v>773</v>
      </c>
      <c r="B397" t="s">
        <v>770</v>
      </c>
      <c r="C397" t="s">
        <v>358</v>
      </c>
      <c r="D397" t="s">
        <v>54</v>
      </c>
      <c r="E397" t="s">
        <v>110</v>
      </c>
      <c r="F397" t="s">
        <v>45</v>
      </c>
      <c r="G397" t="s">
        <v>122</v>
      </c>
      <c r="H397" t="s">
        <v>29</v>
      </c>
      <c r="I397">
        <v>10</v>
      </c>
      <c r="J397">
        <v>280</v>
      </c>
      <c r="K397">
        <v>0.05</v>
      </c>
      <c r="L397">
        <v>2660</v>
      </c>
      <c r="M397">
        <v>1500</v>
      </c>
      <c r="N397">
        <v>1160</v>
      </c>
    </row>
    <row r="398" spans="1:14" x14ac:dyDescent="0.35">
      <c r="A398" t="s">
        <v>774</v>
      </c>
      <c r="B398" t="s">
        <v>775</v>
      </c>
      <c r="C398" t="s">
        <v>662</v>
      </c>
      <c r="D398" t="s">
        <v>43</v>
      </c>
      <c r="E398" t="s">
        <v>62</v>
      </c>
      <c r="F398" t="s">
        <v>45</v>
      </c>
      <c r="G398" t="s">
        <v>104</v>
      </c>
      <c r="H398" t="s">
        <v>39</v>
      </c>
      <c r="I398">
        <v>7</v>
      </c>
      <c r="J398">
        <v>500</v>
      </c>
      <c r="K398">
        <v>0</v>
      </c>
      <c r="L398">
        <v>3500</v>
      </c>
      <c r="M398">
        <v>1960</v>
      </c>
      <c r="N398">
        <v>1540</v>
      </c>
    </row>
    <row r="399" spans="1:14" x14ac:dyDescent="0.35">
      <c r="A399" t="s">
        <v>776</v>
      </c>
      <c r="B399" t="s">
        <v>775</v>
      </c>
      <c r="C399" t="s">
        <v>691</v>
      </c>
      <c r="D399" t="s">
        <v>54</v>
      </c>
      <c r="E399" t="s">
        <v>55</v>
      </c>
      <c r="F399" t="s">
        <v>37</v>
      </c>
      <c r="G399" t="s">
        <v>73</v>
      </c>
      <c r="H399" t="s">
        <v>33</v>
      </c>
      <c r="I399">
        <v>1</v>
      </c>
      <c r="J399">
        <v>180</v>
      </c>
      <c r="K399">
        <v>0.1</v>
      </c>
      <c r="L399">
        <v>162</v>
      </c>
      <c r="M399">
        <v>90</v>
      </c>
      <c r="N399">
        <v>72</v>
      </c>
    </row>
    <row r="400" spans="1:14" x14ac:dyDescent="0.35">
      <c r="A400" t="s">
        <v>777</v>
      </c>
      <c r="B400" t="s">
        <v>775</v>
      </c>
      <c r="C400" t="s">
        <v>194</v>
      </c>
      <c r="D400" t="s">
        <v>25</v>
      </c>
      <c r="E400" t="s">
        <v>36</v>
      </c>
      <c r="F400" t="s">
        <v>27</v>
      </c>
      <c r="G400" t="s">
        <v>51</v>
      </c>
      <c r="H400" t="s">
        <v>29</v>
      </c>
      <c r="I400">
        <v>7</v>
      </c>
      <c r="J400">
        <v>700</v>
      </c>
      <c r="K400">
        <v>0</v>
      </c>
      <c r="L400">
        <v>4900</v>
      </c>
      <c r="M400">
        <v>2800</v>
      </c>
      <c r="N400">
        <v>2100</v>
      </c>
    </row>
    <row r="401" spans="1:14" x14ac:dyDescent="0.35">
      <c r="A401" t="s">
        <v>778</v>
      </c>
      <c r="B401" t="s">
        <v>775</v>
      </c>
      <c r="C401" t="s">
        <v>441</v>
      </c>
      <c r="D401" t="s">
        <v>54</v>
      </c>
      <c r="E401" t="s">
        <v>107</v>
      </c>
      <c r="F401" t="s">
        <v>27</v>
      </c>
      <c r="G401" t="s">
        <v>28</v>
      </c>
      <c r="H401" t="s">
        <v>21</v>
      </c>
      <c r="I401">
        <v>1</v>
      </c>
      <c r="J401">
        <v>120</v>
      </c>
      <c r="K401">
        <v>0.1</v>
      </c>
      <c r="L401">
        <v>108</v>
      </c>
      <c r="M401">
        <v>55</v>
      </c>
      <c r="N401">
        <v>53</v>
      </c>
    </row>
    <row r="402" spans="1:14" x14ac:dyDescent="0.35">
      <c r="A402" t="s">
        <v>779</v>
      </c>
      <c r="B402" t="s">
        <v>775</v>
      </c>
      <c r="C402" t="s">
        <v>129</v>
      </c>
      <c r="D402" t="s">
        <v>25</v>
      </c>
      <c r="E402" t="s">
        <v>36</v>
      </c>
      <c r="F402" t="s">
        <v>19</v>
      </c>
      <c r="G402" t="s">
        <v>113</v>
      </c>
      <c r="H402" t="s">
        <v>29</v>
      </c>
      <c r="I402">
        <v>4</v>
      </c>
      <c r="J402">
        <v>700</v>
      </c>
      <c r="K402">
        <v>0</v>
      </c>
      <c r="L402">
        <v>2800</v>
      </c>
      <c r="M402">
        <v>1600</v>
      </c>
      <c r="N402">
        <v>1200</v>
      </c>
    </row>
    <row r="403" spans="1:14" x14ac:dyDescent="0.35">
      <c r="A403" t="s">
        <v>780</v>
      </c>
      <c r="B403" t="s">
        <v>775</v>
      </c>
      <c r="C403" t="s">
        <v>653</v>
      </c>
      <c r="D403" t="s">
        <v>25</v>
      </c>
      <c r="E403" t="s">
        <v>69</v>
      </c>
      <c r="F403" t="s">
        <v>37</v>
      </c>
      <c r="G403" t="s">
        <v>97</v>
      </c>
      <c r="H403" t="s">
        <v>125</v>
      </c>
      <c r="I403">
        <v>9</v>
      </c>
      <c r="J403">
        <v>350</v>
      </c>
      <c r="K403">
        <v>0</v>
      </c>
      <c r="L403">
        <v>3150</v>
      </c>
      <c r="M403">
        <v>1620</v>
      </c>
      <c r="N403">
        <v>1530</v>
      </c>
    </row>
    <row r="404" spans="1:14" x14ac:dyDescent="0.35">
      <c r="A404" t="s">
        <v>781</v>
      </c>
      <c r="B404" t="s">
        <v>782</v>
      </c>
      <c r="C404" t="s">
        <v>248</v>
      </c>
      <c r="D404" t="s">
        <v>54</v>
      </c>
      <c r="E404" t="s">
        <v>107</v>
      </c>
      <c r="F404" t="s">
        <v>45</v>
      </c>
      <c r="G404" t="s">
        <v>122</v>
      </c>
      <c r="H404" t="s">
        <v>47</v>
      </c>
      <c r="I404">
        <v>10</v>
      </c>
      <c r="J404">
        <v>120</v>
      </c>
      <c r="K404">
        <v>0</v>
      </c>
      <c r="L404">
        <v>1200</v>
      </c>
      <c r="M404">
        <v>550</v>
      </c>
      <c r="N404">
        <v>650</v>
      </c>
    </row>
    <row r="405" spans="1:14" x14ac:dyDescent="0.35">
      <c r="A405" t="s">
        <v>783</v>
      </c>
      <c r="B405" t="s">
        <v>782</v>
      </c>
      <c r="C405" t="s">
        <v>242</v>
      </c>
      <c r="D405" t="s">
        <v>54</v>
      </c>
      <c r="E405" t="s">
        <v>103</v>
      </c>
      <c r="F405" t="s">
        <v>27</v>
      </c>
      <c r="G405" t="s">
        <v>85</v>
      </c>
      <c r="H405" t="s">
        <v>21</v>
      </c>
      <c r="I405">
        <v>8</v>
      </c>
      <c r="J405">
        <v>150</v>
      </c>
      <c r="K405">
        <v>0</v>
      </c>
      <c r="L405">
        <v>1200</v>
      </c>
      <c r="M405">
        <v>600</v>
      </c>
      <c r="N405">
        <v>600</v>
      </c>
    </row>
    <row r="406" spans="1:14" x14ac:dyDescent="0.35">
      <c r="A406" t="s">
        <v>784</v>
      </c>
      <c r="B406" t="s">
        <v>782</v>
      </c>
      <c r="C406" t="s">
        <v>96</v>
      </c>
      <c r="D406" t="s">
        <v>43</v>
      </c>
      <c r="E406" t="s">
        <v>44</v>
      </c>
      <c r="F406" t="s">
        <v>37</v>
      </c>
      <c r="G406" t="s">
        <v>97</v>
      </c>
      <c r="H406" t="s">
        <v>47</v>
      </c>
      <c r="I406">
        <v>2</v>
      </c>
      <c r="J406">
        <v>2200</v>
      </c>
      <c r="K406">
        <v>0.1</v>
      </c>
      <c r="L406">
        <v>3960</v>
      </c>
      <c r="M406">
        <v>2900</v>
      </c>
      <c r="N406">
        <v>1060</v>
      </c>
    </row>
    <row r="407" spans="1:14" x14ac:dyDescent="0.35">
      <c r="A407" t="s">
        <v>785</v>
      </c>
      <c r="B407" t="s">
        <v>782</v>
      </c>
      <c r="C407" t="s">
        <v>701</v>
      </c>
      <c r="D407" t="s">
        <v>25</v>
      </c>
      <c r="E407" t="s">
        <v>36</v>
      </c>
      <c r="F407" t="s">
        <v>45</v>
      </c>
      <c r="G407" t="s">
        <v>122</v>
      </c>
      <c r="H407" t="s">
        <v>33</v>
      </c>
      <c r="I407">
        <v>7</v>
      </c>
      <c r="J407">
        <v>700</v>
      </c>
      <c r="K407">
        <v>0</v>
      </c>
      <c r="L407">
        <v>4900</v>
      </c>
      <c r="M407">
        <v>2800</v>
      </c>
      <c r="N407">
        <v>2100</v>
      </c>
    </row>
    <row r="408" spans="1:14" x14ac:dyDescent="0.35">
      <c r="A408" t="s">
        <v>786</v>
      </c>
      <c r="B408" t="s">
        <v>782</v>
      </c>
      <c r="C408" t="s">
        <v>766</v>
      </c>
      <c r="D408" t="s">
        <v>25</v>
      </c>
      <c r="E408" t="s">
        <v>89</v>
      </c>
      <c r="F408" t="s">
        <v>27</v>
      </c>
      <c r="G408" t="s">
        <v>28</v>
      </c>
      <c r="H408" t="s">
        <v>29</v>
      </c>
      <c r="I408">
        <v>6</v>
      </c>
      <c r="J408">
        <v>550</v>
      </c>
      <c r="K408">
        <v>0</v>
      </c>
      <c r="L408">
        <v>3300</v>
      </c>
      <c r="M408">
        <v>1800</v>
      </c>
      <c r="N408">
        <v>1500</v>
      </c>
    </row>
    <row r="409" spans="1:14" x14ac:dyDescent="0.35">
      <c r="A409" t="s">
        <v>787</v>
      </c>
      <c r="B409" t="s">
        <v>788</v>
      </c>
      <c r="C409" t="s">
        <v>296</v>
      </c>
      <c r="D409" t="s">
        <v>43</v>
      </c>
      <c r="E409" t="s">
        <v>169</v>
      </c>
      <c r="F409" t="s">
        <v>27</v>
      </c>
      <c r="G409" t="s">
        <v>28</v>
      </c>
      <c r="H409" t="s">
        <v>21</v>
      </c>
      <c r="I409">
        <v>4</v>
      </c>
      <c r="J409">
        <v>350</v>
      </c>
      <c r="K409">
        <v>0.1</v>
      </c>
      <c r="L409">
        <v>1260</v>
      </c>
      <c r="M409">
        <v>680</v>
      </c>
      <c r="N409">
        <v>580</v>
      </c>
    </row>
    <row r="410" spans="1:14" x14ac:dyDescent="0.35">
      <c r="A410" t="s">
        <v>789</v>
      </c>
      <c r="B410" t="s">
        <v>790</v>
      </c>
      <c r="C410" t="s">
        <v>791</v>
      </c>
      <c r="D410" t="s">
        <v>43</v>
      </c>
      <c r="E410" t="s">
        <v>250</v>
      </c>
      <c r="F410" t="s">
        <v>19</v>
      </c>
      <c r="G410" t="s">
        <v>113</v>
      </c>
      <c r="H410" t="s">
        <v>33</v>
      </c>
      <c r="I410">
        <v>7</v>
      </c>
      <c r="J410">
        <v>900</v>
      </c>
      <c r="K410">
        <v>0</v>
      </c>
      <c r="L410">
        <v>6300</v>
      </c>
      <c r="M410">
        <v>3640</v>
      </c>
      <c r="N410">
        <v>2660</v>
      </c>
    </row>
    <row r="411" spans="1:14" x14ac:dyDescent="0.35">
      <c r="A411" t="s">
        <v>792</v>
      </c>
      <c r="B411" t="s">
        <v>793</v>
      </c>
      <c r="C411" t="s">
        <v>131</v>
      </c>
      <c r="D411" t="s">
        <v>25</v>
      </c>
      <c r="E411" t="s">
        <v>80</v>
      </c>
      <c r="F411" t="s">
        <v>19</v>
      </c>
      <c r="G411" t="s">
        <v>20</v>
      </c>
      <c r="H411" t="s">
        <v>21</v>
      </c>
      <c r="I411">
        <v>1</v>
      </c>
      <c r="J411">
        <v>950</v>
      </c>
      <c r="K411">
        <v>0</v>
      </c>
      <c r="L411">
        <v>950</v>
      </c>
      <c r="M411">
        <v>560</v>
      </c>
      <c r="N411">
        <v>390</v>
      </c>
    </row>
    <row r="412" spans="1:14" x14ac:dyDescent="0.35">
      <c r="A412" t="s">
        <v>794</v>
      </c>
      <c r="B412" t="s">
        <v>793</v>
      </c>
      <c r="C412" t="s">
        <v>410</v>
      </c>
      <c r="D412" t="s">
        <v>17</v>
      </c>
      <c r="E412" t="s">
        <v>18</v>
      </c>
      <c r="F412" t="s">
        <v>19</v>
      </c>
      <c r="G412" t="s">
        <v>215</v>
      </c>
      <c r="H412" t="s">
        <v>47</v>
      </c>
      <c r="I412">
        <v>10</v>
      </c>
      <c r="J412">
        <v>1800</v>
      </c>
      <c r="K412">
        <v>0.1</v>
      </c>
      <c r="L412">
        <v>16200</v>
      </c>
      <c r="M412">
        <v>11000</v>
      </c>
      <c r="N412">
        <v>5200</v>
      </c>
    </row>
    <row r="413" spans="1:14" x14ac:dyDescent="0.35">
      <c r="A413" t="s">
        <v>795</v>
      </c>
      <c r="B413" t="s">
        <v>793</v>
      </c>
      <c r="C413" t="s">
        <v>402</v>
      </c>
      <c r="D413" t="s">
        <v>54</v>
      </c>
      <c r="E413" t="s">
        <v>107</v>
      </c>
      <c r="F413" t="s">
        <v>45</v>
      </c>
      <c r="G413" t="s">
        <v>70</v>
      </c>
      <c r="H413" t="s">
        <v>33</v>
      </c>
      <c r="I413">
        <v>1</v>
      </c>
      <c r="J413">
        <v>120</v>
      </c>
      <c r="K413">
        <v>0</v>
      </c>
      <c r="L413">
        <v>120</v>
      </c>
      <c r="M413">
        <v>55</v>
      </c>
      <c r="N413">
        <v>65</v>
      </c>
    </row>
    <row r="414" spans="1:14" x14ac:dyDescent="0.35">
      <c r="A414" t="s">
        <v>796</v>
      </c>
      <c r="B414" t="s">
        <v>793</v>
      </c>
      <c r="C414" t="s">
        <v>173</v>
      </c>
      <c r="D414" t="s">
        <v>54</v>
      </c>
      <c r="E414" t="s">
        <v>107</v>
      </c>
      <c r="F414" t="s">
        <v>37</v>
      </c>
      <c r="G414" t="s">
        <v>38</v>
      </c>
      <c r="H414" t="s">
        <v>29</v>
      </c>
      <c r="I414">
        <v>4</v>
      </c>
      <c r="J414">
        <v>120</v>
      </c>
      <c r="K414">
        <v>0</v>
      </c>
      <c r="L414">
        <v>480</v>
      </c>
      <c r="M414">
        <v>220</v>
      </c>
      <c r="N414">
        <v>260</v>
      </c>
    </row>
    <row r="415" spans="1:14" x14ac:dyDescent="0.35">
      <c r="A415" t="s">
        <v>797</v>
      </c>
      <c r="B415" t="s">
        <v>798</v>
      </c>
      <c r="C415" t="s">
        <v>187</v>
      </c>
      <c r="D415" t="s">
        <v>54</v>
      </c>
      <c r="E415" t="s">
        <v>55</v>
      </c>
      <c r="F415" t="s">
        <v>37</v>
      </c>
      <c r="G415" t="s">
        <v>38</v>
      </c>
      <c r="H415" t="s">
        <v>21</v>
      </c>
      <c r="I415">
        <v>5</v>
      </c>
      <c r="J415">
        <v>180</v>
      </c>
      <c r="K415">
        <v>0</v>
      </c>
      <c r="L415">
        <v>900</v>
      </c>
      <c r="M415">
        <v>450</v>
      </c>
      <c r="N415">
        <v>450</v>
      </c>
    </row>
    <row r="416" spans="1:14" x14ac:dyDescent="0.35">
      <c r="A416" t="s">
        <v>799</v>
      </c>
      <c r="B416" t="s">
        <v>798</v>
      </c>
      <c r="C416" t="s">
        <v>800</v>
      </c>
      <c r="D416" t="s">
        <v>43</v>
      </c>
      <c r="E416" t="s">
        <v>44</v>
      </c>
      <c r="F416" t="s">
        <v>27</v>
      </c>
      <c r="G416" t="s">
        <v>90</v>
      </c>
      <c r="H416" t="s">
        <v>29</v>
      </c>
      <c r="I416">
        <v>8</v>
      </c>
      <c r="J416">
        <v>2200</v>
      </c>
      <c r="K416">
        <v>0</v>
      </c>
      <c r="L416">
        <v>17600</v>
      </c>
      <c r="M416">
        <v>11600</v>
      </c>
      <c r="N416">
        <v>6000</v>
      </c>
    </row>
    <row r="417" spans="1:14" x14ac:dyDescent="0.35">
      <c r="A417" t="s">
        <v>801</v>
      </c>
      <c r="B417" t="s">
        <v>798</v>
      </c>
      <c r="C417" t="s">
        <v>802</v>
      </c>
      <c r="D417" t="s">
        <v>17</v>
      </c>
      <c r="E417" t="s">
        <v>124</v>
      </c>
      <c r="F417" t="s">
        <v>37</v>
      </c>
      <c r="G417" t="s">
        <v>38</v>
      </c>
      <c r="H417" t="s">
        <v>39</v>
      </c>
      <c r="I417">
        <v>10</v>
      </c>
      <c r="J417">
        <v>1200</v>
      </c>
      <c r="K417">
        <v>0</v>
      </c>
      <c r="L417">
        <v>12000</v>
      </c>
      <c r="M417">
        <v>7200</v>
      </c>
      <c r="N417">
        <v>4800</v>
      </c>
    </row>
    <row r="418" spans="1:14" x14ac:dyDescent="0.35">
      <c r="A418" t="s">
        <v>803</v>
      </c>
      <c r="B418" t="s">
        <v>804</v>
      </c>
      <c r="C418" t="s">
        <v>805</v>
      </c>
      <c r="D418" t="s">
        <v>54</v>
      </c>
      <c r="E418" t="s">
        <v>55</v>
      </c>
      <c r="F418" t="s">
        <v>37</v>
      </c>
      <c r="G418" t="s">
        <v>140</v>
      </c>
      <c r="H418" t="s">
        <v>125</v>
      </c>
      <c r="I418">
        <v>9</v>
      </c>
      <c r="J418">
        <v>180</v>
      </c>
      <c r="K418">
        <v>0</v>
      </c>
      <c r="L418">
        <v>1620</v>
      </c>
      <c r="M418">
        <v>810</v>
      </c>
      <c r="N418">
        <v>810</v>
      </c>
    </row>
    <row r="419" spans="1:14" x14ac:dyDescent="0.35">
      <c r="A419" t="s">
        <v>806</v>
      </c>
      <c r="B419" t="s">
        <v>804</v>
      </c>
      <c r="C419" t="s">
        <v>343</v>
      </c>
      <c r="D419" t="s">
        <v>54</v>
      </c>
      <c r="E419" t="s">
        <v>116</v>
      </c>
      <c r="F419" t="s">
        <v>19</v>
      </c>
      <c r="G419" t="s">
        <v>215</v>
      </c>
      <c r="H419" t="s">
        <v>33</v>
      </c>
      <c r="I419">
        <v>7</v>
      </c>
      <c r="J419">
        <v>450</v>
      </c>
      <c r="K419">
        <v>0.1</v>
      </c>
      <c r="L419">
        <v>2835</v>
      </c>
      <c r="M419">
        <v>1750</v>
      </c>
      <c r="N419">
        <v>1085</v>
      </c>
    </row>
    <row r="420" spans="1:14" x14ac:dyDescent="0.35">
      <c r="A420" t="s">
        <v>807</v>
      </c>
      <c r="B420" t="s">
        <v>808</v>
      </c>
      <c r="C420" t="s">
        <v>809</v>
      </c>
      <c r="D420" t="s">
        <v>17</v>
      </c>
      <c r="E420" t="s">
        <v>18</v>
      </c>
      <c r="F420" t="s">
        <v>27</v>
      </c>
      <c r="G420" t="s">
        <v>51</v>
      </c>
      <c r="H420" t="s">
        <v>29</v>
      </c>
      <c r="I420">
        <v>7</v>
      </c>
      <c r="J420">
        <v>1800</v>
      </c>
      <c r="K420">
        <v>0</v>
      </c>
      <c r="L420">
        <v>12600</v>
      </c>
      <c r="M420">
        <v>7700</v>
      </c>
      <c r="N420">
        <v>4900</v>
      </c>
    </row>
    <row r="421" spans="1:14" x14ac:dyDescent="0.35">
      <c r="A421" t="s">
        <v>810</v>
      </c>
      <c r="B421" t="s">
        <v>811</v>
      </c>
      <c r="C421" t="s">
        <v>142</v>
      </c>
      <c r="D421" t="s">
        <v>25</v>
      </c>
      <c r="E421" t="s">
        <v>89</v>
      </c>
      <c r="F421" t="s">
        <v>19</v>
      </c>
      <c r="G421" t="s">
        <v>56</v>
      </c>
      <c r="H421" t="s">
        <v>47</v>
      </c>
      <c r="I421">
        <v>4</v>
      </c>
      <c r="J421">
        <v>550</v>
      </c>
      <c r="K421">
        <v>0.1</v>
      </c>
      <c r="L421">
        <v>1980</v>
      </c>
      <c r="M421">
        <v>1200</v>
      </c>
      <c r="N421">
        <v>780</v>
      </c>
    </row>
    <row r="422" spans="1:14" x14ac:dyDescent="0.35">
      <c r="A422" t="s">
        <v>812</v>
      </c>
      <c r="B422" t="s">
        <v>813</v>
      </c>
      <c r="C422" t="s">
        <v>557</v>
      </c>
      <c r="D422" t="s">
        <v>17</v>
      </c>
      <c r="E422" t="s">
        <v>65</v>
      </c>
      <c r="F422" t="s">
        <v>37</v>
      </c>
      <c r="G422" t="s">
        <v>38</v>
      </c>
      <c r="H422" t="s">
        <v>125</v>
      </c>
      <c r="I422">
        <v>2</v>
      </c>
      <c r="J422">
        <v>2200</v>
      </c>
      <c r="K422">
        <v>0.15</v>
      </c>
      <c r="L422">
        <v>3740</v>
      </c>
      <c r="M422">
        <v>2800</v>
      </c>
      <c r="N422">
        <v>940</v>
      </c>
    </row>
    <row r="423" spans="1:14" x14ac:dyDescent="0.35">
      <c r="A423" t="s">
        <v>814</v>
      </c>
      <c r="B423" t="s">
        <v>815</v>
      </c>
      <c r="C423" t="s">
        <v>335</v>
      </c>
      <c r="D423" t="s">
        <v>54</v>
      </c>
      <c r="E423" t="s">
        <v>107</v>
      </c>
      <c r="F423" t="s">
        <v>27</v>
      </c>
      <c r="G423" t="s">
        <v>85</v>
      </c>
      <c r="H423" t="s">
        <v>29</v>
      </c>
      <c r="I423">
        <v>6</v>
      </c>
      <c r="J423">
        <v>120</v>
      </c>
      <c r="K423">
        <v>0</v>
      </c>
      <c r="L423">
        <v>720</v>
      </c>
      <c r="M423">
        <v>330</v>
      </c>
      <c r="N423">
        <v>390</v>
      </c>
    </row>
    <row r="424" spans="1:14" x14ac:dyDescent="0.35">
      <c r="A424" t="s">
        <v>816</v>
      </c>
      <c r="B424" t="s">
        <v>815</v>
      </c>
      <c r="C424" t="s">
        <v>375</v>
      </c>
      <c r="D424" t="s">
        <v>17</v>
      </c>
      <c r="E424" t="s">
        <v>65</v>
      </c>
      <c r="F424" t="s">
        <v>37</v>
      </c>
      <c r="G424" t="s">
        <v>97</v>
      </c>
      <c r="H424" t="s">
        <v>125</v>
      </c>
      <c r="I424">
        <v>6</v>
      </c>
      <c r="J424">
        <v>2200</v>
      </c>
      <c r="K424">
        <v>0.05</v>
      </c>
      <c r="L424">
        <v>12540</v>
      </c>
      <c r="M424">
        <v>8400</v>
      </c>
      <c r="N424">
        <v>4140</v>
      </c>
    </row>
    <row r="425" spans="1:14" x14ac:dyDescent="0.35">
      <c r="A425" t="s">
        <v>817</v>
      </c>
      <c r="B425" t="s">
        <v>815</v>
      </c>
      <c r="C425" t="s">
        <v>119</v>
      </c>
      <c r="D425" t="s">
        <v>17</v>
      </c>
      <c r="E425" t="s">
        <v>32</v>
      </c>
      <c r="F425" t="s">
        <v>27</v>
      </c>
      <c r="G425" t="s">
        <v>90</v>
      </c>
      <c r="H425" t="s">
        <v>47</v>
      </c>
      <c r="I425">
        <v>7</v>
      </c>
      <c r="J425">
        <v>1500</v>
      </c>
      <c r="K425">
        <v>0.15</v>
      </c>
      <c r="L425">
        <v>8925</v>
      </c>
      <c r="M425">
        <v>6300</v>
      </c>
      <c r="N425">
        <v>2625</v>
      </c>
    </row>
    <row r="426" spans="1:14" x14ac:dyDescent="0.35">
      <c r="A426" t="s">
        <v>818</v>
      </c>
      <c r="B426" t="s">
        <v>819</v>
      </c>
      <c r="C426" t="s">
        <v>664</v>
      </c>
      <c r="D426" t="s">
        <v>17</v>
      </c>
      <c r="E426" t="s">
        <v>50</v>
      </c>
      <c r="F426" t="s">
        <v>45</v>
      </c>
      <c r="G426" t="s">
        <v>70</v>
      </c>
      <c r="H426" t="s">
        <v>47</v>
      </c>
      <c r="I426">
        <v>4</v>
      </c>
      <c r="J426">
        <v>650</v>
      </c>
      <c r="K426">
        <v>0</v>
      </c>
      <c r="L426">
        <v>2600</v>
      </c>
      <c r="M426">
        <v>1520</v>
      </c>
      <c r="N426">
        <v>1080</v>
      </c>
    </row>
    <row r="427" spans="1:14" x14ac:dyDescent="0.35">
      <c r="A427" t="s">
        <v>820</v>
      </c>
      <c r="B427" t="s">
        <v>819</v>
      </c>
      <c r="C427" t="s">
        <v>821</v>
      </c>
      <c r="D427" t="s">
        <v>43</v>
      </c>
      <c r="E427" t="s">
        <v>250</v>
      </c>
      <c r="F427" t="s">
        <v>37</v>
      </c>
      <c r="G427" t="s">
        <v>73</v>
      </c>
      <c r="H427" t="s">
        <v>29</v>
      </c>
      <c r="I427">
        <v>10</v>
      </c>
      <c r="J427">
        <v>900</v>
      </c>
      <c r="K427">
        <v>0</v>
      </c>
      <c r="L427">
        <v>9000</v>
      </c>
      <c r="M427">
        <v>5200</v>
      </c>
      <c r="N427">
        <v>3800</v>
      </c>
    </row>
    <row r="428" spans="1:14" x14ac:dyDescent="0.35">
      <c r="A428" t="s">
        <v>822</v>
      </c>
      <c r="B428" t="s">
        <v>819</v>
      </c>
      <c r="C428" t="s">
        <v>350</v>
      </c>
      <c r="D428" t="s">
        <v>54</v>
      </c>
      <c r="E428" t="s">
        <v>110</v>
      </c>
      <c r="F428" t="s">
        <v>45</v>
      </c>
      <c r="G428" t="s">
        <v>70</v>
      </c>
      <c r="H428" t="s">
        <v>125</v>
      </c>
      <c r="I428">
        <v>1</v>
      </c>
      <c r="J428">
        <v>280</v>
      </c>
      <c r="K428">
        <v>0.05</v>
      </c>
      <c r="L428">
        <v>266</v>
      </c>
      <c r="M428">
        <v>150</v>
      </c>
      <c r="N428">
        <v>116</v>
      </c>
    </row>
    <row r="429" spans="1:14" x14ac:dyDescent="0.35">
      <c r="A429" t="s">
        <v>823</v>
      </c>
      <c r="B429" t="s">
        <v>824</v>
      </c>
      <c r="C429" t="s">
        <v>825</v>
      </c>
      <c r="D429" t="s">
        <v>43</v>
      </c>
      <c r="E429" t="s">
        <v>44</v>
      </c>
      <c r="F429" t="s">
        <v>27</v>
      </c>
      <c r="G429" t="s">
        <v>90</v>
      </c>
      <c r="H429" t="s">
        <v>125</v>
      </c>
      <c r="I429">
        <v>3</v>
      </c>
      <c r="J429">
        <v>2200</v>
      </c>
      <c r="K429">
        <v>0.05</v>
      </c>
      <c r="L429">
        <v>6270</v>
      </c>
      <c r="M429">
        <v>4350</v>
      </c>
      <c r="N429">
        <v>1920</v>
      </c>
    </row>
    <row r="430" spans="1:14" x14ac:dyDescent="0.35">
      <c r="A430" t="s">
        <v>826</v>
      </c>
      <c r="B430" t="s">
        <v>824</v>
      </c>
      <c r="C430" t="s">
        <v>664</v>
      </c>
      <c r="D430" t="s">
        <v>43</v>
      </c>
      <c r="E430" t="s">
        <v>169</v>
      </c>
      <c r="F430" t="s">
        <v>19</v>
      </c>
      <c r="G430" t="s">
        <v>215</v>
      </c>
      <c r="H430" t="s">
        <v>29</v>
      </c>
      <c r="I430">
        <v>4</v>
      </c>
      <c r="J430">
        <v>350</v>
      </c>
      <c r="K430">
        <v>0</v>
      </c>
      <c r="L430">
        <v>1400</v>
      </c>
      <c r="M430">
        <v>680</v>
      </c>
      <c r="N430">
        <v>720</v>
      </c>
    </row>
    <row r="431" spans="1:14" x14ac:dyDescent="0.35">
      <c r="A431" t="s">
        <v>827</v>
      </c>
      <c r="B431" t="s">
        <v>828</v>
      </c>
      <c r="C431" t="s">
        <v>31</v>
      </c>
      <c r="D431" t="s">
        <v>17</v>
      </c>
      <c r="E431" t="s">
        <v>124</v>
      </c>
      <c r="F431" t="s">
        <v>27</v>
      </c>
      <c r="G431" t="s">
        <v>28</v>
      </c>
      <c r="H431" t="s">
        <v>33</v>
      </c>
      <c r="I431">
        <v>7</v>
      </c>
      <c r="J431">
        <v>1200</v>
      </c>
      <c r="K431">
        <v>0</v>
      </c>
      <c r="L431">
        <v>8400</v>
      </c>
      <c r="M431">
        <v>5040</v>
      </c>
      <c r="N431">
        <v>3360</v>
      </c>
    </row>
    <row r="432" spans="1:14" x14ac:dyDescent="0.35">
      <c r="A432" t="s">
        <v>829</v>
      </c>
      <c r="B432" t="s">
        <v>828</v>
      </c>
      <c r="C432" t="s">
        <v>830</v>
      </c>
      <c r="D432" t="s">
        <v>17</v>
      </c>
      <c r="E432" t="s">
        <v>65</v>
      </c>
      <c r="F432" t="s">
        <v>27</v>
      </c>
      <c r="G432" t="s">
        <v>51</v>
      </c>
      <c r="H432" t="s">
        <v>29</v>
      </c>
      <c r="I432">
        <v>4</v>
      </c>
      <c r="J432">
        <v>2200</v>
      </c>
      <c r="K432">
        <v>0.1</v>
      </c>
      <c r="L432">
        <v>7920</v>
      </c>
      <c r="M432">
        <v>5600</v>
      </c>
      <c r="N432">
        <v>2320</v>
      </c>
    </row>
    <row r="433" spans="1:14" x14ac:dyDescent="0.35">
      <c r="A433" t="s">
        <v>831</v>
      </c>
      <c r="B433" t="s">
        <v>832</v>
      </c>
      <c r="C433" t="s">
        <v>477</v>
      </c>
      <c r="D433" t="s">
        <v>25</v>
      </c>
      <c r="E433" t="s">
        <v>80</v>
      </c>
      <c r="F433" t="s">
        <v>27</v>
      </c>
      <c r="G433" t="s">
        <v>85</v>
      </c>
      <c r="H433" t="s">
        <v>29</v>
      </c>
      <c r="I433">
        <v>1</v>
      </c>
      <c r="J433">
        <v>950</v>
      </c>
      <c r="K433">
        <v>0.05</v>
      </c>
      <c r="L433">
        <v>902.5</v>
      </c>
      <c r="M433">
        <v>560</v>
      </c>
      <c r="N433">
        <v>342.5</v>
      </c>
    </row>
    <row r="434" spans="1:14" x14ac:dyDescent="0.35">
      <c r="A434" t="s">
        <v>833</v>
      </c>
      <c r="B434" t="s">
        <v>832</v>
      </c>
      <c r="C434" t="s">
        <v>377</v>
      </c>
      <c r="D434" t="s">
        <v>17</v>
      </c>
      <c r="E434" t="s">
        <v>32</v>
      </c>
      <c r="F434" t="s">
        <v>37</v>
      </c>
      <c r="G434" t="s">
        <v>38</v>
      </c>
      <c r="H434" t="s">
        <v>47</v>
      </c>
      <c r="I434">
        <v>9</v>
      </c>
      <c r="J434">
        <v>1500</v>
      </c>
      <c r="K434">
        <v>0.1</v>
      </c>
      <c r="L434">
        <v>12150</v>
      </c>
      <c r="M434">
        <v>8100</v>
      </c>
      <c r="N434">
        <v>4050</v>
      </c>
    </row>
    <row r="435" spans="1:14" x14ac:dyDescent="0.35">
      <c r="A435" t="s">
        <v>834</v>
      </c>
      <c r="B435" t="s">
        <v>832</v>
      </c>
      <c r="C435" t="s">
        <v>835</v>
      </c>
      <c r="D435" t="s">
        <v>25</v>
      </c>
      <c r="E435" t="s">
        <v>26</v>
      </c>
      <c r="F435" t="s">
        <v>37</v>
      </c>
      <c r="G435" t="s">
        <v>97</v>
      </c>
      <c r="H435" t="s">
        <v>21</v>
      </c>
      <c r="I435">
        <v>2</v>
      </c>
      <c r="J435">
        <v>600</v>
      </c>
      <c r="K435">
        <v>0.05</v>
      </c>
      <c r="L435">
        <v>1140</v>
      </c>
      <c r="M435">
        <v>660</v>
      </c>
      <c r="N435">
        <v>480</v>
      </c>
    </row>
    <row r="436" spans="1:14" x14ac:dyDescent="0.35">
      <c r="A436" t="s">
        <v>836</v>
      </c>
      <c r="B436" t="s">
        <v>832</v>
      </c>
      <c r="C436" t="s">
        <v>227</v>
      </c>
      <c r="D436" t="s">
        <v>17</v>
      </c>
      <c r="E436" t="s">
        <v>124</v>
      </c>
      <c r="F436" t="s">
        <v>19</v>
      </c>
      <c r="G436" t="s">
        <v>20</v>
      </c>
      <c r="H436" t="s">
        <v>21</v>
      </c>
      <c r="I436">
        <v>3</v>
      </c>
      <c r="J436">
        <v>1200</v>
      </c>
      <c r="K436">
        <v>0.05</v>
      </c>
      <c r="L436">
        <v>3420</v>
      </c>
      <c r="M436">
        <v>2160</v>
      </c>
      <c r="N436">
        <v>1260</v>
      </c>
    </row>
    <row r="437" spans="1:14" x14ac:dyDescent="0.35">
      <c r="A437" t="s">
        <v>837</v>
      </c>
      <c r="B437" t="s">
        <v>838</v>
      </c>
      <c r="C437" t="s">
        <v>292</v>
      </c>
      <c r="D437" t="s">
        <v>17</v>
      </c>
      <c r="E437" t="s">
        <v>65</v>
      </c>
      <c r="F437" t="s">
        <v>19</v>
      </c>
      <c r="G437" t="s">
        <v>215</v>
      </c>
      <c r="H437" t="s">
        <v>39</v>
      </c>
      <c r="I437">
        <v>9</v>
      </c>
      <c r="J437">
        <v>2200</v>
      </c>
      <c r="K437">
        <v>0.05</v>
      </c>
      <c r="L437">
        <v>18810</v>
      </c>
      <c r="M437">
        <v>12600</v>
      </c>
      <c r="N437">
        <v>6210</v>
      </c>
    </row>
    <row r="438" spans="1:14" x14ac:dyDescent="0.35">
      <c r="A438" t="s">
        <v>839</v>
      </c>
      <c r="B438" t="s">
        <v>840</v>
      </c>
      <c r="C438" t="s">
        <v>185</v>
      </c>
      <c r="D438" t="s">
        <v>25</v>
      </c>
      <c r="E438" t="s">
        <v>80</v>
      </c>
      <c r="F438" t="s">
        <v>19</v>
      </c>
      <c r="G438" t="s">
        <v>113</v>
      </c>
      <c r="H438" t="s">
        <v>29</v>
      </c>
      <c r="I438">
        <v>4</v>
      </c>
      <c r="J438">
        <v>950</v>
      </c>
      <c r="K438">
        <v>0.05</v>
      </c>
      <c r="L438">
        <v>3610</v>
      </c>
      <c r="M438">
        <v>2240</v>
      </c>
      <c r="N438">
        <v>1370</v>
      </c>
    </row>
    <row r="439" spans="1:14" x14ac:dyDescent="0.35">
      <c r="A439" t="s">
        <v>841</v>
      </c>
      <c r="B439" t="s">
        <v>842</v>
      </c>
      <c r="C439" t="s">
        <v>639</v>
      </c>
      <c r="D439" t="s">
        <v>17</v>
      </c>
      <c r="E439" t="s">
        <v>50</v>
      </c>
      <c r="F439" t="s">
        <v>45</v>
      </c>
      <c r="G439" t="s">
        <v>104</v>
      </c>
      <c r="H439" t="s">
        <v>125</v>
      </c>
      <c r="I439">
        <v>6</v>
      </c>
      <c r="J439">
        <v>650</v>
      </c>
      <c r="K439">
        <v>0.1</v>
      </c>
      <c r="L439">
        <v>3510</v>
      </c>
      <c r="M439">
        <v>2280</v>
      </c>
      <c r="N439">
        <v>1230</v>
      </c>
    </row>
    <row r="440" spans="1:14" x14ac:dyDescent="0.35">
      <c r="A440" t="s">
        <v>843</v>
      </c>
      <c r="B440" t="s">
        <v>842</v>
      </c>
      <c r="C440" t="s">
        <v>205</v>
      </c>
      <c r="D440" t="s">
        <v>25</v>
      </c>
      <c r="E440" t="s">
        <v>26</v>
      </c>
      <c r="F440" t="s">
        <v>37</v>
      </c>
      <c r="G440" t="s">
        <v>97</v>
      </c>
      <c r="H440" t="s">
        <v>33</v>
      </c>
      <c r="I440">
        <v>5</v>
      </c>
      <c r="J440">
        <v>600</v>
      </c>
      <c r="K440">
        <v>0</v>
      </c>
      <c r="L440">
        <v>3000</v>
      </c>
      <c r="M440">
        <v>1650</v>
      </c>
      <c r="N440">
        <v>1350</v>
      </c>
    </row>
    <row r="441" spans="1:14" x14ac:dyDescent="0.35">
      <c r="A441" t="s">
        <v>844</v>
      </c>
      <c r="B441" t="s">
        <v>842</v>
      </c>
      <c r="C441" t="s">
        <v>477</v>
      </c>
      <c r="D441" t="s">
        <v>17</v>
      </c>
      <c r="E441" t="s">
        <v>32</v>
      </c>
      <c r="F441" t="s">
        <v>45</v>
      </c>
      <c r="G441" t="s">
        <v>70</v>
      </c>
      <c r="H441" t="s">
        <v>21</v>
      </c>
      <c r="I441">
        <v>9</v>
      </c>
      <c r="J441">
        <v>1500</v>
      </c>
      <c r="K441">
        <v>0</v>
      </c>
      <c r="L441">
        <v>13500</v>
      </c>
      <c r="M441">
        <v>8100</v>
      </c>
      <c r="N441">
        <v>5400</v>
      </c>
    </row>
    <row r="442" spans="1:14" x14ac:dyDescent="0.35">
      <c r="A442" t="s">
        <v>845</v>
      </c>
      <c r="B442" t="s">
        <v>842</v>
      </c>
      <c r="C442" t="s">
        <v>846</v>
      </c>
      <c r="D442" t="s">
        <v>25</v>
      </c>
      <c r="E442" t="s">
        <v>69</v>
      </c>
      <c r="F442" t="s">
        <v>45</v>
      </c>
      <c r="G442" t="s">
        <v>104</v>
      </c>
      <c r="H442" t="s">
        <v>47</v>
      </c>
      <c r="I442">
        <v>4</v>
      </c>
      <c r="J442">
        <v>350</v>
      </c>
      <c r="K442">
        <v>0.05</v>
      </c>
      <c r="L442">
        <v>1330</v>
      </c>
      <c r="M442">
        <v>720</v>
      </c>
      <c r="N442">
        <v>610</v>
      </c>
    </row>
    <row r="443" spans="1:14" x14ac:dyDescent="0.35">
      <c r="A443" t="s">
        <v>847</v>
      </c>
      <c r="B443" t="s">
        <v>842</v>
      </c>
      <c r="C443" t="s">
        <v>711</v>
      </c>
      <c r="D443" t="s">
        <v>25</v>
      </c>
      <c r="E443" t="s">
        <v>26</v>
      </c>
      <c r="F443" t="s">
        <v>19</v>
      </c>
      <c r="G443" t="s">
        <v>20</v>
      </c>
      <c r="H443" t="s">
        <v>125</v>
      </c>
      <c r="I443">
        <v>3</v>
      </c>
      <c r="J443">
        <v>600</v>
      </c>
      <c r="K443">
        <v>0.05</v>
      </c>
      <c r="L443">
        <v>1710</v>
      </c>
      <c r="M443">
        <v>990</v>
      </c>
      <c r="N443">
        <v>720</v>
      </c>
    </row>
    <row r="444" spans="1:14" x14ac:dyDescent="0.35">
      <c r="A444" t="s">
        <v>848</v>
      </c>
      <c r="B444" t="s">
        <v>849</v>
      </c>
      <c r="C444" t="s">
        <v>850</v>
      </c>
      <c r="D444" t="s">
        <v>25</v>
      </c>
      <c r="E444" t="s">
        <v>80</v>
      </c>
      <c r="F444" t="s">
        <v>27</v>
      </c>
      <c r="G444" t="s">
        <v>28</v>
      </c>
      <c r="H444" t="s">
        <v>47</v>
      </c>
      <c r="I444">
        <v>5</v>
      </c>
      <c r="J444">
        <v>950</v>
      </c>
      <c r="K444">
        <v>0.15</v>
      </c>
      <c r="L444">
        <v>4037.5</v>
      </c>
      <c r="M444">
        <v>2800</v>
      </c>
      <c r="N444">
        <v>1237.5</v>
      </c>
    </row>
    <row r="445" spans="1:14" x14ac:dyDescent="0.35">
      <c r="A445" t="s">
        <v>851</v>
      </c>
      <c r="B445" t="s">
        <v>849</v>
      </c>
      <c r="C445" t="s">
        <v>355</v>
      </c>
      <c r="D445" t="s">
        <v>54</v>
      </c>
      <c r="E445" t="s">
        <v>55</v>
      </c>
      <c r="F445" t="s">
        <v>19</v>
      </c>
      <c r="G445" t="s">
        <v>113</v>
      </c>
      <c r="H445" t="s">
        <v>125</v>
      </c>
      <c r="I445">
        <v>2</v>
      </c>
      <c r="J445">
        <v>180</v>
      </c>
      <c r="K445">
        <v>0</v>
      </c>
      <c r="L445">
        <v>360</v>
      </c>
      <c r="M445">
        <v>180</v>
      </c>
      <c r="N445">
        <v>180</v>
      </c>
    </row>
    <row r="446" spans="1:14" x14ac:dyDescent="0.35">
      <c r="A446" t="s">
        <v>852</v>
      </c>
      <c r="B446" t="s">
        <v>853</v>
      </c>
      <c r="C446" t="s">
        <v>207</v>
      </c>
      <c r="D446" t="s">
        <v>25</v>
      </c>
      <c r="E446" t="s">
        <v>36</v>
      </c>
      <c r="F446" t="s">
        <v>45</v>
      </c>
      <c r="G446" t="s">
        <v>70</v>
      </c>
      <c r="H446" t="s">
        <v>33</v>
      </c>
      <c r="I446">
        <v>6</v>
      </c>
      <c r="J446">
        <v>700</v>
      </c>
      <c r="K446">
        <v>0</v>
      </c>
      <c r="L446">
        <v>4200</v>
      </c>
      <c r="M446">
        <v>2400</v>
      </c>
      <c r="N446">
        <v>1800</v>
      </c>
    </row>
    <row r="447" spans="1:14" x14ac:dyDescent="0.35">
      <c r="A447" t="s">
        <v>854</v>
      </c>
      <c r="B447" t="s">
        <v>853</v>
      </c>
      <c r="C447" t="s">
        <v>316</v>
      </c>
      <c r="D447" t="s">
        <v>54</v>
      </c>
      <c r="E447" t="s">
        <v>116</v>
      </c>
      <c r="F447" t="s">
        <v>19</v>
      </c>
      <c r="G447" t="s">
        <v>113</v>
      </c>
      <c r="H447" t="s">
        <v>47</v>
      </c>
      <c r="I447">
        <v>8</v>
      </c>
      <c r="J447">
        <v>450</v>
      </c>
      <c r="K447">
        <v>0.1</v>
      </c>
      <c r="L447">
        <v>3240</v>
      </c>
      <c r="M447">
        <v>2000</v>
      </c>
      <c r="N447">
        <v>1240</v>
      </c>
    </row>
    <row r="448" spans="1:14" x14ac:dyDescent="0.35">
      <c r="A448" t="s">
        <v>855</v>
      </c>
      <c r="B448" t="s">
        <v>853</v>
      </c>
      <c r="C448" t="s">
        <v>272</v>
      </c>
      <c r="D448" t="s">
        <v>25</v>
      </c>
      <c r="E448" t="s">
        <v>69</v>
      </c>
      <c r="F448" t="s">
        <v>27</v>
      </c>
      <c r="G448" t="s">
        <v>51</v>
      </c>
      <c r="H448" t="s">
        <v>47</v>
      </c>
      <c r="I448">
        <v>7</v>
      </c>
      <c r="J448">
        <v>350</v>
      </c>
      <c r="K448">
        <v>0</v>
      </c>
      <c r="L448">
        <v>2450</v>
      </c>
      <c r="M448">
        <v>1260</v>
      </c>
      <c r="N448">
        <v>1190</v>
      </c>
    </row>
    <row r="449" spans="1:14" x14ac:dyDescent="0.35">
      <c r="A449" t="s">
        <v>856</v>
      </c>
      <c r="B449" t="s">
        <v>857</v>
      </c>
      <c r="C449" t="s">
        <v>121</v>
      </c>
      <c r="D449" t="s">
        <v>17</v>
      </c>
      <c r="E449" t="s">
        <v>65</v>
      </c>
      <c r="F449" t="s">
        <v>45</v>
      </c>
      <c r="G449" t="s">
        <v>122</v>
      </c>
      <c r="H449" t="s">
        <v>33</v>
      </c>
      <c r="I449">
        <v>9</v>
      </c>
      <c r="J449">
        <v>2200</v>
      </c>
      <c r="K449">
        <v>0.1</v>
      </c>
      <c r="L449">
        <v>17820</v>
      </c>
      <c r="M449">
        <v>12600</v>
      </c>
      <c r="N449">
        <v>5220</v>
      </c>
    </row>
    <row r="450" spans="1:14" x14ac:dyDescent="0.35">
      <c r="A450" t="s">
        <v>858</v>
      </c>
      <c r="B450" t="s">
        <v>857</v>
      </c>
      <c r="C450" t="s">
        <v>224</v>
      </c>
      <c r="D450" t="s">
        <v>43</v>
      </c>
      <c r="E450" t="s">
        <v>44</v>
      </c>
      <c r="F450" t="s">
        <v>27</v>
      </c>
      <c r="G450" t="s">
        <v>28</v>
      </c>
      <c r="H450" t="s">
        <v>21</v>
      </c>
      <c r="I450">
        <v>3</v>
      </c>
      <c r="J450">
        <v>2200</v>
      </c>
      <c r="K450">
        <v>0</v>
      </c>
      <c r="L450">
        <v>6600</v>
      </c>
      <c r="M450">
        <v>4350</v>
      </c>
      <c r="N450">
        <v>2250</v>
      </c>
    </row>
    <row r="451" spans="1:14" x14ac:dyDescent="0.35">
      <c r="A451" t="s">
        <v>859</v>
      </c>
      <c r="B451" t="s">
        <v>857</v>
      </c>
      <c r="C451" t="s">
        <v>410</v>
      </c>
      <c r="D451" t="s">
        <v>25</v>
      </c>
      <c r="E451" t="s">
        <v>69</v>
      </c>
      <c r="F451" t="s">
        <v>45</v>
      </c>
      <c r="G451" t="s">
        <v>70</v>
      </c>
      <c r="H451" t="s">
        <v>39</v>
      </c>
      <c r="I451">
        <v>9</v>
      </c>
      <c r="J451">
        <v>350</v>
      </c>
      <c r="K451">
        <v>0</v>
      </c>
      <c r="L451">
        <v>3150</v>
      </c>
      <c r="M451">
        <v>1620</v>
      </c>
      <c r="N451">
        <v>1530</v>
      </c>
    </row>
    <row r="452" spans="1:14" x14ac:dyDescent="0.35">
      <c r="A452" t="s">
        <v>860</v>
      </c>
      <c r="B452" t="s">
        <v>857</v>
      </c>
      <c r="C452" t="s">
        <v>861</v>
      </c>
      <c r="D452" t="s">
        <v>17</v>
      </c>
      <c r="E452" t="s">
        <v>65</v>
      </c>
      <c r="F452" t="s">
        <v>45</v>
      </c>
      <c r="G452" t="s">
        <v>104</v>
      </c>
      <c r="H452" t="s">
        <v>33</v>
      </c>
      <c r="I452">
        <v>1</v>
      </c>
      <c r="J452">
        <v>2200</v>
      </c>
      <c r="K452">
        <v>0</v>
      </c>
      <c r="L452">
        <v>2200</v>
      </c>
      <c r="M452">
        <v>1400</v>
      </c>
      <c r="N452">
        <v>800</v>
      </c>
    </row>
    <row r="453" spans="1:14" x14ac:dyDescent="0.35">
      <c r="A453" t="s">
        <v>862</v>
      </c>
      <c r="B453" t="s">
        <v>857</v>
      </c>
      <c r="C453" t="s">
        <v>431</v>
      </c>
      <c r="D453" t="s">
        <v>25</v>
      </c>
      <c r="E453" t="s">
        <v>89</v>
      </c>
      <c r="F453" t="s">
        <v>19</v>
      </c>
      <c r="G453" t="s">
        <v>215</v>
      </c>
      <c r="H453" t="s">
        <v>29</v>
      </c>
      <c r="I453">
        <v>10</v>
      </c>
      <c r="J453">
        <v>550</v>
      </c>
      <c r="K453">
        <v>0</v>
      </c>
      <c r="L453">
        <v>5500</v>
      </c>
      <c r="M453">
        <v>3000</v>
      </c>
      <c r="N453">
        <v>2500</v>
      </c>
    </row>
    <row r="454" spans="1:14" x14ac:dyDescent="0.35">
      <c r="A454" t="s">
        <v>863</v>
      </c>
      <c r="B454" t="s">
        <v>864</v>
      </c>
      <c r="C454" t="s">
        <v>31</v>
      </c>
      <c r="D454" t="s">
        <v>54</v>
      </c>
      <c r="E454" t="s">
        <v>103</v>
      </c>
      <c r="F454" t="s">
        <v>37</v>
      </c>
      <c r="G454" t="s">
        <v>38</v>
      </c>
      <c r="H454" t="s">
        <v>125</v>
      </c>
      <c r="I454">
        <v>3</v>
      </c>
      <c r="J454">
        <v>150</v>
      </c>
      <c r="K454">
        <v>0</v>
      </c>
      <c r="L454">
        <v>450</v>
      </c>
      <c r="M454">
        <v>225</v>
      </c>
      <c r="N454">
        <v>225</v>
      </c>
    </row>
    <row r="455" spans="1:14" x14ac:dyDescent="0.35">
      <c r="A455" t="s">
        <v>865</v>
      </c>
      <c r="B455" t="s">
        <v>864</v>
      </c>
      <c r="C455" t="s">
        <v>220</v>
      </c>
      <c r="D455" t="s">
        <v>43</v>
      </c>
      <c r="E455" t="s">
        <v>143</v>
      </c>
      <c r="F455" t="s">
        <v>37</v>
      </c>
      <c r="G455" t="s">
        <v>97</v>
      </c>
      <c r="H455" t="s">
        <v>21</v>
      </c>
      <c r="I455">
        <v>7</v>
      </c>
      <c r="J455">
        <v>650</v>
      </c>
      <c r="K455">
        <v>0.05</v>
      </c>
      <c r="L455">
        <v>4322.5</v>
      </c>
      <c r="M455">
        <v>2450</v>
      </c>
      <c r="N455">
        <v>1872.5</v>
      </c>
    </row>
    <row r="456" spans="1:14" x14ac:dyDescent="0.35">
      <c r="A456" t="s">
        <v>866</v>
      </c>
      <c r="B456" t="s">
        <v>864</v>
      </c>
      <c r="C456" t="s">
        <v>631</v>
      </c>
      <c r="D456" t="s">
        <v>54</v>
      </c>
      <c r="E456" t="s">
        <v>116</v>
      </c>
      <c r="F456" t="s">
        <v>45</v>
      </c>
      <c r="G456" t="s">
        <v>70</v>
      </c>
      <c r="H456" t="s">
        <v>33</v>
      </c>
      <c r="I456">
        <v>9</v>
      </c>
      <c r="J456">
        <v>450</v>
      </c>
      <c r="K456">
        <v>0</v>
      </c>
      <c r="L456">
        <v>4050</v>
      </c>
      <c r="M456">
        <v>2250</v>
      </c>
      <c r="N456">
        <v>1800</v>
      </c>
    </row>
    <row r="457" spans="1:14" x14ac:dyDescent="0.35">
      <c r="A457" t="s">
        <v>867</v>
      </c>
      <c r="B457" t="s">
        <v>868</v>
      </c>
      <c r="C457" t="s">
        <v>390</v>
      </c>
      <c r="D457" t="s">
        <v>25</v>
      </c>
      <c r="E457" t="s">
        <v>36</v>
      </c>
      <c r="F457" t="s">
        <v>37</v>
      </c>
      <c r="G457" t="s">
        <v>38</v>
      </c>
      <c r="H457" t="s">
        <v>47</v>
      </c>
      <c r="I457">
        <v>10</v>
      </c>
      <c r="J457">
        <v>700</v>
      </c>
      <c r="K457">
        <v>0</v>
      </c>
      <c r="L457">
        <v>7000</v>
      </c>
      <c r="M457">
        <v>4000</v>
      </c>
      <c r="N457">
        <v>3000</v>
      </c>
    </row>
    <row r="458" spans="1:14" x14ac:dyDescent="0.35">
      <c r="A458" t="s">
        <v>869</v>
      </c>
      <c r="B458" t="s">
        <v>868</v>
      </c>
      <c r="C458" t="s">
        <v>711</v>
      </c>
      <c r="D458" t="s">
        <v>43</v>
      </c>
      <c r="E458" t="s">
        <v>44</v>
      </c>
      <c r="F458" t="s">
        <v>45</v>
      </c>
      <c r="G458" t="s">
        <v>122</v>
      </c>
      <c r="H458" t="s">
        <v>125</v>
      </c>
      <c r="I458">
        <v>1</v>
      </c>
      <c r="J458">
        <v>2200</v>
      </c>
      <c r="K458">
        <v>0.05</v>
      </c>
      <c r="L458">
        <v>2090</v>
      </c>
      <c r="M458">
        <v>1450</v>
      </c>
      <c r="N458">
        <v>640</v>
      </c>
    </row>
    <row r="459" spans="1:14" x14ac:dyDescent="0.35">
      <c r="A459" t="s">
        <v>870</v>
      </c>
      <c r="B459" t="s">
        <v>868</v>
      </c>
      <c r="C459" t="s">
        <v>224</v>
      </c>
      <c r="D459" t="s">
        <v>54</v>
      </c>
      <c r="E459" t="s">
        <v>55</v>
      </c>
      <c r="F459" t="s">
        <v>19</v>
      </c>
      <c r="G459" t="s">
        <v>215</v>
      </c>
      <c r="H459" t="s">
        <v>21</v>
      </c>
      <c r="I459">
        <v>10</v>
      </c>
      <c r="J459">
        <v>180</v>
      </c>
      <c r="K459">
        <v>0</v>
      </c>
      <c r="L459">
        <v>1800</v>
      </c>
      <c r="M459">
        <v>900</v>
      </c>
      <c r="N459">
        <v>900</v>
      </c>
    </row>
    <row r="460" spans="1:14" x14ac:dyDescent="0.35">
      <c r="A460" t="s">
        <v>871</v>
      </c>
      <c r="B460" t="s">
        <v>872</v>
      </c>
      <c r="C460" t="s">
        <v>602</v>
      </c>
      <c r="D460" t="s">
        <v>17</v>
      </c>
      <c r="E460" t="s">
        <v>65</v>
      </c>
      <c r="F460" t="s">
        <v>19</v>
      </c>
      <c r="G460" t="s">
        <v>56</v>
      </c>
      <c r="H460" t="s">
        <v>47</v>
      </c>
      <c r="I460">
        <v>1</v>
      </c>
      <c r="J460">
        <v>2200</v>
      </c>
      <c r="K460">
        <v>0.1</v>
      </c>
      <c r="L460">
        <v>1980</v>
      </c>
      <c r="M460">
        <v>1400</v>
      </c>
      <c r="N460">
        <v>580</v>
      </c>
    </row>
    <row r="461" spans="1:14" x14ac:dyDescent="0.35">
      <c r="A461" t="s">
        <v>873</v>
      </c>
      <c r="B461" t="s">
        <v>872</v>
      </c>
      <c r="C461" t="s">
        <v>602</v>
      </c>
      <c r="D461" t="s">
        <v>17</v>
      </c>
      <c r="E461" t="s">
        <v>124</v>
      </c>
      <c r="F461" t="s">
        <v>37</v>
      </c>
      <c r="G461" t="s">
        <v>38</v>
      </c>
      <c r="H461" t="s">
        <v>125</v>
      </c>
      <c r="I461">
        <v>7</v>
      </c>
      <c r="J461">
        <v>1200</v>
      </c>
      <c r="K461">
        <v>0</v>
      </c>
      <c r="L461">
        <v>8400</v>
      </c>
      <c r="M461">
        <v>5040</v>
      </c>
      <c r="N461">
        <v>3360</v>
      </c>
    </row>
    <row r="462" spans="1:14" x14ac:dyDescent="0.35">
      <c r="A462" t="s">
        <v>874</v>
      </c>
      <c r="B462" t="s">
        <v>875</v>
      </c>
      <c r="C462" t="s">
        <v>876</v>
      </c>
      <c r="D462" t="s">
        <v>17</v>
      </c>
      <c r="E462" t="s">
        <v>50</v>
      </c>
      <c r="F462" t="s">
        <v>27</v>
      </c>
      <c r="G462" t="s">
        <v>51</v>
      </c>
      <c r="H462" t="s">
        <v>39</v>
      </c>
      <c r="I462">
        <v>10</v>
      </c>
      <c r="J462">
        <v>650</v>
      </c>
      <c r="K462">
        <v>0.1</v>
      </c>
      <c r="L462">
        <v>5850</v>
      </c>
      <c r="M462">
        <v>3800</v>
      </c>
      <c r="N462">
        <v>2050</v>
      </c>
    </row>
    <row r="463" spans="1:14" x14ac:dyDescent="0.35">
      <c r="A463" t="s">
        <v>877</v>
      </c>
      <c r="B463" t="s">
        <v>875</v>
      </c>
      <c r="C463" t="s">
        <v>878</v>
      </c>
      <c r="D463" t="s">
        <v>25</v>
      </c>
      <c r="E463" t="s">
        <v>69</v>
      </c>
      <c r="F463" t="s">
        <v>19</v>
      </c>
      <c r="G463" t="s">
        <v>113</v>
      </c>
      <c r="H463" t="s">
        <v>21</v>
      </c>
      <c r="I463">
        <v>3</v>
      </c>
      <c r="J463">
        <v>350</v>
      </c>
      <c r="K463">
        <v>0</v>
      </c>
      <c r="L463">
        <v>1050</v>
      </c>
      <c r="M463">
        <v>540</v>
      </c>
      <c r="N463">
        <v>510</v>
      </c>
    </row>
    <row r="464" spans="1:14" x14ac:dyDescent="0.35">
      <c r="A464" t="s">
        <v>879</v>
      </c>
      <c r="B464" t="s">
        <v>875</v>
      </c>
      <c r="C464" t="s">
        <v>163</v>
      </c>
      <c r="D464" t="s">
        <v>25</v>
      </c>
      <c r="E464" t="s">
        <v>80</v>
      </c>
      <c r="F464" t="s">
        <v>19</v>
      </c>
      <c r="G464" t="s">
        <v>215</v>
      </c>
      <c r="H464" t="s">
        <v>47</v>
      </c>
      <c r="I464">
        <v>8</v>
      </c>
      <c r="J464">
        <v>950</v>
      </c>
      <c r="K464">
        <v>0</v>
      </c>
      <c r="L464">
        <v>7600</v>
      </c>
      <c r="M464">
        <v>4480</v>
      </c>
      <c r="N464">
        <v>3120</v>
      </c>
    </row>
    <row r="465" spans="1:14" x14ac:dyDescent="0.35">
      <c r="A465" t="s">
        <v>880</v>
      </c>
      <c r="B465" t="s">
        <v>875</v>
      </c>
      <c r="C465" t="s">
        <v>364</v>
      </c>
      <c r="D465" t="s">
        <v>17</v>
      </c>
      <c r="E465" t="s">
        <v>18</v>
      </c>
      <c r="F465" t="s">
        <v>27</v>
      </c>
      <c r="G465" t="s">
        <v>85</v>
      </c>
      <c r="H465" t="s">
        <v>33</v>
      </c>
      <c r="I465">
        <v>3</v>
      </c>
      <c r="J465">
        <v>1800</v>
      </c>
      <c r="K465">
        <v>0</v>
      </c>
      <c r="L465">
        <v>5400</v>
      </c>
      <c r="M465">
        <v>3300</v>
      </c>
      <c r="N465">
        <v>2100</v>
      </c>
    </row>
    <row r="466" spans="1:14" x14ac:dyDescent="0.35">
      <c r="A466" t="s">
        <v>881</v>
      </c>
      <c r="B466" t="s">
        <v>875</v>
      </c>
      <c r="C466" t="s">
        <v>723</v>
      </c>
      <c r="D466" t="s">
        <v>17</v>
      </c>
      <c r="E466" t="s">
        <v>50</v>
      </c>
      <c r="F466" t="s">
        <v>37</v>
      </c>
      <c r="G466" t="s">
        <v>38</v>
      </c>
      <c r="H466" t="s">
        <v>33</v>
      </c>
      <c r="I466">
        <v>1</v>
      </c>
      <c r="J466">
        <v>650</v>
      </c>
      <c r="K466">
        <v>0.05</v>
      </c>
      <c r="L466">
        <v>617.5</v>
      </c>
      <c r="M466">
        <v>380</v>
      </c>
      <c r="N466">
        <v>237.5</v>
      </c>
    </row>
    <row r="467" spans="1:14" x14ac:dyDescent="0.35">
      <c r="A467" t="s">
        <v>882</v>
      </c>
      <c r="B467" t="s">
        <v>875</v>
      </c>
      <c r="C467" t="s">
        <v>16</v>
      </c>
      <c r="D467" t="s">
        <v>17</v>
      </c>
      <c r="E467" t="s">
        <v>18</v>
      </c>
      <c r="F467" t="s">
        <v>45</v>
      </c>
      <c r="G467" t="s">
        <v>70</v>
      </c>
      <c r="H467" t="s">
        <v>125</v>
      </c>
      <c r="I467">
        <v>4</v>
      </c>
      <c r="J467">
        <v>1800</v>
      </c>
      <c r="K467">
        <v>0.1</v>
      </c>
      <c r="L467">
        <v>6480</v>
      </c>
      <c r="M467">
        <v>4400</v>
      </c>
      <c r="N467">
        <v>2080</v>
      </c>
    </row>
    <row r="468" spans="1:14" x14ac:dyDescent="0.35">
      <c r="A468" t="s">
        <v>883</v>
      </c>
      <c r="B468" t="s">
        <v>875</v>
      </c>
      <c r="C468" t="s">
        <v>410</v>
      </c>
      <c r="D468" t="s">
        <v>54</v>
      </c>
      <c r="E468" t="s">
        <v>55</v>
      </c>
      <c r="F468" t="s">
        <v>37</v>
      </c>
      <c r="G468" t="s">
        <v>38</v>
      </c>
      <c r="H468" t="s">
        <v>21</v>
      </c>
      <c r="I468">
        <v>7</v>
      </c>
      <c r="J468">
        <v>180</v>
      </c>
      <c r="K468">
        <v>0.15</v>
      </c>
      <c r="L468">
        <v>1071</v>
      </c>
      <c r="M468">
        <v>630</v>
      </c>
      <c r="N468">
        <v>441</v>
      </c>
    </row>
    <row r="469" spans="1:14" x14ac:dyDescent="0.35">
      <c r="A469" t="s">
        <v>884</v>
      </c>
      <c r="B469" t="s">
        <v>875</v>
      </c>
      <c r="C469" t="s">
        <v>861</v>
      </c>
      <c r="D469" t="s">
        <v>54</v>
      </c>
      <c r="E469" t="s">
        <v>107</v>
      </c>
      <c r="F469" t="s">
        <v>45</v>
      </c>
      <c r="G469" t="s">
        <v>70</v>
      </c>
      <c r="H469" t="s">
        <v>33</v>
      </c>
      <c r="I469">
        <v>1</v>
      </c>
      <c r="J469">
        <v>120</v>
      </c>
      <c r="K469">
        <v>0</v>
      </c>
      <c r="L469">
        <v>120</v>
      </c>
      <c r="M469">
        <v>55</v>
      </c>
      <c r="N469">
        <v>65</v>
      </c>
    </row>
    <row r="470" spans="1:14" x14ac:dyDescent="0.35">
      <c r="A470" t="s">
        <v>885</v>
      </c>
      <c r="B470" t="s">
        <v>875</v>
      </c>
      <c r="C470" t="s">
        <v>296</v>
      </c>
      <c r="D470" t="s">
        <v>54</v>
      </c>
      <c r="E470" t="s">
        <v>107</v>
      </c>
      <c r="F470" t="s">
        <v>45</v>
      </c>
      <c r="G470" t="s">
        <v>122</v>
      </c>
      <c r="H470" t="s">
        <v>47</v>
      </c>
      <c r="I470">
        <v>10</v>
      </c>
      <c r="J470">
        <v>120</v>
      </c>
      <c r="K470">
        <v>0</v>
      </c>
      <c r="L470">
        <v>1200</v>
      </c>
      <c r="M470">
        <v>550</v>
      </c>
      <c r="N470">
        <v>650</v>
      </c>
    </row>
    <row r="471" spans="1:14" x14ac:dyDescent="0.35">
      <c r="A471" t="s">
        <v>886</v>
      </c>
      <c r="B471" t="s">
        <v>887</v>
      </c>
      <c r="C471" t="s">
        <v>173</v>
      </c>
      <c r="D471" t="s">
        <v>43</v>
      </c>
      <c r="E471" t="s">
        <v>250</v>
      </c>
      <c r="F471" t="s">
        <v>45</v>
      </c>
      <c r="G471" t="s">
        <v>104</v>
      </c>
      <c r="H471" t="s">
        <v>47</v>
      </c>
      <c r="I471">
        <v>5</v>
      </c>
      <c r="J471">
        <v>900</v>
      </c>
      <c r="K471">
        <v>0</v>
      </c>
      <c r="L471">
        <v>4500</v>
      </c>
      <c r="M471">
        <v>2600</v>
      </c>
      <c r="N471">
        <v>1900</v>
      </c>
    </row>
    <row r="472" spans="1:14" x14ac:dyDescent="0.35">
      <c r="A472" t="s">
        <v>888</v>
      </c>
      <c r="B472" t="s">
        <v>887</v>
      </c>
      <c r="C472" t="s">
        <v>53</v>
      </c>
      <c r="D472" t="s">
        <v>54</v>
      </c>
      <c r="E472" t="s">
        <v>55</v>
      </c>
      <c r="F472" t="s">
        <v>19</v>
      </c>
      <c r="G472" t="s">
        <v>215</v>
      </c>
      <c r="H472" t="s">
        <v>125</v>
      </c>
      <c r="I472">
        <v>6</v>
      </c>
      <c r="J472">
        <v>180</v>
      </c>
      <c r="K472">
        <v>0.05</v>
      </c>
      <c r="L472">
        <v>1026</v>
      </c>
      <c r="M472">
        <v>540</v>
      </c>
      <c r="N472">
        <v>486</v>
      </c>
    </row>
    <row r="473" spans="1:14" x14ac:dyDescent="0.35">
      <c r="A473" t="s">
        <v>889</v>
      </c>
      <c r="B473" t="s">
        <v>887</v>
      </c>
      <c r="C473" t="s">
        <v>802</v>
      </c>
      <c r="D473" t="s">
        <v>43</v>
      </c>
      <c r="E473" t="s">
        <v>169</v>
      </c>
      <c r="F473" t="s">
        <v>45</v>
      </c>
      <c r="G473" t="s">
        <v>104</v>
      </c>
      <c r="H473" t="s">
        <v>39</v>
      </c>
      <c r="I473">
        <v>3</v>
      </c>
      <c r="J473">
        <v>350</v>
      </c>
      <c r="K473">
        <v>0</v>
      </c>
      <c r="L473">
        <v>1050</v>
      </c>
      <c r="M473">
        <v>510</v>
      </c>
      <c r="N473">
        <v>540</v>
      </c>
    </row>
    <row r="474" spans="1:14" x14ac:dyDescent="0.35">
      <c r="A474" t="s">
        <v>890</v>
      </c>
      <c r="B474" t="s">
        <v>887</v>
      </c>
      <c r="C474" t="s">
        <v>736</v>
      </c>
      <c r="D474" t="s">
        <v>43</v>
      </c>
      <c r="E474" t="s">
        <v>143</v>
      </c>
      <c r="F474" t="s">
        <v>19</v>
      </c>
      <c r="G474" t="s">
        <v>113</v>
      </c>
      <c r="H474" t="s">
        <v>21</v>
      </c>
      <c r="I474">
        <v>8</v>
      </c>
      <c r="J474">
        <v>650</v>
      </c>
      <c r="K474">
        <v>0.1</v>
      </c>
      <c r="L474">
        <v>4680</v>
      </c>
      <c r="M474">
        <v>2800</v>
      </c>
      <c r="N474">
        <v>1880</v>
      </c>
    </row>
    <row r="475" spans="1:14" x14ac:dyDescent="0.35">
      <c r="A475" t="s">
        <v>891</v>
      </c>
      <c r="B475" t="s">
        <v>892</v>
      </c>
      <c r="C475" t="s">
        <v>264</v>
      </c>
      <c r="D475" t="s">
        <v>25</v>
      </c>
      <c r="E475" t="s">
        <v>26</v>
      </c>
      <c r="F475" t="s">
        <v>45</v>
      </c>
      <c r="G475" t="s">
        <v>70</v>
      </c>
      <c r="H475" t="s">
        <v>33</v>
      </c>
      <c r="I475">
        <v>4</v>
      </c>
      <c r="J475">
        <v>600</v>
      </c>
      <c r="K475">
        <v>0.05</v>
      </c>
      <c r="L475">
        <v>2280</v>
      </c>
      <c r="M475">
        <v>1320</v>
      </c>
      <c r="N475">
        <v>960</v>
      </c>
    </row>
    <row r="476" spans="1:14" x14ac:dyDescent="0.35">
      <c r="A476" t="s">
        <v>893</v>
      </c>
      <c r="B476" t="s">
        <v>894</v>
      </c>
      <c r="C476" t="s">
        <v>328</v>
      </c>
      <c r="D476" t="s">
        <v>54</v>
      </c>
      <c r="E476" t="s">
        <v>55</v>
      </c>
      <c r="F476" t="s">
        <v>37</v>
      </c>
      <c r="G476" t="s">
        <v>73</v>
      </c>
      <c r="H476" t="s">
        <v>21</v>
      </c>
      <c r="I476">
        <v>9</v>
      </c>
      <c r="J476">
        <v>180</v>
      </c>
      <c r="K476">
        <v>0.05</v>
      </c>
      <c r="L476">
        <v>1539</v>
      </c>
      <c r="M476">
        <v>810</v>
      </c>
      <c r="N476">
        <v>729</v>
      </c>
    </row>
    <row r="477" spans="1:14" x14ac:dyDescent="0.35">
      <c r="A477" t="s">
        <v>895</v>
      </c>
      <c r="B477" t="s">
        <v>894</v>
      </c>
      <c r="C477" t="s">
        <v>390</v>
      </c>
      <c r="D477" t="s">
        <v>43</v>
      </c>
      <c r="E477" t="s">
        <v>169</v>
      </c>
      <c r="F477" t="s">
        <v>37</v>
      </c>
      <c r="G477" t="s">
        <v>140</v>
      </c>
      <c r="H477" t="s">
        <v>39</v>
      </c>
      <c r="I477">
        <v>1</v>
      </c>
      <c r="J477">
        <v>350</v>
      </c>
      <c r="K477">
        <v>0</v>
      </c>
      <c r="L477">
        <v>350</v>
      </c>
      <c r="M477">
        <v>170</v>
      </c>
      <c r="N477">
        <v>180</v>
      </c>
    </row>
    <row r="478" spans="1:14" x14ac:dyDescent="0.35">
      <c r="A478" t="s">
        <v>896</v>
      </c>
      <c r="B478" t="s">
        <v>897</v>
      </c>
      <c r="C478" t="s">
        <v>109</v>
      </c>
      <c r="D478" t="s">
        <v>54</v>
      </c>
      <c r="E478" t="s">
        <v>107</v>
      </c>
      <c r="F478" t="s">
        <v>27</v>
      </c>
      <c r="G478" t="s">
        <v>90</v>
      </c>
      <c r="H478" t="s">
        <v>39</v>
      </c>
      <c r="I478">
        <v>6</v>
      </c>
      <c r="J478">
        <v>120</v>
      </c>
      <c r="K478">
        <v>0.05</v>
      </c>
      <c r="L478">
        <v>684</v>
      </c>
      <c r="M478">
        <v>330</v>
      </c>
      <c r="N478">
        <v>354</v>
      </c>
    </row>
    <row r="479" spans="1:14" x14ac:dyDescent="0.35">
      <c r="A479" t="s">
        <v>898</v>
      </c>
      <c r="B479" t="s">
        <v>899</v>
      </c>
      <c r="C479" t="s">
        <v>566</v>
      </c>
      <c r="D479" t="s">
        <v>43</v>
      </c>
      <c r="E479" t="s">
        <v>143</v>
      </c>
      <c r="F479" t="s">
        <v>27</v>
      </c>
      <c r="G479" t="s">
        <v>28</v>
      </c>
      <c r="H479" t="s">
        <v>21</v>
      </c>
      <c r="I479">
        <v>7</v>
      </c>
      <c r="J479">
        <v>650</v>
      </c>
      <c r="K479">
        <v>0</v>
      </c>
      <c r="L479">
        <v>4550</v>
      </c>
      <c r="M479">
        <v>2450</v>
      </c>
      <c r="N479">
        <v>2100</v>
      </c>
    </row>
    <row r="480" spans="1:14" x14ac:dyDescent="0.35">
      <c r="A480" t="s">
        <v>900</v>
      </c>
      <c r="B480" t="s">
        <v>899</v>
      </c>
      <c r="C480" t="s">
        <v>189</v>
      </c>
      <c r="D480" t="s">
        <v>25</v>
      </c>
      <c r="E480" t="s">
        <v>69</v>
      </c>
      <c r="F480" t="s">
        <v>45</v>
      </c>
      <c r="G480" t="s">
        <v>122</v>
      </c>
      <c r="H480" t="s">
        <v>125</v>
      </c>
      <c r="I480">
        <v>6</v>
      </c>
      <c r="J480">
        <v>350</v>
      </c>
      <c r="K480">
        <v>0.1</v>
      </c>
      <c r="L480">
        <v>1890</v>
      </c>
      <c r="M480">
        <v>1080</v>
      </c>
      <c r="N480">
        <v>810</v>
      </c>
    </row>
    <row r="481" spans="1:14" x14ac:dyDescent="0.35">
      <c r="A481" t="s">
        <v>901</v>
      </c>
      <c r="B481" t="s">
        <v>899</v>
      </c>
      <c r="C481" t="s">
        <v>339</v>
      </c>
      <c r="D481" t="s">
        <v>17</v>
      </c>
      <c r="E481" t="s">
        <v>32</v>
      </c>
      <c r="F481" t="s">
        <v>19</v>
      </c>
      <c r="G481" t="s">
        <v>113</v>
      </c>
      <c r="H481" t="s">
        <v>33</v>
      </c>
      <c r="I481">
        <v>3</v>
      </c>
      <c r="J481">
        <v>1500</v>
      </c>
      <c r="K481">
        <v>0.1</v>
      </c>
      <c r="L481">
        <v>4050</v>
      </c>
      <c r="M481">
        <v>2700</v>
      </c>
      <c r="N481">
        <v>1350</v>
      </c>
    </row>
    <row r="482" spans="1:14" x14ac:dyDescent="0.35">
      <c r="A482" t="s">
        <v>902</v>
      </c>
      <c r="B482" t="s">
        <v>899</v>
      </c>
      <c r="C482" t="s">
        <v>287</v>
      </c>
      <c r="D482" t="s">
        <v>17</v>
      </c>
      <c r="E482" t="s">
        <v>32</v>
      </c>
      <c r="F482" t="s">
        <v>37</v>
      </c>
      <c r="G482" t="s">
        <v>38</v>
      </c>
      <c r="H482" t="s">
        <v>125</v>
      </c>
      <c r="I482">
        <v>9</v>
      </c>
      <c r="J482">
        <v>1500</v>
      </c>
      <c r="K482">
        <v>0</v>
      </c>
      <c r="L482">
        <v>13500</v>
      </c>
      <c r="M482">
        <v>8100</v>
      </c>
      <c r="N482">
        <v>5400</v>
      </c>
    </row>
    <row r="483" spans="1:14" x14ac:dyDescent="0.35">
      <c r="A483" t="s">
        <v>903</v>
      </c>
      <c r="B483" t="s">
        <v>904</v>
      </c>
      <c r="C483" t="s">
        <v>109</v>
      </c>
      <c r="D483" t="s">
        <v>43</v>
      </c>
      <c r="E483" t="s">
        <v>250</v>
      </c>
      <c r="F483" t="s">
        <v>45</v>
      </c>
      <c r="G483" t="s">
        <v>104</v>
      </c>
      <c r="H483" t="s">
        <v>33</v>
      </c>
      <c r="I483">
        <v>9</v>
      </c>
      <c r="J483">
        <v>900</v>
      </c>
      <c r="K483">
        <v>0</v>
      </c>
      <c r="L483">
        <v>8100</v>
      </c>
      <c r="M483">
        <v>4680</v>
      </c>
      <c r="N483">
        <v>3420</v>
      </c>
    </row>
    <row r="484" spans="1:14" x14ac:dyDescent="0.35">
      <c r="A484" t="s">
        <v>905</v>
      </c>
      <c r="B484" t="s">
        <v>906</v>
      </c>
      <c r="C484" t="s">
        <v>209</v>
      </c>
      <c r="D484" t="s">
        <v>54</v>
      </c>
      <c r="E484" t="s">
        <v>107</v>
      </c>
      <c r="F484" t="s">
        <v>19</v>
      </c>
      <c r="G484" t="s">
        <v>113</v>
      </c>
      <c r="H484" t="s">
        <v>33</v>
      </c>
      <c r="I484">
        <v>8</v>
      </c>
      <c r="J484">
        <v>120</v>
      </c>
      <c r="K484">
        <v>0</v>
      </c>
      <c r="L484">
        <v>960</v>
      </c>
      <c r="M484">
        <v>440</v>
      </c>
      <c r="N484">
        <v>520</v>
      </c>
    </row>
    <row r="485" spans="1:14" x14ac:dyDescent="0.35">
      <c r="A485" t="s">
        <v>907</v>
      </c>
      <c r="B485" t="s">
        <v>906</v>
      </c>
      <c r="C485" t="s">
        <v>398</v>
      </c>
      <c r="D485" t="s">
        <v>54</v>
      </c>
      <c r="E485" t="s">
        <v>107</v>
      </c>
      <c r="F485" t="s">
        <v>27</v>
      </c>
      <c r="G485" t="s">
        <v>51</v>
      </c>
      <c r="H485" t="s">
        <v>125</v>
      </c>
      <c r="I485">
        <v>7</v>
      </c>
      <c r="J485">
        <v>120</v>
      </c>
      <c r="K485">
        <v>0.05</v>
      </c>
      <c r="L485">
        <v>798</v>
      </c>
      <c r="M485">
        <v>385</v>
      </c>
      <c r="N485">
        <v>413</v>
      </c>
    </row>
    <row r="486" spans="1:14" x14ac:dyDescent="0.35">
      <c r="A486" t="s">
        <v>908</v>
      </c>
      <c r="B486" t="s">
        <v>906</v>
      </c>
      <c r="C486" t="s">
        <v>701</v>
      </c>
      <c r="D486" t="s">
        <v>17</v>
      </c>
      <c r="E486" t="s">
        <v>32</v>
      </c>
      <c r="F486" t="s">
        <v>27</v>
      </c>
      <c r="G486" t="s">
        <v>28</v>
      </c>
      <c r="H486" t="s">
        <v>33</v>
      </c>
      <c r="I486">
        <v>5</v>
      </c>
      <c r="J486">
        <v>1500</v>
      </c>
      <c r="K486">
        <v>0.1</v>
      </c>
      <c r="L486">
        <v>6750</v>
      </c>
      <c r="M486">
        <v>4500</v>
      </c>
      <c r="N486">
        <v>2250</v>
      </c>
    </row>
    <row r="487" spans="1:14" x14ac:dyDescent="0.35">
      <c r="A487" t="s">
        <v>909</v>
      </c>
      <c r="B487" t="s">
        <v>906</v>
      </c>
      <c r="C487" t="s">
        <v>528</v>
      </c>
      <c r="D487" t="s">
        <v>17</v>
      </c>
      <c r="E487" t="s">
        <v>50</v>
      </c>
      <c r="F487" t="s">
        <v>45</v>
      </c>
      <c r="G487" t="s">
        <v>70</v>
      </c>
      <c r="H487" t="s">
        <v>47</v>
      </c>
      <c r="I487">
        <v>5</v>
      </c>
      <c r="J487">
        <v>650</v>
      </c>
      <c r="K487">
        <v>0</v>
      </c>
      <c r="L487">
        <v>3250</v>
      </c>
      <c r="M487">
        <v>1900</v>
      </c>
      <c r="N487">
        <v>1350</v>
      </c>
    </row>
    <row r="488" spans="1:14" x14ac:dyDescent="0.35">
      <c r="A488" t="s">
        <v>910</v>
      </c>
      <c r="B488" t="s">
        <v>911</v>
      </c>
      <c r="C488" t="s">
        <v>534</v>
      </c>
      <c r="D488" t="s">
        <v>43</v>
      </c>
      <c r="E488" t="s">
        <v>169</v>
      </c>
      <c r="F488" t="s">
        <v>19</v>
      </c>
      <c r="G488" t="s">
        <v>56</v>
      </c>
      <c r="H488" t="s">
        <v>39</v>
      </c>
      <c r="I488">
        <v>6</v>
      </c>
      <c r="J488">
        <v>350</v>
      </c>
      <c r="K488">
        <v>0.05</v>
      </c>
      <c r="L488">
        <v>1995</v>
      </c>
      <c r="M488">
        <v>1020</v>
      </c>
      <c r="N488">
        <v>975</v>
      </c>
    </row>
    <row r="489" spans="1:14" x14ac:dyDescent="0.35">
      <c r="A489" t="s">
        <v>912</v>
      </c>
      <c r="B489" t="s">
        <v>911</v>
      </c>
      <c r="C489" t="s">
        <v>639</v>
      </c>
      <c r="D489" t="s">
        <v>25</v>
      </c>
      <c r="E489" t="s">
        <v>80</v>
      </c>
      <c r="F489" t="s">
        <v>37</v>
      </c>
      <c r="G489" t="s">
        <v>73</v>
      </c>
      <c r="H489" t="s">
        <v>29</v>
      </c>
      <c r="I489">
        <v>8</v>
      </c>
      <c r="J489">
        <v>950</v>
      </c>
      <c r="K489">
        <v>0.15</v>
      </c>
      <c r="L489">
        <v>6460</v>
      </c>
      <c r="M489">
        <v>4480</v>
      </c>
      <c r="N489">
        <v>1980</v>
      </c>
    </row>
    <row r="490" spans="1:14" x14ac:dyDescent="0.35">
      <c r="A490" t="s">
        <v>913</v>
      </c>
      <c r="B490" t="s">
        <v>914</v>
      </c>
      <c r="C490" t="s">
        <v>64</v>
      </c>
      <c r="D490" t="s">
        <v>25</v>
      </c>
      <c r="E490" t="s">
        <v>89</v>
      </c>
      <c r="F490" t="s">
        <v>19</v>
      </c>
      <c r="G490" t="s">
        <v>113</v>
      </c>
      <c r="H490" t="s">
        <v>21</v>
      </c>
      <c r="I490">
        <v>3</v>
      </c>
      <c r="J490">
        <v>550</v>
      </c>
      <c r="K490">
        <v>0.05</v>
      </c>
      <c r="L490">
        <v>1567.5</v>
      </c>
      <c r="M490">
        <v>900</v>
      </c>
      <c r="N490">
        <v>667.5</v>
      </c>
    </row>
    <row r="491" spans="1:14" x14ac:dyDescent="0.35">
      <c r="A491" t="s">
        <v>915</v>
      </c>
      <c r="B491" t="s">
        <v>914</v>
      </c>
      <c r="C491" t="s">
        <v>217</v>
      </c>
      <c r="D491" t="s">
        <v>54</v>
      </c>
      <c r="E491" t="s">
        <v>55</v>
      </c>
      <c r="F491" t="s">
        <v>37</v>
      </c>
      <c r="G491" t="s">
        <v>97</v>
      </c>
      <c r="H491" t="s">
        <v>39</v>
      </c>
      <c r="I491">
        <v>6</v>
      </c>
      <c r="J491">
        <v>180</v>
      </c>
      <c r="K491">
        <v>0.1</v>
      </c>
      <c r="L491">
        <v>972</v>
      </c>
      <c r="M491">
        <v>540</v>
      </c>
      <c r="N491">
        <v>432</v>
      </c>
    </row>
    <row r="492" spans="1:14" x14ac:dyDescent="0.35">
      <c r="A492" t="s">
        <v>916</v>
      </c>
      <c r="B492" t="s">
        <v>917</v>
      </c>
      <c r="C492" t="s">
        <v>119</v>
      </c>
      <c r="D492" t="s">
        <v>17</v>
      </c>
      <c r="E492" t="s">
        <v>65</v>
      </c>
      <c r="F492" t="s">
        <v>37</v>
      </c>
      <c r="G492" t="s">
        <v>38</v>
      </c>
      <c r="H492" t="s">
        <v>21</v>
      </c>
      <c r="I492">
        <v>1</v>
      </c>
      <c r="J492">
        <v>2200</v>
      </c>
      <c r="K492">
        <v>0.05</v>
      </c>
      <c r="L492">
        <v>2090</v>
      </c>
      <c r="M492">
        <v>1400</v>
      </c>
      <c r="N492">
        <v>690</v>
      </c>
    </row>
    <row r="493" spans="1:14" x14ac:dyDescent="0.35">
      <c r="A493" t="s">
        <v>918</v>
      </c>
      <c r="B493" t="s">
        <v>917</v>
      </c>
      <c r="C493" t="s">
        <v>615</v>
      </c>
      <c r="D493" t="s">
        <v>43</v>
      </c>
      <c r="E493" t="s">
        <v>250</v>
      </c>
      <c r="F493" t="s">
        <v>19</v>
      </c>
      <c r="G493" t="s">
        <v>113</v>
      </c>
      <c r="H493" t="s">
        <v>47</v>
      </c>
      <c r="I493">
        <v>4</v>
      </c>
      <c r="J493">
        <v>900</v>
      </c>
      <c r="K493">
        <v>0.05</v>
      </c>
      <c r="L493">
        <v>3420</v>
      </c>
      <c r="M493">
        <v>2080</v>
      </c>
      <c r="N493">
        <v>1340</v>
      </c>
    </row>
    <row r="494" spans="1:14" x14ac:dyDescent="0.35">
      <c r="A494" t="s">
        <v>919</v>
      </c>
      <c r="B494" t="s">
        <v>917</v>
      </c>
      <c r="C494" t="s">
        <v>59</v>
      </c>
      <c r="D494" t="s">
        <v>25</v>
      </c>
      <c r="E494" t="s">
        <v>69</v>
      </c>
      <c r="F494" t="s">
        <v>45</v>
      </c>
      <c r="G494" t="s">
        <v>46</v>
      </c>
      <c r="H494" t="s">
        <v>21</v>
      </c>
      <c r="I494">
        <v>10</v>
      </c>
      <c r="J494">
        <v>350</v>
      </c>
      <c r="K494">
        <v>0.05</v>
      </c>
      <c r="L494">
        <v>3325</v>
      </c>
      <c r="M494">
        <v>1800</v>
      </c>
      <c r="N494">
        <v>1525</v>
      </c>
    </row>
    <row r="495" spans="1:14" x14ac:dyDescent="0.35">
      <c r="A495" t="s">
        <v>920</v>
      </c>
      <c r="B495" t="s">
        <v>921</v>
      </c>
      <c r="C495" t="s">
        <v>437</v>
      </c>
      <c r="D495" t="s">
        <v>43</v>
      </c>
      <c r="E495" t="s">
        <v>250</v>
      </c>
      <c r="F495" t="s">
        <v>45</v>
      </c>
      <c r="G495" t="s">
        <v>122</v>
      </c>
      <c r="H495" t="s">
        <v>33</v>
      </c>
      <c r="I495">
        <v>5</v>
      </c>
      <c r="J495">
        <v>900</v>
      </c>
      <c r="K495">
        <v>0</v>
      </c>
      <c r="L495">
        <v>4500</v>
      </c>
      <c r="M495">
        <v>2600</v>
      </c>
      <c r="N495">
        <v>1900</v>
      </c>
    </row>
    <row r="496" spans="1:14" x14ac:dyDescent="0.35">
      <c r="A496" t="s">
        <v>922</v>
      </c>
      <c r="B496" t="s">
        <v>921</v>
      </c>
      <c r="C496" t="s">
        <v>364</v>
      </c>
      <c r="D496" t="s">
        <v>54</v>
      </c>
      <c r="E496" t="s">
        <v>107</v>
      </c>
      <c r="F496" t="s">
        <v>27</v>
      </c>
      <c r="G496" t="s">
        <v>85</v>
      </c>
      <c r="H496" t="s">
        <v>125</v>
      </c>
      <c r="I496">
        <v>3</v>
      </c>
      <c r="J496">
        <v>120</v>
      </c>
      <c r="K496">
        <v>0.05</v>
      </c>
      <c r="L496">
        <v>342</v>
      </c>
      <c r="M496">
        <v>165</v>
      </c>
      <c r="N496">
        <v>177</v>
      </c>
    </row>
    <row r="497" spans="1:14" x14ac:dyDescent="0.35">
      <c r="A497" t="s">
        <v>923</v>
      </c>
      <c r="B497" t="s">
        <v>921</v>
      </c>
      <c r="C497" t="s">
        <v>457</v>
      </c>
      <c r="D497" t="s">
        <v>43</v>
      </c>
      <c r="E497" t="s">
        <v>62</v>
      </c>
      <c r="F497" t="s">
        <v>19</v>
      </c>
      <c r="G497" t="s">
        <v>56</v>
      </c>
      <c r="H497" t="s">
        <v>21</v>
      </c>
      <c r="I497">
        <v>1</v>
      </c>
      <c r="J497">
        <v>500</v>
      </c>
      <c r="K497">
        <v>0</v>
      </c>
      <c r="L497">
        <v>500</v>
      </c>
      <c r="M497">
        <v>280</v>
      </c>
      <c r="N497">
        <v>220</v>
      </c>
    </row>
    <row r="498" spans="1:14" x14ac:dyDescent="0.35">
      <c r="A498" t="s">
        <v>924</v>
      </c>
      <c r="B498" t="s">
        <v>921</v>
      </c>
      <c r="C498" t="s">
        <v>254</v>
      </c>
      <c r="D498" t="s">
        <v>25</v>
      </c>
      <c r="E498" t="s">
        <v>89</v>
      </c>
      <c r="F498" t="s">
        <v>45</v>
      </c>
      <c r="G498" t="s">
        <v>122</v>
      </c>
      <c r="H498" t="s">
        <v>39</v>
      </c>
      <c r="I498">
        <v>6</v>
      </c>
      <c r="J498">
        <v>550</v>
      </c>
      <c r="K498">
        <v>0</v>
      </c>
      <c r="L498">
        <v>3300</v>
      </c>
      <c r="M498">
        <v>1800</v>
      </c>
      <c r="N498">
        <v>1500</v>
      </c>
    </row>
    <row r="499" spans="1:14" x14ac:dyDescent="0.35">
      <c r="A499" t="s">
        <v>925</v>
      </c>
      <c r="B499" t="s">
        <v>926</v>
      </c>
      <c r="C499" t="s">
        <v>637</v>
      </c>
      <c r="D499" t="s">
        <v>54</v>
      </c>
      <c r="E499" t="s">
        <v>107</v>
      </c>
      <c r="F499" t="s">
        <v>27</v>
      </c>
      <c r="G499" t="s">
        <v>28</v>
      </c>
      <c r="H499" t="s">
        <v>29</v>
      </c>
      <c r="I499">
        <v>5</v>
      </c>
      <c r="J499">
        <v>120</v>
      </c>
      <c r="K499">
        <v>0</v>
      </c>
      <c r="L499">
        <v>600</v>
      </c>
      <c r="M499">
        <v>275</v>
      </c>
      <c r="N499">
        <v>325</v>
      </c>
    </row>
    <row r="500" spans="1:14" x14ac:dyDescent="0.35">
      <c r="A500" t="s">
        <v>927</v>
      </c>
      <c r="B500" t="s">
        <v>928</v>
      </c>
      <c r="C500" t="s">
        <v>102</v>
      </c>
      <c r="D500" t="s">
        <v>17</v>
      </c>
      <c r="E500" t="s">
        <v>50</v>
      </c>
      <c r="F500" t="s">
        <v>45</v>
      </c>
      <c r="G500" t="s">
        <v>70</v>
      </c>
      <c r="H500" t="s">
        <v>39</v>
      </c>
      <c r="I500">
        <v>6</v>
      </c>
      <c r="J500">
        <v>650</v>
      </c>
      <c r="K500">
        <v>0.05</v>
      </c>
      <c r="L500">
        <v>3705</v>
      </c>
      <c r="M500">
        <v>2280</v>
      </c>
      <c r="N500">
        <v>1425</v>
      </c>
    </row>
    <row r="501" spans="1:14" x14ac:dyDescent="0.35">
      <c r="A501" t="s">
        <v>929</v>
      </c>
      <c r="B501" t="s">
        <v>928</v>
      </c>
      <c r="C501" t="s">
        <v>238</v>
      </c>
      <c r="D501" t="s">
        <v>25</v>
      </c>
      <c r="E501" t="s">
        <v>69</v>
      </c>
      <c r="F501" t="s">
        <v>45</v>
      </c>
      <c r="G501" t="s">
        <v>70</v>
      </c>
      <c r="H501" t="s">
        <v>39</v>
      </c>
      <c r="I501">
        <v>5</v>
      </c>
      <c r="J501">
        <v>350</v>
      </c>
      <c r="K501">
        <v>0</v>
      </c>
      <c r="L501">
        <v>1750</v>
      </c>
      <c r="M501">
        <v>900</v>
      </c>
      <c r="N501">
        <v>850</v>
      </c>
    </row>
    <row r="502" spans="1:14" x14ac:dyDescent="0.35">
      <c r="A502" t="s">
        <v>930</v>
      </c>
      <c r="B502" t="s">
        <v>928</v>
      </c>
      <c r="C502" t="s">
        <v>115</v>
      </c>
      <c r="D502" t="s">
        <v>54</v>
      </c>
      <c r="E502" t="s">
        <v>55</v>
      </c>
      <c r="F502" t="s">
        <v>27</v>
      </c>
      <c r="G502" t="s">
        <v>85</v>
      </c>
      <c r="H502" t="s">
        <v>33</v>
      </c>
      <c r="I502">
        <v>4</v>
      </c>
      <c r="J502">
        <v>180</v>
      </c>
      <c r="K502">
        <v>0</v>
      </c>
      <c r="L502">
        <v>720</v>
      </c>
      <c r="M502">
        <v>360</v>
      </c>
      <c r="N502">
        <v>360</v>
      </c>
    </row>
    <row r="503" spans="1:14" x14ac:dyDescent="0.35">
      <c r="A503" t="s">
        <v>931</v>
      </c>
      <c r="B503" t="s">
        <v>932</v>
      </c>
      <c r="C503" t="s">
        <v>68</v>
      </c>
      <c r="D503" t="s">
        <v>25</v>
      </c>
      <c r="E503" t="s">
        <v>89</v>
      </c>
      <c r="F503" t="s">
        <v>19</v>
      </c>
      <c r="G503" t="s">
        <v>113</v>
      </c>
      <c r="H503" t="s">
        <v>21</v>
      </c>
      <c r="I503">
        <v>4</v>
      </c>
      <c r="J503">
        <v>550</v>
      </c>
      <c r="K503">
        <v>0</v>
      </c>
      <c r="L503">
        <v>2200</v>
      </c>
      <c r="M503">
        <v>1200</v>
      </c>
      <c r="N503">
        <v>1000</v>
      </c>
    </row>
    <row r="504" spans="1:14" x14ac:dyDescent="0.35">
      <c r="A504" t="s">
        <v>933</v>
      </c>
      <c r="B504" t="s">
        <v>932</v>
      </c>
      <c r="C504" t="s">
        <v>236</v>
      </c>
      <c r="D504" t="s">
        <v>17</v>
      </c>
      <c r="E504" t="s">
        <v>65</v>
      </c>
      <c r="F504" t="s">
        <v>45</v>
      </c>
      <c r="G504" t="s">
        <v>104</v>
      </c>
      <c r="H504" t="s">
        <v>39</v>
      </c>
      <c r="I504">
        <v>4</v>
      </c>
      <c r="J504">
        <v>2200</v>
      </c>
      <c r="K504">
        <v>0</v>
      </c>
      <c r="L504">
        <v>8800</v>
      </c>
      <c r="M504">
        <v>5600</v>
      </c>
      <c r="N504">
        <v>3200</v>
      </c>
    </row>
    <row r="505" spans="1:14" x14ac:dyDescent="0.35">
      <c r="A505" t="s">
        <v>934</v>
      </c>
      <c r="B505" t="s">
        <v>932</v>
      </c>
      <c r="C505" t="s">
        <v>464</v>
      </c>
      <c r="D505" t="s">
        <v>43</v>
      </c>
      <c r="E505" t="s">
        <v>250</v>
      </c>
      <c r="F505" t="s">
        <v>27</v>
      </c>
      <c r="G505" t="s">
        <v>28</v>
      </c>
      <c r="H505" t="s">
        <v>39</v>
      </c>
      <c r="I505">
        <v>6</v>
      </c>
      <c r="J505">
        <v>900</v>
      </c>
      <c r="K505">
        <v>0.05</v>
      </c>
      <c r="L505">
        <v>5130</v>
      </c>
      <c r="M505">
        <v>3120</v>
      </c>
      <c r="N505">
        <v>2010</v>
      </c>
    </row>
    <row r="506" spans="1:14" x14ac:dyDescent="0.35">
      <c r="A506" t="s">
        <v>935</v>
      </c>
      <c r="B506" t="s">
        <v>932</v>
      </c>
      <c r="C506" t="s">
        <v>377</v>
      </c>
      <c r="D506" t="s">
        <v>17</v>
      </c>
      <c r="E506" t="s">
        <v>18</v>
      </c>
      <c r="F506" t="s">
        <v>37</v>
      </c>
      <c r="G506" t="s">
        <v>140</v>
      </c>
      <c r="H506" t="s">
        <v>21</v>
      </c>
      <c r="I506">
        <v>7</v>
      </c>
      <c r="J506">
        <v>1800</v>
      </c>
      <c r="K506">
        <v>0.05</v>
      </c>
      <c r="L506">
        <v>11970</v>
      </c>
      <c r="M506">
        <v>7700</v>
      </c>
      <c r="N506">
        <v>4270</v>
      </c>
    </row>
    <row r="507" spans="1:14" x14ac:dyDescent="0.35">
      <c r="A507" t="s">
        <v>936</v>
      </c>
      <c r="B507" t="s">
        <v>937</v>
      </c>
      <c r="C507" t="s">
        <v>683</v>
      </c>
      <c r="D507" t="s">
        <v>43</v>
      </c>
      <c r="E507" t="s">
        <v>143</v>
      </c>
      <c r="F507" t="s">
        <v>45</v>
      </c>
      <c r="G507" t="s">
        <v>46</v>
      </c>
      <c r="H507" t="s">
        <v>125</v>
      </c>
      <c r="I507">
        <v>3</v>
      </c>
      <c r="J507">
        <v>650</v>
      </c>
      <c r="K507">
        <v>0</v>
      </c>
      <c r="L507">
        <v>1950</v>
      </c>
      <c r="M507">
        <v>1050</v>
      </c>
      <c r="N507">
        <v>900</v>
      </c>
    </row>
    <row r="508" spans="1:14" x14ac:dyDescent="0.35">
      <c r="A508" t="s">
        <v>938</v>
      </c>
      <c r="B508" t="s">
        <v>937</v>
      </c>
      <c r="C508" t="s">
        <v>791</v>
      </c>
      <c r="D508" t="s">
        <v>43</v>
      </c>
      <c r="E508" t="s">
        <v>169</v>
      </c>
      <c r="F508" t="s">
        <v>37</v>
      </c>
      <c r="G508" t="s">
        <v>140</v>
      </c>
      <c r="H508" t="s">
        <v>47</v>
      </c>
      <c r="I508">
        <v>1</v>
      </c>
      <c r="J508">
        <v>350</v>
      </c>
      <c r="K508">
        <v>0</v>
      </c>
      <c r="L508">
        <v>350</v>
      </c>
      <c r="M508">
        <v>170</v>
      </c>
      <c r="N508">
        <v>180</v>
      </c>
    </row>
    <row r="509" spans="1:14" x14ac:dyDescent="0.35">
      <c r="A509" t="s">
        <v>939</v>
      </c>
      <c r="B509" t="s">
        <v>937</v>
      </c>
      <c r="C509" t="s">
        <v>331</v>
      </c>
      <c r="D509" t="s">
        <v>43</v>
      </c>
      <c r="E509" t="s">
        <v>44</v>
      </c>
      <c r="F509" t="s">
        <v>37</v>
      </c>
      <c r="G509" t="s">
        <v>140</v>
      </c>
      <c r="H509" t="s">
        <v>21</v>
      </c>
      <c r="I509">
        <v>7</v>
      </c>
      <c r="J509">
        <v>2200</v>
      </c>
      <c r="K509">
        <v>0</v>
      </c>
      <c r="L509">
        <v>15400</v>
      </c>
      <c r="M509">
        <v>10150</v>
      </c>
      <c r="N509">
        <v>5250</v>
      </c>
    </row>
    <row r="510" spans="1:14" x14ac:dyDescent="0.35">
      <c r="A510" t="s">
        <v>940</v>
      </c>
      <c r="B510" t="s">
        <v>937</v>
      </c>
      <c r="C510" t="s">
        <v>158</v>
      </c>
      <c r="D510" t="s">
        <v>17</v>
      </c>
      <c r="E510" t="s">
        <v>50</v>
      </c>
      <c r="F510" t="s">
        <v>37</v>
      </c>
      <c r="G510" t="s">
        <v>73</v>
      </c>
      <c r="H510" t="s">
        <v>29</v>
      </c>
      <c r="I510">
        <v>4</v>
      </c>
      <c r="J510">
        <v>650</v>
      </c>
      <c r="K510">
        <v>0.05</v>
      </c>
      <c r="L510">
        <v>2470</v>
      </c>
      <c r="M510">
        <v>1520</v>
      </c>
      <c r="N510">
        <v>950</v>
      </c>
    </row>
    <row r="511" spans="1:14" x14ac:dyDescent="0.35">
      <c r="A511" t="s">
        <v>941</v>
      </c>
      <c r="B511" t="s">
        <v>942</v>
      </c>
      <c r="C511" t="s">
        <v>386</v>
      </c>
      <c r="D511" t="s">
        <v>17</v>
      </c>
      <c r="E511" t="s">
        <v>50</v>
      </c>
      <c r="F511" t="s">
        <v>45</v>
      </c>
      <c r="G511" t="s">
        <v>46</v>
      </c>
      <c r="H511" t="s">
        <v>33</v>
      </c>
      <c r="I511">
        <v>9</v>
      </c>
      <c r="J511">
        <v>650</v>
      </c>
      <c r="K511">
        <v>0.05</v>
      </c>
      <c r="L511">
        <v>5557.5</v>
      </c>
      <c r="M511">
        <v>3420</v>
      </c>
      <c r="N511">
        <v>2137.5</v>
      </c>
    </row>
    <row r="512" spans="1:14" x14ac:dyDescent="0.35">
      <c r="A512" t="s">
        <v>943</v>
      </c>
      <c r="B512" t="s">
        <v>942</v>
      </c>
      <c r="C512" t="s">
        <v>362</v>
      </c>
      <c r="D512" t="s">
        <v>17</v>
      </c>
      <c r="E512" t="s">
        <v>124</v>
      </c>
      <c r="F512" t="s">
        <v>37</v>
      </c>
      <c r="G512" t="s">
        <v>73</v>
      </c>
      <c r="H512" t="s">
        <v>33</v>
      </c>
      <c r="I512">
        <v>9</v>
      </c>
      <c r="J512">
        <v>1200</v>
      </c>
      <c r="K512">
        <v>0.15</v>
      </c>
      <c r="L512">
        <v>9180</v>
      </c>
      <c r="M512">
        <v>6480</v>
      </c>
      <c r="N512">
        <v>2700</v>
      </c>
    </row>
    <row r="513" spans="1:14" x14ac:dyDescent="0.35">
      <c r="A513" t="s">
        <v>944</v>
      </c>
      <c r="B513" t="s">
        <v>942</v>
      </c>
      <c r="C513" t="s">
        <v>31</v>
      </c>
      <c r="D513" t="s">
        <v>17</v>
      </c>
      <c r="E513" t="s">
        <v>65</v>
      </c>
      <c r="F513" t="s">
        <v>37</v>
      </c>
      <c r="G513" t="s">
        <v>97</v>
      </c>
      <c r="H513" t="s">
        <v>29</v>
      </c>
      <c r="I513">
        <v>5</v>
      </c>
      <c r="J513">
        <v>2200</v>
      </c>
      <c r="K513">
        <v>0</v>
      </c>
      <c r="L513">
        <v>11000</v>
      </c>
      <c r="M513">
        <v>7000</v>
      </c>
      <c r="N513">
        <v>4000</v>
      </c>
    </row>
    <row r="514" spans="1:14" x14ac:dyDescent="0.35">
      <c r="A514" t="s">
        <v>945</v>
      </c>
      <c r="B514" t="s">
        <v>946</v>
      </c>
      <c r="C514" t="s">
        <v>878</v>
      </c>
      <c r="D514" t="s">
        <v>43</v>
      </c>
      <c r="E514" t="s">
        <v>169</v>
      </c>
      <c r="F514" t="s">
        <v>27</v>
      </c>
      <c r="G514" t="s">
        <v>90</v>
      </c>
      <c r="H514" t="s">
        <v>47</v>
      </c>
      <c r="I514">
        <v>5</v>
      </c>
      <c r="J514">
        <v>350</v>
      </c>
      <c r="K514">
        <v>0.1</v>
      </c>
      <c r="L514">
        <v>1575</v>
      </c>
      <c r="M514">
        <v>850</v>
      </c>
      <c r="N514">
        <v>725</v>
      </c>
    </row>
    <row r="515" spans="1:14" x14ac:dyDescent="0.35">
      <c r="A515" t="s">
        <v>947</v>
      </c>
      <c r="B515" t="s">
        <v>946</v>
      </c>
      <c r="C515" t="s">
        <v>313</v>
      </c>
      <c r="D515" t="s">
        <v>54</v>
      </c>
      <c r="E515" t="s">
        <v>103</v>
      </c>
      <c r="F515" t="s">
        <v>45</v>
      </c>
      <c r="G515" t="s">
        <v>104</v>
      </c>
      <c r="H515" t="s">
        <v>125</v>
      </c>
      <c r="I515">
        <v>1</v>
      </c>
      <c r="J515">
        <v>150</v>
      </c>
      <c r="K515">
        <v>0</v>
      </c>
      <c r="L515">
        <v>150</v>
      </c>
      <c r="M515">
        <v>75</v>
      </c>
      <c r="N515">
        <v>75</v>
      </c>
    </row>
    <row r="516" spans="1:14" x14ac:dyDescent="0.35">
      <c r="A516" t="s">
        <v>948</v>
      </c>
      <c r="B516" t="s">
        <v>946</v>
      </c>
      <c r="C516" t="s">
        <v>949</v>
      </c>
      <c r="D516" t="s">
        <v>43</v>
      </c>
      <c r="E516" t="s">
        <v>62</v>
      </c>
      <c r="F516" t="s">
        <v>27</v>
      </c>
      <c r="G516" t="s">
        <v>90</v>
      </c>
      <c r="H516" t="s">
        <v>47</v>
      </c>
      <c r="I516">
        <v>7</v>
      </c>
      <c r="J516">
        <v>500</v>
      </c>
      <c r="K516">
        <v>0</v>
      </c>
      <c r="L516">
        <v>3500</v>
      </c>
      <c r="M516">
        <v>1960</v>
      </c>
      <c r="N516">
        <v>1540</v>
      </c>
    </row>
    <row r="517" spans="1:14" x14ac:dyDescent="0.35">
      <c r="A517" t="s">
        <v>950</v>
      </c>
      <c r="B517" t="s">
        <v>946</v>
      </c>
      <c r="C517" t="s">
        <v>494</v>
      </c>
      <c r="D517" t="s">
        <v>54</v>
      </c>
      <c r="E517" t="s">
        <v>103</v>
      </c>
      <c r="F517" t="s">
        <v>27</v>
      </c>
      <c r="G517" t="s">
        <v>51</v>
      </c>
      <c r="H517" t="s">
        <v>125</v>
      </c>
      <c r="I517">
        <v>2</v>
      </c>
      <c r="J517">
        <v>150</v>
      </c>
      <c r="K517">
        <v>0</v>
      </c>
      <c r="L517">
        <v>300</v>
      </c>
      <c r="M517">
        <v>150</v>
      </c>
      <c r="N517">
        <v>150</v>
      </c>
    </row>
    <row r="518" spans="1:14" x14ac:dyDescent="0.35">
      <c r="A518" t="s">
        <v>951</v>
      </c>
      <c r="B518" t="s">
        <v>946</v>
      </c>
      <c r="C518" t="s">
        <v>364</v>
      </c>
      <c r="D518" t="s">
        <v>25</v>
      </c>
      <c r="E518" t="s">
        <v>80</v>
      </c>
      <c r="F518" t="s">
        <v>37</v>
      </c>
      <c r="G518" t="s">
        <v>97</v>
      </c>
      <c r="H518" t="s">
        <v>21</v>
      </c>
      <c r="I518">
        <v>5</v>
      </c>
      <c r="J518">
        <v>950</v>
      </c>
      <c r="K518">
        <v>0.1</v>
      </c>
      <c r="L518">
        <v>4275</v>
      </c>
      <c r="M518">
        <v>2800</v>
      </c>
      <c r="N518">
        <v>1475</v>
      </c>
    </row>
    <row r="519" spans="1:14" x14ac:dyDescent="0.35">
      <c r="A519" t="s">
        <v>952</v>
      </c>
      <c r="B519" t="s">
        <v>953</v>
      </c>
      <c r="C519" t="s">
        <v>367</v>
      </c>
      <c r="D519" t="s">
        <v>25</v>
      </c>
      <c r="E519" t="s">
        <v>36</v>
      </c>
      <c r="F519" t="s">
        <v>45</v>
      </c>
      <c r="G519" t="s">
        <v>122</v>
      </c>
      <c r="H519" t="s">
        <v>47</v>
      </c>
      <c r="I519">
        <v>3</v>
      </c>
      <c r="J519">
        <v>700</v>
      </c>
      <c r="K519">
        <v>0</v>
      </c>
      <c r="L519">
        <v>2100</v>
      </c>
      <c r="M519">
        <v>1200</v>
      </c>
      <c r="N519">
        <v>900</v>
      </c>
    </row>
    <row r="520" spans="1:14" x14ac:dyDescent="0.35">
      <c r="A520" t="s">
        <v>954</v>
      </c>
      <c r="B520" t="s">
        <v>953</v>
      </c>
      <c r="C520" t="s">
        <v>631</v>
      </c>
      <c r="D520" t="s">
        <v>43</v>
      </c>
      <c r="E520" t="s">
        <v>250</v>
      </c>
      <c r="F520" t="s">
        <v>37</v>
      </c>
      <c r="G520" t="s">
        <v>38</v>
      </c>
      <c r="H520" t="s">
        <v>125</v>
      </c>
      <c r="I520">
        <v>1</v>
      </c>
      <c r="J520">
        <v>900</v>
      </c>
      <c r="K520">
        <v>0</v>
      </c>
      <c r="L520">
        <v>900</v>
      </c>
      <c r="M520">
        <v>520</v>
      </c>
      <c r="N520">
        <v>380</v>
      </c>
    </row>
    <row r="521" spans="1:14" x14ac:dyDescent="0.35">
      <c r="A521" t="s">
        <v>955</v>
      </c>
      <c r="B521" t="s">
        <v>953</v>
      </c>
      <c r="C521" t="s">
        <v>723</v>
      </c>
      <c r="D521" t="s">
        <v>54</v>
      </c>
      <c r="E521" t="s">
        <v>103</v>
      </c>
      <c r="F521" t="s">
        <v>45</v>
      </c>
      <c r="G521" t="s">
        <v>104</v>
      </c>
      <c r="H521" t="s">
        <v>47</v>
      </c>
      <c r="I521">
        <v>1</v>
      </c>
      <c r="J521">
        <v>150</v>
      </c>
      <c r="K521">
        <v>0</v>
      </c>
      <c r="L521">
        <v>150</v>
      </c>
      <c r="M521">
        <v>75</v>
      </c>
      <c r="N521">
        <v>75</v>
      </c>
    </row>
    <row r="522" spans="1:14" x14ac:dyDescent="0.35">
      <c r="A522" t="s">
        <v>956</v>
      </c>
      <c r="B522" t="s">
        <v>953</v>
      </c>
      <c r="C522" t="s">
        <v>227</v>
      </c>
      <c r="D522" t="s">
        <v>43</v>
      </c>
      <c r="E522" t="s">
        <v>250</v>
      </c>
      <c r="F522" t="s">
        <v>19</v>
      </c>
      <c r="G522" t="s">
        <v>56</v>
      </c>
      <c r="H522" t="s">
        <v>39</v>
      </c>
      <c r="I522">
        <v>3</v>
      </c>
      <c r="J522">
        <v>900</v>
      </c>
      <c r="K522">
        <v>0</v>
      </c>
      <c r="L522">
        <v>2700</v>
      </c>
      <c r="M522">
        <v>1560</v>
      </c>
      <c r="N522">
        <v>1140</v>
      </c>
    </row>
    <row r="523" spans="1:14" x14ac:dyDescent="0.35">
      <c r="A523" t="s">
        <v>957</v>
      </c>
      <c r="B523" t="s">
        <v>953</v>
      </c>
      <c r="C523" t="s">
        <v>352</v>
      </c>
      <c r="D523" t="s">
        <v>54</v>
      </c>
      <c r="E523" t="s">
        <v>103</v>
      </c>
      <c r="F523" t="s">
        <v>37</v>
      </c>
      <c r="G523" t="s">
        <v>73</v>
      </c>
      <c r="H523" t="s">
        <v>29</v>
      </c>
      <c r="I523">
        <v>8</v>
      </c>
      <c r="J523">
        <v>150</v>
      </c>
      <c r="K523">
        <v>0</v>
      </c>
      <c r="L523">
        <v>1200</v>
      </c>
      <c r="M523">
        <v>600</v>
      </c>
      <c r="N523">
        <v>600</v>
      </c>
    </row>
    <row r="524" spans="1:14" x14ac:dyDescent="0.35">
      <c r="A524" t="s">
        <v>958</v>
      </c>
      <c r="B524" t="s">
        <v>953</v>
      </c>
      <c r="C524" t="s">
        <v>802</v>
      </c>
      <c r="D524" t="s">
        <v>54</v>
      </c>
      <c r="E524" t="s">
        <v>55</v>
      </c>
      <c r="F524" t="s">
        <v>19</v>
      </c>
      <c r="G524" t="s">
        <v>56</v>
      </c>
      <c r="H524" t="s">
        <v>29</v>
      </c>
      <c r="I524">
        <v>8</v>
      </c>
      <c r="J524">
        <v>180</v>
      </c>
      <c r="K524">
        <v>0</v>
      </c>
      <c r="L524">
        <v>1440</v>
      </c>
      <c r="M524">
        <v>720</v>
      </c>
      <c r="N524">
        <v>720</v>
      </c>
    </row>
    <row r="525" spans="1:14" x14ac:dyDescent="0.35">
      <c r="A525" t="s">
        <v>959</v>
      </c>
      <c r="B525" t="s">
        <v>960</v>
      </c>
      <c r="C525" t="s">
        <v>257</v>
      </c>
      <c r="D525" t="s">
        <v>54</v>
      </c>
      <c r="E525" t="s">
        <v>116</v>
      </c>
      <c r="F525" t="s">
        <v>45</v>
      </c>
      <c r="G525" t="s">
        <v>46</v>
      </c>
      <c r="H525" t="s">
        <v>33</v>
      </c>
      <c r="I525">
        <v>8</v>
      </c>
      <c r="J525">
        <v>450</v>
      </c>
      <c r="K525">
        <v>0.05</v>
      </c>
      <c r="L525">
        <v>3420</v>
      </c>
      <c r="M525">
        <v>2000</v>
      </c>
      <c r="N525">
        <v>1420</v>
      </c>
    </row>
    <row r="526" spans="1:14" x14ac:dyDescent="0.35">
      <c r="A526" t="s">
        <v>961</v>
      </c>
      <c r="B526" t="s">
        <v>960</v>
      </c>
      <c r="C526" t="s">
        <v>713</v>
      </c>
      <c r="D526" t="s">
        <v>43</v>
      </c>
      <c r="E526" t="s">
        <v>44</v>
      </c>
      <c r="F526" t="s">
        <v>37</v>
      </c>
      <c r="G526" t="s">
        <v>140</v>
      </c>
      <c r="H526" t="s">
        <v>39</v>
      </c>
      <c r="I526">
        <v>5</v>
      </c>
      <c r="J526">
        <v>2200</v>
      </c>
      <c r="K526">
        <v>0</v>
      </c>
      <c r="L526">
        <v>11000</v>
      </c>
      <c r="M526">
        <v>7250</v>
      </c>
      <c r="N526">
        <v>3750</v>
      </c>
    </row>
    <row r="527" spans="1:14" x14ac:dyDescent="0.35">
      <c r="A527" t="s">
        <v>962</v>
      </c>
      <c r="B527" t="s">
        <v>960</v>
      </c>
      <c r="C527" t="s">
        <v>703</v>
      </c>
      <c r="D527" t="s">
        <v>43</v>
      </c>
      <c r="E527" t="s">
        <v>169</v>
      </c>
      <c r="F527" t="s">
        <v>19</v>
      </c>
      <c r="G527" t="s">
        <v>113</v>
      </c>
      <c r="H527" t="s">
        <v>29</v>
      </c>
      <c r="I527">
        <v>1</v>
      </c>
      <c r="J527">
        <v>350</v>
      </c>
      <c r="K527">
        <v>0.05</v>
      </c>
      <c r="L527">
        <v>332.5</v>
      </c>
      <c r="M527">
        <v>170</v>
      </c>
      <c r="N527">
        <v>162.5</v>
      </c>
    </row>
    <row r="528" spans="1:14" x14ac:dyDescent="0.35">
      <c r="A528" t="s">
        <v>963</v>
      </c>
      <c r="B528" t="s">
        <v>964</v>
      </c>
      <c r="C528" t="s">
        <v>306</v>
      </c>
      <c r="D528" t="s">
        <v>54</v>
      </c>
      <c r="E528" t="s">
        <v>116</v>
      </c>
      <c r="F528" t="s">
        <v>37</v>
      </c>
      <c r="G528" t="s">
        <v>73</v>
      </c>
      <c r="H528" t="s">
        <v>21</v>
      </c>
      <c r="I528">
        <v>2</v>
      </c>
      <c r="J528">
        <v>450</v>
      </c>
      <c r="K528">
        <v>0</v>
      </c>
      <c r="L528">
        <v>900</v>
      </c>
      <c r="M528">
        <v>500</v>
      </c>
      <c r="N528">
        <v>400</v>
      </c>
    </row>
    <row r="529" spans="1:14" x14ac:dyDescent="0.35">
      <c r="A529" t="s">
        <v>965</v>
      </c>
      <c r="B529" t="s">
        <v>964</v>
      </c>
      <c r="C529" t="s">
        <v>168</v>
      </c>
      <c r="D529" t="s">
        <v>54</v>
      </c>
      <c r="E529" t="s">
        <v>116</v>
      </c>
      <c r="F529" t="s">
        <v>19</v>
      </c>
      <c r="G529" t="s">
        <v>20</v>
      </c>
      <c r="H529" t="s">
        <v>125</v>
      </c>
      <c r="I529">
        <v>4</v>
      </c>
      <c r="J529">
        <v>450</v>
      </c>
      <c r="K529">
        <v>0.15</v>
      </c>
      <c r="L529">
        <v>1530</v>
      </c>
      <c r="M529">
        <v>1000</v>
      </c>
      <c r="N529">
        <v>530</v>
      </c>
    </row>
    <row r="530" spans="1:14" x14ac:dyDescent="0.35">
      <c r="A530" t="s">
        <v>966</v>
      </c>
      <c r="B530" t="s">
        <v>964</v>
      </c>
      <c r="C530" t="s">
        <v>878</v>
      </c>
      <c r="D530" t="s">
        <v>43</v>
      </c>
      <c r="E530" t="s">
        <v>143</v>
      </c>
      <c r="F530" t="s">
        <v>19</v>
      </c>
      <c r="G530" t="s">
        <v>56</v>
      </c>
      <c r="H530" t="s">
        <v>39</v>
      </c>
      <c r="I530">
        <v>2</v>
      </c>
      <c r="J530">
        <v>650</v>
      </c>
      <c r="K530">
        <v>0</v>
      </c>
      <c r="L530">
        <v>1300</v>
      </c>
      <c r="M530">
        <v>700</v>
      </c>
      <c r="N530">
        <v>600</v>
      </c>
    </row>
    <row r="531" spans="1:14" x14ac:dyDescent="0.35">
      <c r="A531" t="s">
        <v>967</v>
      </c>
      <c r="B531" t="s">
        <v>968</v>
      </c>
      <c r="C531" t="s">
        <v>207</v>
      </c>
      <c r="D531" t="s">
        <v>54</v>
      </c>
      <c r="E531" t="s">
        <v>103</v>
      </c>
      <c r="F531" t="s">
        <v>19</v>
      </c>
      <c r="G531" t="s">
        <v>215</v>
      </c>
      <c r="H531" t="s">
        <v>39</v>
      </c>
      <c r="I531">
        <v>6</v>
      </c>
      <c r="J531">
        <v>150</v>
      </c>
      <c r="K531">
        <v>0.05</v>
      </c>
      <c r="L531">
        <v>855</v>
      </c>
      <c r="M531">
        <v>450</v>
      </c>
      <c r="N531">
        <v>405</v>
      </c>
    </row>
    <row r="532" spans="1:14" x14ac:dyDescent="0.35">
      <c r="A532" t="s">
        <v>969</v>
      </c>
      <c r="B532" t="s">
        <v>968</v>
      </c>
      <c r="C532" t="s">
        <v>477</v>
      </c>
      <c r="D532" t="s">
        <v>17</v>
      </c>
      <c r="E532" t="s">
        <v>50</v>
      </c>
      <c r="F532" t="s">
        <v>37</v>
      </c>
      <c r="G532" t="s">
        <v>38</v>
      </c>
      <c r="H532" t="s">
        <v>33</v>
      </c>
      <c r="I532">
        <v>4</v>
      </c>
      <c r="J532">
        <v>650</v>
      </c>
      <c r="K532">
        <v>0</v>
      </c>
      <c r="L532">
        <v>2600</v>
      </c>
      <c r="M532">
        <v>1520</v>
      </c>
      <c r="N532">
        <v>1080</v>
      </c>
    </row>
    <row r="533" spans="1:14" x14ac:dyDescent="0.35">
      <c r="A533" t="s">
        <v>970</v>
      </c>
      <c r="B533" t="s">
        <v>968</v>
      </c>
      <c r="C533" t="s">
        <v>506</v>
      </c>
      <c r="D533" t="s">
        <v>25</v>
      </c>
      <c r="E533" t="s">
        <v>80</v>
      </c>
      <c r="F533" t="s">
        <v>27</v>
      </c>
      <c r="G533" t="s">
        <v>51</v>
      </c>
      <c r="H533" t="s">
        <v>47</v>
      </c>
      <c r="I533">
        <v>8</v>
      </c>
      <c r="J533">
        <v>950</v>
      </c>
      <c r="K533">
        <v>0</v>
      </c>
      <c r="L533">
        <v>7600</v>
      </c>
      <c r="M533">
        <v>4480</v>
      </c>
      <c r="N533">
        <v>3120</v>
      </c>
    </row>
    <row r="534" spans="1:14" x14ac:dyDescent="0.35">
      <c r="A534" t="s">
        <v>971</v>
      </c>
      <c r="B534" t="s">
        <v>972</v>
      </c>
      <c r="C534" t="s">
        <v>973</v>
      </c>
      <c r="D534" t="s">
        <v>54</v>
      </c>
      <c r="E534" t="s">
        <v>107</v>
      </c>
      <c r="F534" t="s">
        <v>27</v>
      </c>
      <c r="G534" t="s">
        <v>28</v>
      </c>
      <c r="H534" t="s">
        <v>47</v>
      </c>
      <c r="I534">
        <v>1</v>
      </c>
      <c r="J534">
        <v>120</v>
      </c>
      <c r="K534">
        <v>0.05</v>
      </c>
      <c r="L534">
        <v>114</v>
      </c>
      <c r="M534">
        <v>55</v>
      </c>
      <c r="N534">
        <v>59</v>
      </c>
    </row>
    <row r="535" spans="1:14" x14ac:dyDescent="0.35">
      <c r="A535" t="s">
        <v>974</v>
      </c>
      <c r="B535" t="s">
        <v>972</v>
      </c>
      <c r="C535" t="s">
        <v>423</v>
      </c>
      <c r="D535" t="s">
        <v>54</v>
      </c>
      <c r="E535" t="s">
        <v>107</v>
      </c>
      <c r="F535" t="s">
        <v>37</v>
      </c>
      <c r="G535" t="s">
        <v>140</v>
      </c>
      <c r="H535" t="s">
        <v>125</v>
      </c>
      <c r="I535">
        <v>1</v>
      </c>
      <c r="J535">
        <v>120</v>
      </c>
      <c r="K535">
        <v>0</v>
      </c>
      <c r="L535">
        <v>120</v>
      </c>
      <c r="M535">
        <v>55</v>
      </c>
      <c r="N535">
        <v>65</v>
      </c>
    </row>
    <row r="536" spans="1:14" x14ac:dyDescent="0.35">
      <c r="A536" t="s">
        <v>975</v>
      </c>
      <c r="B536" t="s">
        <v>972</v>
      </c>
      <c r="C536" t="s">
        <v>452</v>
      </c>
      <c r="D536" t="s">
        <v>43</v>
      </c>
      <c r="E536" t="s">
        <v>250</v>
      </c>
      <c r="F536" t="s">
        <v>19</v>
      </c>
      <c r="G536" t="s">
        <v>56</v>
      </c>
      <c r="H536" t="s">
        <v>47</v>
      </c>
      <c r="I536">
        <v>6</v>
      </c>
      <c r="J536">
        <v>900</v>
      </c>
      <c r="K536">
        <v>0</v>
      </c>
      <c r="L536">
        <v>5400</v>
      </c>
      <c r="M536">
        <v>3120</v>
      </c>
      <c r="N536">
        <v>2280</v>
      </c>
    </row>
    <row r="537" spans="1:14" x14ac:dyDescent="0.35">
      <c r="A537" t="s">
        <v>976</v>
      </c>
      <c r="B537" t="s">
        <v>977</v>
      </c>
      <c r="C537" t="s">
        <v>242</v>
      </c>
      <c r="D537" t="s">
        <v>25</v>
      </c>
      <c r="E537" t="s">
        <v>26</v>
      </c>
      <c r="F537" t="s">
        <v>27</v>
      </c>
      <c r="G537" t="s">
        <v>85</v>
      </c>
      <c r="H537" t="s">
        <v>47</v>
      </c>
      <c r="I537">
        <v>5</v>
      </c>
      <c r="J537">
        <v>600</v>
      </c>
      <c r="K537">
        <v>0</v>
      </c>
      <c r="L537">
        <v>3000</v>
      </c>
      <c r="M537">
        <v>1650</v>
      </c>
      <c r="N537">
        <v>1350</v>
      </c>
    </row>
    <row r="538" spans="1:14" x14ac:dyDescent="0.35">
      <c r="A538" t="s">
        <v>978</v>
      </c>
      <c r="B538" t="s">
        <v>977</v>
      </c>
      <c r="C538" t="s">
        <v>653</v>
      </c>
      <c r="D538" t="s">
        <v>25</v>
      </c>
      <c r="E538" t="s">
        <v>36</v>
      </c>
      <c r="F538" t="s">
        <v>37</v>
      </c>
      <c r="G538" t="s">
        <v>140</v>
      </c>
      <c r="H538" t="s">
        <v>21</v>
      </c>
      <c r="I538">
        <v>2</v>
      </c>
      <c r="J538">
        <v>700</v>
      </c>
      <c r="K538">
        <v>0</v>
      </c>
      <c r="L538">
        <v>1400</v>
      </c>
      <c r="M538">
        <v>800</v>
      </c>
      <c r="N538">
        <v>600</v>
      </c>
    </row>
    <row r="539" spans="1:14" x14ac:dyDescent="0.35">
      <c r="A539" t="s">
        <v>979</v>
      </c>
      <c r="B539" t="s">
        <v>977</v>
      </c>
      <c r="C539" t="s">
        <v>703</v>
      </c>
      <c r="D539" t="s">
        <v>54</v>
      </c>
      <c r="E539" t="s">
        <v>116</v>
      </c>
      <c r="F539" t="s">
        <v>19</v>
      </c>
      <c r="G539" t="s">
        <v>215</v>
      </c>
      <c r="H539" t="s">
        <v>47</v>
      </c>
      <c r="I539">
        <v>10</v>
      </c>
      <c r="J539">
        <v>450</v>
      </c>
      <c r="K539">
        <v>0.05</v>
      </c>
      <c r="L539">
        <v>4275</v>
      </c>
      <c r="M539">
        <v>2500</v>
      </c>
      <c r="N539">
        <v>1775</v>
      </c>
    </row>
    <row r="540" spans="1:14" x14ac:dyDescent="0.35">
      <c r="A540" t="s">
        <v>980</v>
      </c>
      <c r="B540" t="s">
        <v>977</v>
      </c>
      <c r="C540" t="s">
        <v>473</v>
      </c>
      <c r="D540" t="s">
        <v>43</v>
      </c>
      <c r="E540" t="s">
        <v>62</v>
      </c>
      <c r="F540" t="s">
        <v>45</v>
      </c>
      <c r="G540" t="s">
        <v>70</v>
      </c>
      <c r="H540" t="s">
        <v>39</v>
      </c>
      <c r="I540">
        <v>4</v>
      </c>
      <c r="J540">
        <v>500</v>
      </c>
      <c r="K540">
        <v>0.1</v>
      </c>
      <c r="L540">
        <v>1800</v>
      </c>
      <c r="M540">
        <v>1120</v>
      </c>
      <c r="N540">
        <v>680</v>
      </c>
    </row>
    <row r="541" spans="1:14" x14ac:dyDescent="0.35">
      <c r="A541" t="s">
        <v>981</v>
      </c>
      <c r="B541" t="s">
        <v>977</v>
      </c>
      <c r="C541" t="s">
        <v>455</v>
      </c>
      <c r="D541" t="s">
        <v>43</v>
      </c>
      <c r="E541" t="s">
        <v>143</v>
      </c>
      <c r="F541" t="s">
        <v>27</v>
      </c>
      <c r="G541" t="s">
        <v>85</v>
      </c>
      <c r="H541" t="s">
        <v>39</v>
      </c>
      <c r="I541">
        <v>1</v>
      </c>
      <c r="J541">
        <v>650</v>
      </c>
      <c r="K541">
        <v>0</v>
      </c>
      <c r="L541">
        <v>650</v>
      </c>
      <c r="M541">
        <v>350</v>
      </c>
      <c r="N541">
        <v>300</v>
      </c>
    </row>
    <row r="542" spans="1:14" x14ac:dyDescent="0.35">
      <c r="A542" t="s">
        <v>982</v>
      </c>
      <c r="B542" t="s">
        <v>983</v>
      </c>
      <c r="C542" t="s">
        <v>102</v>
      </c>
      <c r="D542" t="s">
        <v>43</v>
      </c>
      <c r="E542" t="s">
        <v>62</v>
      </c>
      <c r="F542" t="s">
        <v>37</v>
      </c>
      <c r="G542" t="s">
        <v>97</v>
      </c>
      <c r="H542" t="s">
        <v>21</v>
      </c>
      <c r="I542">
        <v>2</v>
      </c>
      <c r="J542">
        <v>500</v>
      </c>
      <c r="K542">
        <v>0.05</v>
      </c>
      <c r="L542">
        <v>950</v>
      </c>
      <c r="M542">
        <v>560</v>
      </c>
      <c r="N542">
        <v>390</v>
      </c>
    </row>
    <row r="543" spans="1:14" x14ac:dyDescent="0.35">
      <c r="A543" t="s">
        <v>984</v>
      </c>
      <c r="B543" t="s">
        <v>983</v>
      </c>
      <c r="C543" t="s">
        <v>821</v>
      </c>
      <c r="D543" t="s">
        <v>25</v>
      </c>
      <c r="E543" t="s">
        <v>80</v>
      </c>
      <c r="F543" t="s">
        <v>19</v>
      </c>
      <c r="G543" t="s">
        <v>20</v>
      </c>
      <c r="H543" t="s">
        <v>29</v>
      </c>
      <c r="I543">
        <v>2</v>
      </c>
      <c r="J543">
        <v>950</v>
      </c>
      <c r="K543">
        <v>0</v>
      </c>
      <c r="L543">
        <v>1900</v>
      </c>
      <c r="M543">
        <v>1120</v>
      </c>
      <c r="N543">
        <v>780</v>
      </c>
    </row>
    <row r="544" spans="1:14" x14ac:dyDescent="0.35">
      <c r="A544" t="s">
        <v>985</v>
      </c>
      <c r="B544" t="s">
        <v>983</v>
      </c>
      <c r="C544" t="s">
        <v>189</v>
      </c>
      <c r="D544" t="s">
        <v>43</v>
      </c>
      <c r="E544" t="s">
        <v>44</v>
      </c>
      <c r="F544" t="s">
        <v>45</v>
      </c>
      <c r="G544" t="s">
        <v>104</v>
      </c>
      <c r="H544" t="s">
        <v>29</v>
      </c>
      <c r="I544">
        <v>2</v>
      </c>
      <c r="J544">
        <v>2200</v>
      </c>
      <c r="K544">
        <v>0.05</v>
      </c>
      <c r="L544">
        <v>4180</v>
      </c>
      <c r="M544">
        <v>2900</v>
      </c>
      <c r="N544">
        <v>1280</v>
      </c>
    </row>
    <row r="545" spans="1:14" x14ac:dyDescent="0.35">
      <c r="A545" t="s">
        <v>986</v>
      </c>
      <c r="B545" t="s">
        <v>987</v>
      </c>
      <c r="C545" t="s">
        <v>821</v>
      </c>
      <c r="D545" t="s">
        <v>25</v>
      </c>
      <c r="E545" t="s">
        <v>26</v>
      </c>
      <c r="F545" t="s">
        <v>19</v>
      </c>
      <c r="G545" t="s">
        <v>56</v>
      </c>
      <c r="H545" t="s">
        <v>21</v>
      </c>
      <c r="I545">
        <v>8</v>
      </c>
      <c r="J545">
        <v>600</v>
      </c>
      <c r="K545">
        <v>0</v>
      </c>
      <c r="L545">
        <v>4800</v>
      </c>
      <c r="M545">
        <v>2640</v>
      </c>
      <c r="N545">
        <v>2160</v>
      </c>
    </row>
    <row r="546" spans="1:14" x14ac:dyDescent="0.35">
      <c r="A546" t="s">
        <v>988</v>
      </c>
      <c r="B546" t="s">
        <v>987</v>
      </c>
      <c r="C546" t="s">
        <v>182</v>
      </c>
      <c r="D546" t="s">
        <v>17</v>
      </c>
      <c r="E546" t="s">
        <v>50</v>
      </c>
      <c r="F546" t="s">
        <v>19</v>
      </c>
      <c r="G546" t="s">
        <v>56</v>
      </c>
      <c r="H546" t="s">
        <v>21</v>
      </c>
      <c r="I546">
        <v>9</v>
      </c>
      <c r="J546">
        <v>650</v>
      </c>
      <c r="K546">
        <v>0</v>
      </c>
      <c r="L546">
        <v>5850</v>
      </c>
      <c r="M546">
        <v>3420</v>
      </c>
      <c r="N546">
        <v>2430</v>
      </c>
    </row>
    <row r="547" spans="1:14" x14ac:dyDescent="0.35">
      <c r="A547" t="s">
        <v>989</v>
      </c>
      <c r="B547" t="s">
        <v>987</v>
      </c>
      <c r="C547" t="s">
        <v>696</v>
      </c>
      <c r="D547" t="s">
        <v>17</v>
      </c>
      <c r="E547" t="s">
        <v>32</v>
      </c>
      <c r="F547" t="s">
        <v>19</v>
      </c>
      <c r="G547" t="s">
        <v>20</v>
      </c>
      <c r="H547" t="s">
        <v>33</v>
      </c>
      <c r="I547">
        <v>2</v>
      </c>
      <c r="J547">
        <v>1500</v>
      </c>
      <c r="K547">
        <v>0</v>
      </c>
      <c r="L547">
        <v>3000</v>
      </c>
      <c r="M547">
        <v>1800</v>
      </c>
      <c r="N547">
        <v>1200</v>
      </c>
    </row>
    <row r="548" spans="1:14" x14ac:dyDescent="0.35">
      <c r="A548" t="s">
        <v>990</v>
      </c>
      <c r="B548" t="s">
        <v>987</v>
      </c>
      <c r="C548" t="s">
        <v>61</v>
      </c>
      <c r="D548" t="s">
        <v>17</v>
      </c>
      <c r="E548" t="s">
        <v>50</v>
      </c>
      <c r="F548" t="s">
        <v>19</v>
      </c>
      <c r="G548" t="s">
        <v>215</v>
      </c>
      <c r="H548" t="s">
        <v>21</v>
      </c>
      <c r="I548">
        <v>2</v>
      </c>
      <c r="J548">
        <v>650</v>
      </c>
      <c r="K548">
        <v>0.1</v>
      </c>
      <c r="L548">
        <v>1170</v>
      </c>
      <c r="M548">
        <v>760</v>
      </c>
      <c r="N548">
        <v>410</v>
      </c>
    </row>
    <row r="549" spans="1:14" x14ac:dyDescent="0.35">
      <c r="A549" t="s">
        <v>991</v>
      </c>
      <c r="B549" t="s">
        <v>987</v>
      </c>
      <c r="C549" t="s">
        <v>557</v>
      </c>
      <c r="D549" t="s">
        <v>17</v>
      </c>
      <c r="E549" t="s">
        <v>65</v>
      </c>
      <c r="F549" t="s">
        <v>19</v>
      </c>
      <c r="G549" t="s">
        <v>215</v>
      </c>
      <c r="H549" t="s">
        <v>33</v>
      </c>
      <c r="I549">
        <v>5</v>
      </c>
      <c r="J549">
        <v>2200</v>
      </c>
      <c r="K549">
        <v>0.05</v>
      </c>
      <c r="L549">
        <v>10450</v>
      </c>
      <c r="M549">
        <v>7000</v>
      </c>
      <c r="N549">
        <v>3450</v>
      </c>
    </row>
    <row r="550" spans="1:14" x14ac:dyDescent="0.35">
      <c r="A550" t="s">
        <v>992</v>
      </c>
      <c r="B550" t="s">
        <v>993</v>
      </c>
      <c r="C550" t="s">
        <v>24</v>
      </c>
      <c r="D550" t="s">
        <v>54</v>
      </c>
      <c r="E550" t="s">
        <v>110</v>
      </c>
      <c r="F550" t="s">
        <v>19</v>
      </c>
      <c r="G550" t="s">
        <v>20</v>
      </c>
      <c r="H550" t="s">
        <v>39</v>
      </c>
      <c r="I550">
        <v>8</v>
      </c>
      <c r="J550">
        <v>280</v>
      </c>
      <c r="K550">
        <v>0.1</v>
      </c>
      <c r="L550">
        <v>2016</v>
      </c>
      <c r="M550">
        <v>1200</v>
      </c>
      <c r="N550">
        <v>816</v>
      </c>
    </row>
    <row r="551" spans="1:14" x14ac:dyDescent="0.35">
      <c r="A551" t="s">
        <v>994</v>
      </c>
      <c r="B551" t="s">
        <v>993</v>
      </c>
      <c r="C551" t="s">
        <v>528</v>
      </c>
      <c r="D551" t="s">
        <v>17</v>
      </c>
      <c r="E551" t="s">
        <v>124</v>
      </c>
      <c r="F551" t="s">
        <v>37</v>
      </c>
      <c r="G551" t="s">
        <v>140</v>
      </c>
      <c r="H551" t="s">
        <v>39</v>
      </c>
      <c r="I551">
        <v>4</v>
      </c>
      <c r="J551">
        <v>1200</v>
      </c>
      <c r="K551">
        <v>0</v>
      </c>
      <c r="L551">
        <v>4800</v>
      </c>
      <c r="M551">
        <v>2880</v>
      </c>
      <c r="N551">
        <v>1920</v>
      </c>
    </row>
    <row r="552" spans="1:14" x14ac:dyDescent="0.35">
      <c r="A552" t="s">
        <v>995</v>
      </c>
      <c r="B552" t="s">
        <v>993</v>
      </c>
      <c r="C552" t="s">
        <v>264</v>
      </c>
      <c r="D552" t="s">
        <v>17</v>
      </c>
      <c r="E552" t="s">
        <v>124</v>
      </c>
      <c r="F552" t="s">
        <v>27</v>
      </c>
      <c r="G552" t="s">
        <v>85</v>
      </c>
      <c r="H552" t="s">
        <v>29</v>
      </c>
      <c r="I552">
        <v>7</v>
      </c>
      <c r="J552">
        <v>1200</v>
      </c>
      <c r="K552">
        <v>0</v>
      </c>
      <c r="L552">
        <v>8400</v>
      </c>
      <c r="M552">
        <v>5040</v>
      </c>
      <c r="N552">
        <v>3360</v>
      </c>
    </row>
    <row r="553" spans="1:14" x14ac:dyDescent="0.35">
      <c r="A553" t="s">
        <v>996</v>
      </c>
      <c r="B553" t="s">
        <v>997</v>
      </c>
      <c r="C553" t="s">
        <v>543</v>
      </c>
      <c r="D553" t="s">
        <v>43</v>
      </c>
      <c r="E553" t="s">
        <v>143</v>
      </c>
      <c r="F553" t="s">
        <v>45</v>
      </c>
      <c r="G553" t="s">
        <v>70</v>
      </c>
      <c r="H553" t="s">
        <v>21</v>
      </c>
      <c r="I553">
        <v>8</v>
      </c>
      <c r="J553">
        <v>650</v>
      </c>
      <c r="K553">
        <v>0.05</v>
      </c>
      <c r="L553">
        <v>4940</v>
      </c>
      <c r="M553">
        <v>2800</v>
      </c>
      <c r="N553">
        <v>2140</v>
      </c>
    </row>
    <row r="554" spans="1:14" x14ac:dyDescent="0.35">
      <c r="A554" t="s">
        <v>998</v>
      </c>
      <c r="B554" t="s">
        <v>997</v>
      </c>
      <c r="C554" t="s">
        <v>662</v>
      </c>
      <c r="D554" t="s">
        <v>54</v>
      </c>
      <c r="E554" t="s">
        <v>110</v>
      </c>
      <c r="F554" t="s">
        <v>27</v>
      </c>
      <c r="G554" t="s">
        <v>90</v>
      </c>
      <c r="H554" t="s">
        <v>29</v>
      </c>
      <c r="I554">
        <v>4</v>
      </c>
      <c r="J554">
        <v>280</v>
      </c>
      <c r="K554">
        <v>0.05</v>
      </c>
      <c r="L554">
        <v>1064</v>
      </c>
      <c r="M554">
        <v>600</v>
      </c>
      <c r="N554">
        <v>464</v>
      </c>
    </row>
    <row r="555" spans="1:14" x14ac:dyDescent="0.35">
      <c r="A555" t="s">
        <v>999</v>
      </c>
      <c r="B555" t="s">
        <v>1000</v>
      </c>
      <c r="C555" t="s">
        <v>543</v>
      </c>
      <c r="D555" t="s">
        <v>17</v>
      </c>
      <c r="E555" t="s">
        <v>124</v>
      </c>
      <c r="F555" t="s">
        <v>45</v>
      </c>
      <c r="G555" t="s">
        <v>70</v>
      </c>
      <c r="H555" t="s">
        <v>39</v>
      </c>
      <c r="I555">
        <v>7</v>
      </c>
      <c r="J555">
        <v>1200</v>
      </c>
      <c r="K555">
        <v>0.1</v>
      </c>
      <c r="L555">
        <v>7560</v>
      </c>
      <c r="M555">
        <v>5040</v>
      </c>
      <c r="N555">
        <v>2520</v>
      </c>
    </row>
    <row r="556" spans="1:14" x14ac:dyDescent="0.35">
      <c r="A556" t="s">
        <v>1001</v>
      </c>
      <c r="B556" t="s">
        <v>1000</v>
      </c>
      <c r="C556" t="s">
        <v>343</v>
      </c>
      <c r="D556" t="s">
        <v>17</v>
      </c>
      <c r="E556" t="s">
        <v>32</v>
      </c>
      <c r="F556" t="s">
        <v>37</v>
      </c>
      <c r="G556" t="s">
        <v>73</v>
      </c>
      <c r="H556" t="s">
        <v>29</v>
      </c>
      <c r="I556">
        <v>8</v>
      </c>
      <c r="J556">
        <v>1500</v>
      </c>
      <c r="K556">
        <v>0</v>
      </c>
      <c r="L556">
        <v>12000</v>
      </c>
      <c r="M556">
        <v>7200</v>
      </c>
      <c r="N556">
        <v>4800</v>
      </c>
    </row>
    <row r="557" spans="1:14" x14ac:dyDescent="0.35">
      <c r="A557" t="s">
        <v>1002</v>
      </c>
      <c r="B557" t="s">
        <v>1003</v>
      </c>
      <c r="C557" t="s">
        <v>211</v>
      </c>
      <c r="D557" t="s">
        <v>25</v>
      </c>
      <c r="E557" t="s">
        <v>36</v>
      </c>
      <c r="F557" t="s">
        <v>27</v>
      </c>
      <c r="G557" t="s">
        <v>85</v>
      </c>
      <c r="H557" t="s">
        <v>21</v>
      </c>
      <c r="I557">
        <v>7</v>
      </c>
      <c r="J557">
        <v>700</v>
      </c>
      <c r="K557">
        <v>0.1</v>
      </c>
      <c r="L557">
        <v>4410</v>
      </c>
      <c r="M557">
        <v>2800</v>
      </c>
      <c r="N557">
        <v>1610</v>
      </c>
    </row>
    <row r="558" spans="1:14" x14ac:dyDescent="0.35">
      <c r="A558" t="s">
        <v>1004</v>
      </c>
      <c r="B558" t="s">
        <v>1003</v>
      </c>
      <c r="C558" t="s">
        <v>1005</v>
      </c>
      <c r="D558" t="s">
        <v>54</v>
      </c>
      <c r="E558" t="s">
        <v>110</v>
      </c>
      <c r="F558" t="s">
        <v>45</v>
      </c>
      <c r="G558" t="s">
        <v>104</v>
      </c>
      <c r="H558" t="s">
        <v>47</v>
      </c>
      <c r="I558">
        <v>10</v>
      </c>
      <c r="J558">
        <v>280</v>
      </c>
      <c r="K558">
        <v>0</v>
      </c>
      <c r="L558">
        <v>2800</v>
      </c>
      <c r="M558">
        <v>1500</v>
      </c>
      <c r="N558">
        <v>1300</v>
      </c>
    </row>
    <row r="559" spans="1:14" x14ac:dyDescent="0.35">
      <c r="A559" t="s">
        <v>1006</v>
      </c>
      <c r="B559" t="s">
        <v>1003</v>
      </c>
      <c r="C559" t="s">
        <v>528</v>
      </c>
      <c r="D559" t="s">
        <v>43</v>
      </c>
      <c r="E559" t="s">
        <v>143</v>
      </c>
      <c r="F559" t="s">
        <v>45</v>
      </c>
      <c r="G559" t="s">
        <v>46</v>
      </c>
      <c r="H559" t="s">
        <v>21</v>
      </c>
      <c r="I559">
        <v>6</v>
      </c>
      <c r="J559">
        <v>650</v>
      </c>
      <c r="K559">
        <v>0</v>
      </c>
      <c r="L559">
        <v>3900</v>
      </c>
      <c r="M559">
        <v>2100</v>
      </c>
      <c r="N559">
        <v>1800</v>
      </c>
    </row>
    <row r="560" spans="1:14" x14ac:dyDescent="0.35">
      <c r="A560" t="s">
        <v>1007</v>
      </c>
      <c r="B560" t="s">
        <v>1008</v>
      </c>
      <c r="C560" t="s">
        <v>232</v>
      </c>
      <c r="D560" t="s">
        <v>25</v>
      </c>
      <c r="E560" t="s">
        <v>69</v>
      </c>
      <c r="F560" t="s">
        <v>19</v>
      </c>
      <c r="G560" t="s">
        <v>20</v>
      </c>
      <c r="H560" t="s">
        <v>39</v>
      </c>
      <c r="I560">
        <v>4</v>
      </c>
      <c r="J560">
        <v>350</v>
      </c>
      <c r="K560">
        <v>0</v>
      </c>
      <c r="L560">
        <v>1400</v>
      </c>
      <c r="M560">
        <v>720</v>
      </c>
      <c r="N560">
        <v>680</v>
      </c>
    </row>
    <row r="561" spans="1:14" x14ac:dyDescent="0.35">
      <c r="A561" t="s">
        <v>1009</v>
      </c>
      <c r="B561" t="s">
        <v>1008</v>
      </c>
      <c r="C561" t="s">
        <v>691</v>
      </c>
      <c r="D561" t="s">
        <v>25</v>
      </c>
      <c r="E561" t="s">
        <v>36</v>
      </c>
      <c r="F561" t="s">
        <v>19</v>
      </c>
      <c r="G561" t="s">
        <v>56</v>
      </c>
      <c r="H561" t="s">
        <v>125</v>
      </c>
      <c r="I561">
        <v>3</v>
      </c>
      <c r="J561">
        <v>700</v>
      </c>
      <c r="K561">
        <v>0.05</v>
      </c>
      <c r="L561">
        <v>1995</v>
      </c>
      <c r="M561">
        <v>1200</v>
      </c>
      <c r="N561">
        <v>795</v>
      </c>
    </row>
    <row r="562" spans="1:14" x14ac:dyDescent="0.35">
      <c r="A562" t="s">
        <v>1010</v>
      </c>
      <c r="B562" t="s">
        <v>1008</v>
      </c>
      <c r="C562" t="s">
        <v>949</v>
      </c>
      <c r="D562" t="s">
        <v>25</v>
      </c>
      <c r="E562" t="s">
        <v>89</v>
      </c>
      <c r="F562" t="s">
        <v>45</v>
      </c>
      <c r="G562" t="s">
        <v>104</v>
      </c>
      <c r="H562" t="s">
        <v>125</v>
      </c>
      <c r="I562">
        <v>5</v>
      </c>
      <c r="J562">
        <v>550</v>
      </c>
      <c r="K562">
        <v>0.05</v>
      </c>
      <c r="L562">
        <v>2612.5</v>
      </c>
      <c r="M562">
        <v>1500</v>
      </c>
      <c r="N562">
        <v>1112.5</v>
      </c>
    </row>
    <row r="563" spans="1:14" x14ac:dyDescent="0.35">
      <c r="A563" t="s">
        <v>1011</v>
      </c>
      <c r="B563" t="s">
        <v>1008</v>
      </c>
      <c r="C563" t="s">
        <v>412</v>
      </c>
      <c r="D563" t="s">
        <v>25</v>
      </c>
      <c r="E563" t="s">
        <v>36</v>
      </c>
      <c r="F563" t="s">
        <v>45</v>
      </c>
      <c r="G563" t="s">
        <v>46</v>
      </c>
      <c r="H563" t="s">
        <v>39</v>
      </c>
      <c r="I563">
        <v>9</v>
      </c>
      <c r="J563">
        <v>700</v>
      </c>
      <c r="K563">
        <v>0</v>
      </c>
      <c r="L563">
        <v>6300</v>
      </c>
      <c r="M563">
        <v>3600</v>
      </c>
      <c r="N563">
        <v>2700</v>
      </c>
    </row>
    <row r="564" spans="1:14" x14ac:dyDescent="0.35">
      <c r="A564" t="s">
        <v>1012</v>
      </c>
      <c r="B564" t="s">
        <v>1008</v>
      </c>
      <c r="C564" t="s">
        <v>1013</v>
      </c>
      <c r="D564" t="s">
        <v>17</v>
      </c>
      <c r="E564" t="s">
        <v>32</v>
      </c>
      <c r="F564" t="s">
        <v>27</v>
      </c>
      <c r="G564" t="s">
        <v>28</v>
      </c>
      <c r="H564" t="s">
        <v>29</v>
      </c>
      <c r="I564">
        <v>9</v>
      </c>
      <c r="J564">
        <v>1500</v>
      </c>
      <c r="K564">
        <v>0</v>
      </c>
      <c r="L564">
        <v>13500</v>
      </c>
      <c r="M564">
        <v>8100</v>
      </c>
      <c r="N564">
        <v>5400</v>
      </c>
    </row>
    <row r="565" spans="1:14" x14ac:dyDescent="0.35">
      <c r="A565" t="s">
        <v>1014</v>
      </c>
      <c r="B565" t="s">
        <v>1015</v>
      </c>
      <c r="C565" t="s">
        <v>343</v>
      </c>
      <c r="D565" t="s">
        <v>43</v>
      </c>
      <c r="E565" t="s">
        <v>143</v>
      </c>
      <c r="F565" t="s">
        <v>37</v>
      </c>
      <c r="G565" t="s">
        <v>97</v>
      </c>
      <c r="H565" t="s">
        <v>125</v>
      </c>
      <c r="I565">
        <v>2</v>
      </c>
      <c r="J565">
        <v>650</v>
      </c>
      <c r="K565">
        <v>0.05</v>
      </c>
      <c r="L565">
        <v>1235</v>
      </c>
      <c r="M565">
        <v>700</v>
      </c>
      <c r="N565">
        <v>535</v>
      </c>
    </row>
    <row r="566" spans="1:14" x14ac:dyDescent="0.35">
      <c r="A566" t="s">
        <v>1016</v>
      </c>
      <c r="B566" t="s">
        <v>1017</v>
      </c>
      <c r="C566" t="s">
        <v>637</v>
      </c>
      <c r="D566" t="s">
        <v>25</v>
      </c>
      <c r="E566" t="s">
        <v>69</v>
      </c>
      <c r="F566" t="s">
        <v>27</v>
      </c>
      <c r="G566" t="s">
        <v>90</v>
      </c>
      <c r="H566" t="s">
        <v>33</v>
      </c>
      <c r="I566">
        <v>5</v>
      </c>
      <c r="J566">
        <v>350</v>
      </c>
      <c r="K566">
        <v>0</v>
      </c>
      <c r="L566">
        <v>1750</v>
      </c>
      <c r="M566">
        <v>900</v>
      </c>
      <c r="N566">
        <v>850</v>
      </c>
    </row>
    <row r="567" spans="1:14" x14ac:dyDescent="0.35">
      <c r="A567" t="s">
        <v>1018</v>
      </c>
      <c r="B567" t="s">
        <v>1017</v>
      </c>
      <c r="C567" t="s">
        <v>252</v>
      </c>
      <c r="D567" t="s">
        <v>54</v>
      </c>
      <c r="E567" t="s">
        <v>55</v>
      </c>
      <c r="F567" t="s">
        <v>45</v>
      </c>
      <c r="G567" t="s">
        <v>46</v>
      </c>
      <c r="H567" t="s">
        <v>39</v>
      </c>
      <c r="I567">
        <v>4</v>
      </c>
      <c r="J567">
        <v>180</v>
      </c>
      <c r="K567">
        <v>0</v>
      </c>
      <c r="L567">
        <v>720</v>
      </c>
      <c r="M567">
        <v>360</v>
      </c>
      <c r="N567">
        <v>360</v>
      </c>
    </row>
    <row r="568" spans="1:14" x14ac:dyDescent="0.35">
      <c r="A568" t="s">
        <v>1019</v>
      </c>
      <c r="B568" t="s">
        <v>1017</v>
      </c>
      <c r="C568" t="s">
        <v>88</v>
      </c>
      <c r="D568" t="s">
        <v>43</v>
      </c>
      <c r="E568" t="s">
        <v>44</v>
      </c>
      <c r="F568" t="s">
        <v>37</v>
      </c>
      <c r="G568" t="s">
        <v>97</v>
      </c>
      <c r="H568" t="s">
        <v>39</v>
      </c>
      <c r="I568">
        <v>2</v>
      </c>
      <c r="J568">
        <v>2200</v>
      </c>
      <c r="K568">
        <v>0</v>
      </c>
      <c r="L568">
        <v>4400</v>
      </c>
      <c r="M568">
        <v>2900</v>
      </c>
      <c r="N568">
        <v>1500</v>
      </c>
    </row>
    <row r="569" spans="1:14" x14ac:dyDescent="0.35">
      <c r="A569" t="s">
        <v>1020</v>
      </c>
      <c r="B569" t="s">
        <v>1021</v>
      </c>
      <c r="C569" t="s">
        <v>615</v>
      </c>
      <c r="D569" t="s">
        <v>54</v>
      </c>
      <c r="E569" t="s">
        <v>103</v>
      </c>
      <c r="F569" t="s">
        <v>19</v>
      </c>
      <c r="G569" t="s">
        <v>20</v>
      </c>
      <c r="H569" t="s">
        <v>39</v>
      </c>
      <c r="I569">
        <v>5</v>
      </c>
      <c r="J569">
        <v>150</v>
      </c>
      <c r="K569">
        <v>0.1</v>
      </c>
      <c r="L569">
        <v>675</v>
      </c>
      <c r="M569">
        <v>375</v>
      </c>
      <c r="N569">
        <v>300</v>
      </c>
    </row>
    <row r="570" spans="1:14" x14ac:dyDescent="0.35">
      <c r="A570" t="s">
        <v>1022</v>
      </c>
      <c r="B570" t="s">
        <v>1021</v>
      </c>
      <c r="C570" t="s">
        <v>220</v>
      </c>
      <c r="D570" t="s">
        <v>43</v>
      </c>
      <c r="E570" t="s">
        <v>62</v>
      </c>
      <c r="F570" t="s">
        <v>27</v>
      </c>
      <c r="G570" t="s">
        <v>51</v>
      </c>
      <c r="H570" t="s">
        <v>29</v>
      </c>
      <c r="I570">
        <v>9</v>
      </c>
      <c r="J570">
        <v>500</v>
      </c>
      <c r="K570">
        <v>0.05</v>
      </c>
      <c r="L570">
        <v>4275</v>
      </c>
      <c r="M570">
        <v>2520</v>
      </c>
      <c r="N570">
        <v>1755</v>
      </c>
    </row>
    <row r="571" spans="1:14" x14ac:dyDescent="0.35">
      <c r="A571" t="s">
        <v>1023</v>
      </c>
      <c r="B571" t="s">
        <v>1021</v>
      </c>
      <c r="C571" t="s">
        <v>109</v>
      </c>
      <c r="D571" t="s">
        <v>54</v>
      </c>
      <c r="E571" t="s">
        <v>103</v>
      </c>
      <c r="F571" t="s">
        <v>27</v>
      </c>
      <c r="G571" t="s">
        <v>90</v>
      </c>
      <c r="H571" t="s">
        <v>33</v>
      </c>
      <c r="I571">
        <v>8</v>
      </c>
      <c r="J571">
        <v>150</v>
      </c>
      <c r="K571">
        <v>0</v>
      </c>
      <c r="L571">
        <v>1200</v>
      </c>
      <c r="M571">
        <v>600</v>
      </c>
      <c r="N571">
        <v>600</v>
      </c>
    </row>
    <row r="572" spans="1:14" x14ac:dyDescent="0.35">
      <c r="A572" t="s">
        <v>1024</v>
      </c>
      <c r="B572" t="s">
        <v>1021</v>
      </c>
      <c r="C572" t="s">
        <v>591</v>
      </c>
      <c r="D572" t="s">
        <v>43</v>
      </c>
      <c r="E572" t="s">
        <v>44</v>
      </c>
      <c r="F572" t="s">
        <v>37</v>
      </c>
      <c r="G572" t="s">
        <v>38</v>
      </c>
      <c r="H572" t="s">
        <v>39</v>
      </c>
      <c r="I572">
        <v>8</v>
      </c>
      <c r="J572">
        <v>2200</v>
      </c>
      <c r="K572">
        <v>0</v>
      </c>
      <c r="L572">
        <v>17600</v>
      </c>
      <c r="M572">
        <v>11600</v>
      </c>
      <c r="N572">
        <v>6000</v>
      </c>
    </row>
    <row r="573" spans="1:14" x14ac:dyDescent="0.35">
      <c r="A573" t="s">
        <v>1025</v>
      </c>
      <c r="B573" t="s">
        <v>1021</v>
      </c>
      <c r="C573" t="s">
        <v>713</v>
      </c>
      <c r="D573" t="s">
        <v>54</v>
      </c>
      <c r="E573" t="s">
        <v>107</v>
      </c>
      <c r="F573" t="s">
        <v>27</v>
      </c>
      <c r="G573" t="s">
        <v>28</v>
      </c>
      <c r="H573" t="s">
        <v>29</v>
      </c>
      <c r="I573">
        <v>4</v>
      </c>
      <c r="J573">
        <v>120</v>
      </c>
      <c r="K573">
        <v>0</v>
      </c>
      <c r="L573">
        <v>480</v>
      </c>
      <c r="M573">
        <v>220</v>
      </c>
      <c r="N573">
        <v>260</v>
      </c>
    </row>
    <row r="574" spans="1:14" x14ac:dyDescent="0.35">
      <c r="A574" t="s">
        <v>1026</v>
      </c>
      <c r="B574" t="s">
        <v>1027</v>
      </c>
      <c r="C574" t="s">
        <v>252</v>
      </c>
      <c r="D574" t="s">
        <v>54</v>
      </c>
      <c r="E574" t="s">
        <v>110</v>
      </c>
      <c r="F574" t="s">
        <v>45</v>
      </c>
      <c r="G574" t="s">
        <v>122</v>
      </c>
      <c r="H574" t="s">
        <v>33</v>
      </c>
      <c r="I574">
        <v>6</v>
      </c>
      <c r="J574">
        <v>280</v>
      </c>
      <c r="K574">
        <v>0.05</v>
      </c>
      <c r="L574">
        <v>1596</v>
      </c>
      <c r="M574">
        <v>900</v>
      </c>
      <c r="N574">
        <v>696</v>
      </c>
    </row>
    <row r="575" spans="1:14" x14ac:dyDescent="0.35">
      <c r="A575" t="s">
        <v>1028</v>
      </c>
      <c r="B575" t="s">
        <v>1027</v>
      </c>
      <c r="C575" t="s">
        <v>861</v>
      </c>
      <c r="D575" t="s">
        <v>54</v>
      </c>
      <c r="E575" t="s">
        <v>103</v>
      </c>
      <c r="F575" t="s">
        <v>37</v>
      </c>
      <c r="G575" t="s">
        <v>38</v>
      </c>
      <c r="H575" t="s">
        <v>125</v>
      </c>
      <c r="I575">
        <v>6</v>
      </c>
      <c r="J575">
        <v>150</v>
      </c>
      <c r="K575">
        <v>0.05</v>
      </c>
      <c r="L575">
        <v>855</v>
      </c>
      <c r="M575">
        <v>450</v>
      </c>
      <c r="N575">
        <v>405</v>
      </c>
    </row>
    <row r="576" spans="1:14" x14ac:dyDescent="0.35">
      <c r="A576" t="s">
        <v>1029</v>
      </c>
      <c r="B576" t="s">
        <v>1027</v>
      </c>
      <c r="C576" t="s">
        <v>316</v>
      </c>
      <c r="D576" t="s">
        <v>43</v>
      </c>
      <c r="E576" t="s">
        <v>169</v>
      </c>
      <c r="F576" t="s">
        <v>45</v>
      </c>
      <c r="G576" t="s">
        <v>46</v>
      </c>
      <c r="H576" t="s">
        <v>125</v>
      </c>
      <c r="I576">
        <v>4</v>
      </c>
      <c r="J576">
        <v>350</v>
      </c>
      <c r="K576">
        <v>0</v>
      </c>
      <c r="L576">
        <v>1400</v>
      </c>
      <c r="M576">
        <v>680</v>
      </c>
      <c r="N576">
        <v>720</v>
      </c>
    </row>
    <row r="577" spans="1:14" x14ac:dyDescent="0.35">
      <c r="A577" t="s">
        <v>1030</v>
      </c>
      <c r="B577" t="s">
        <v>1027</v>
      </c>
      <c r="C577" t="s">
        <v>352</v>
      </c>
      <c r="D577" t="s">
        <v>25</v>
      </c>
      <c r="E577" t="s">
        <v>26</v>
      </c>
      <c r="F577" t="s">
        <v>37</v>
      </c>
      <c r="G577" t="s">
        <v>38</v>
      </c>
      <c r="H577" t="s">
        <v>47</v>
      </c>
      <c r="I577">
        <v>9</v>
      </c>
      <c r="J577">
        <v>600</v>
      </c>
      <c r="K577">
        <v>0.05</v>
      </c>
      <c r="L577">
        <v>5130</v>
      </c>
      <c r="M577">
        <v>2970</v>
      </c>
      <c r="N577">
        <v>2160</v>
      </c>
    </row>
    <row r="578" spans="1:14" x14ac:dyDescent="0.35">
      <c r="A578" t="s">
        <v>1031</v>
      </c>
      <c r="B578" t="s">
        <v>1032</v>
      </c>
      <c r="C578" t="s">
        <v>670</v>
      </c>
      <c r="D578" t="s">
        <v>25</v>
      </c>
      <c r="E578" t="s">
        <v>69</v>
      </c>
      <c r="F578" t="s">
        <v>37</v>
      </c>
      <c r="G578" t="s">
        <v>140</v>
      </c>
      <c r="H578" t="s">
        <v>39</v>
      </c>
      <c r="I578">
        <v>7</v>
      </c>
      <c r="J578">
        <v>350</v>
      </c>
      <c r="K578">
        <v>0</v>
      </c>
      <c r="L578">
        <v>2450</v>
      </c>
      <c r="M578">
        <v>1260</v>
      </c>
      <c r="N578">
        <v>1190</v>
      </c>
    </row>
    <row r="579" spans="1:14" x14ac:dyDescent="0.35">
      <c r="A579" t="s">
        <v>1033</v>
      </c>
      <c r="B579" t="s">
        <v>1032</v>
      </c>
      <c r="C579" t="s">
        <v>649</v>
      </c>
      <c r="D579" t="s">
        <v>43</v>
      </c>
      <c r="E579" t="s">
        <v>62</v>
      </c>
      <c r="F579" t="s">
        <v>37</v>
      </c>
      <c r="G579" t="s">
        <v>97</v>
      </c>
      <c r="H579" t="s">
        <v>47</v>
      </c>
      <c r="I579">
        <v>5</v>
      </c>
      <c r="J579">
        <v>500</v>
      </c>
      <c r="K579">
        <v>0</v>
      </c>
      <c r="L579">
        <v>2500</v>
      </c>
      <c r="M579">
        <v>1400</v>
      </c>
      <c r="N579">
        <v>1100</v>
      </c>
    </row>
    <row r="580" spans="1:14" x14ac:dyDescent="0.35">
      <c r="A580" t="s">
        <v>1034</v>
      </c>
      <c r="B580" t="s">
        <v>1035</v>
      </c>
      <c r="C580" t="s">
        <v>835</v>
      </c>
      <c r="D580" t="s">
        <v>54</v>
      </c>
      <c r="E580" t="s">
        <v>116</v>
      </c>
      <c r="F580" t="s">
        <v>27</v>
      </c>
      <c r="G580" t="s">
        <v>28</v>
      </c>
      <c r="H580" t="s">
        <v>33</v>
      </c>
      <c r="I580">
        <v>6</v>
      </c>
      <c r="J580">
        <v>450</v>
      </c>
      <c r="K580">
        <v>0</v>
      </c>
      <c r="L580">
        <v>2700</v>
      </c>
      <c r="M580">
        <v>1500</v>
      </c>
      <c r="N580">
        <v>1200</v>
      </c>
    </row>
    <row r="581" spans="1:14" x14ac:dyDescent="0.35">
      <c r="A581" t="s">
        <v>1036</v>
      </c>
      <c r="B581" t="s">
        <v>1037</v>
      </c>
      <c r="C581" t="s">
        <v>242</v>
      </c>
      <c r="D581" t="s">
        <v>25</v>
      </c>
      <c r="E581" t="s">
        <v>69</v>
      </c>
      <c r="F581" t="s">
        <v>37</v>
      </c>
      <c r="G581" t="s">
        <v>73</v>
      </c>
      <c r="H581" t="s">
        <v>47</v>
      </c>
      <c r="I581">
        <v>5</v>
      </c>
      <c r="J581">
        <v>350</v>
      </c>
      <c r="K581">
        <v>0.05</v>
      </c>
      <c r="L581">
        <v>1662.5</v>
      </c>
      <c r="M581">
        <v>900</v>
      </c>
      <c r="N581">
        <v>762.5</v>
      </c>
    </row>
    <row r="582" spans="1:14" x14ac:dyDescent="0.35">
      <c r="A582" t="s">
        <v>1038</v>
      </c>
      <c r="B582" t="s">
        <v>1037</v>
      </c>
      <c r="C582" t="s">
        <v>355</v>
      </c>
      <c r="D582" t="s">
        <v>17</v>
      </c>
      <c r="E582" t="s">
        <v>32</v>
      </c>
      <c r="F582" t="s">
        <v>27</v>
      </c>
      <c r="G582" t="s">
        <v>28</v>
      </c>
      <c r="H582" t="s">
        <v>47</v>
      </c>
      <c r="I582">
        <v>4</v>
      </c>
      <c r="J582">
        <v>1500</v>
      </c>
      <c r="K582">
        <v>0.05</v>
      </c>
      <c r="L582">
        <v>5700</v>
      </c>
      <c r="M582">
        <v>3600</v>
      </c>
      <c r="N582">
        <v>2100</v>
      </c>
    </row>
    <row r="583" spans="1:14" x14ac:dyDescent="0.35">
      <c r="A583" t="s">
        <v>1039</v>
      </c>
      <c r="B583" t="s">
        <v>1040</v>
      </c>
      <c r="C583" t="s">
        <v>1013</v>
      </c>
      <c r="D583" t="s">
        <v>17</v>
      </c>
      <c r="E583" t="s">
        <v>32</v>
      </c>
      <c r="F583" t="s">
        <v>37</v>
      </c>
      <c r="G583" t="s">
        <v>73</v>
      </c>
      <c r="H583" t="s">
        <v>125</v>
      </c>
      <c r="I583">
        <v>5</v>
      </c>
      <c r="J583">
        <v>1500</v>
      </c>
      <c r="K583">
        <v>0</v>
      </c>
      <c r="L583">
        <v>7500</v>
      </c>
      <c r="M583">
        <v>4500</v>
      </c>
      <c r="N583">
        <v>3000</v>
      </c>
    </row>
    <row r="584" spans="1:14" x14ac:dyDescent="0.35">
      <c r="A584" t="s">
        <v>1041</v>
      </c>
      <c r="B584" t="s">
        <v>1040</v>
      </c>
      <c r="C584" t="s">
        <v>96</v>
      </c>
      <c r="D584" t="s">
        <v>17</v>
      </c>
      <c r="E584" t="s">
        <v>124</v>
      </c>
      <c r="F584" t="s">
        <v>37</v>
      </c>
      <c r="G584" t="s">
        <v>97</v>
      </c>
      <c r="H584" t="s">
        <v>39</v>
      </c>
      <c r="I584">
        <v>6</v>
      </c>
      <c r="J584">
        <v>1200</v>
      </c>
      <c r="K584">
        <v>0.05</v>
      </c>
      <c r="L584">
        <v>6840</v>
      </c>
      <c r="M584">
        <v>4320</v>
      </c>
      <c r="N584">
        <v>2520</v>
      </c>
    </row>
    <row r="585" spans="1:14" x14ac:dyDescent="0.35">
      <c r="A585" t="s">
        <v>1042</v>
      </c>
      <c r="B585" t="s">
        <v>1040</v>
      </c>
      <c r="C585" t="s">
        <v>72</v>
      </c>
      <c r="D585" t="s">
        <v>25</v>
      </c>
      <c r="E585" t="s">
        <v>36</v>
      </c>
      <c r="F585" t="s">
        <v>19</v>
      </c>
      <c r="G585" t="s">
        <v>113</v>
      </c>
      <c r="H585" t="s">
        <v>33</v>
      </c>
      <c r="I585">
        <v>6</v>
      </c>
      <c r="J585">
        <v>700</v>
      </c>
      <c r="K585">
        <v>0.05</v>
      </c>
      <c r="L585">
        <v>3990</v>
      </c>
      <c r="M585">
        <v>2400</v>
      </c>
      <c r="N585">
        <v>1590</v>
      </c>
    </row>
    <row r="586" spans="1:14" x14ac:dyDescent="0.35">
      <c r="A586" t="s">
        <v>1043</v>
      </c>
      <c r="B586" t="s">
        <v>1044</v>
      </c>
      <c r="C586" t="s">
        <v>185</v>
      </c>
      <c r="D586" t="s">
        <v>17</v>
      </c>
      <c r="E586" t="s">
        <v>32</v>
      </c>
      <c r="F586" t="s">
        <v>27</v>
      </c>
      <c r="G586" t="s">
        <v>51</v>
      </c>
      <c r="H586" t="s">
        <v>21</v>
      </c>
      <c r="I586">
        <v>6</v>
      </c>
      <c r="J586">
        <v>1500</v>
      </c>
      <c r="K586">
        <v>0</v>
      </c>
      <c r="L586">
        <v>9000</v>
      </c>
      <c r="M586">
        <v>5400</v>
      </c>
      <c r="N586">
        <v>3600</v>
      </c>
    </row>
    <row r="587" spans="1:14" x14ac:dyDescent="0.35">
      <c r="A587" t="s">
        <v>1045</v>
      </c>
      <c r="B587" t="s">
        <v>1044</v>
      </c>
      <c r="C587" t="s">
        <v>24</v>
      </c>
      <c r="D587" t="s">
        <v>54</v>
      </c>
      <c r="E587" t="s">
        <v>116</v>
      </c>
      <c r="F587" t="s">
        <v>45</v>
      </c>
      <c r="G587" t="s">
        <v>122</v>
      </c>
      <c r="H587" t="s">
        <v>125</v>
      </c>
      <c r="I587">
        <v>8</v>
      </c>
      <c r="J587">
        <v>450</v>
      </c>
      <c r="K587">
        <v>0.05</v>
      </c>
      <c r="L587">
        <v>3420</v>
      </c>
      <c r="M587">
        <v>2000</v>
      </c>
      <c r="N587">
        <v>1420</v>
      </c>
    </row>
    <row r="588" spans="1:14" x14ac:dyDescent="0.35">
      <c r="A588" t="s">
        <v>1046</v>
      </c>
      <c r="B588" t="s">
        <v>1044</v>
      </c>
      <c r="C588" t="s">
        <v>325</v>
      </c>
      <c r="D588" t="s">
        <v>25</v>
      </c>
      <c r="E588" t="s">
        <v>36</v>
      </c>
      <c r="F588" t="s">
        <v>27</v>
      </c>
      <c r="G588" t="s">
        <v>90</v>
      </c>
      <c r="H588" t="s">
        <v>29</v>
      </c>
      <c r="I588">
        <v>9</v>
      </c>
      <c r="J588">
        <v>700</v>
      </c>
      <c r="K588">
        <v>0</v>
      </c>
      <c r="L588">
        <v>6300</v>
      </c>
      <c r="M588">
        <v>3600</v>
      </c>
      <c r="N588">
        <v>2700</v>
      </c>
    </row>
    <row r="589" spans="1:14" x14ac:dyDescent="0.35">
      <c r="A589" t="s">
        <v>1047</v>
      </c>
      <c r="B589" t="s">
        <v>1044</v>
      </c>
      <c r="C589" t="s">
        <v>275</v>
      </c>
      <c r="D589" t="s">
        <v>17</v>
      </c>
      <c r="E589" t="s">
        <v>65</v>
      </c>
      <c r="F589" t="s">
        <v>37</v>
      </c>
      <c r="G589" t="s">
        <v>73</v>
      </c>
      <c r="H589" t="s">
        <v>33</v>
      </c>
      <c r="I589">
        <v>2</v>
      </c>
      <c r="J589">
        <v>2200</v>
      </c>
      <c r="K589">
        <v>0</v>
      </c>
      <c r="L589">
        <v>4400</v>
      </c>
      <c r="M589">
        <v>2800</v>
      </c>
      <c r="N589">
        <v>1600</v>
      </c>
    </row>
    <row r="590" spans="1:14" x14ac:dyDescent="0.35">
      <c r="A590" t="s">
        <v>1048</v>
      </c>
      <c r="B590" t="s">
        <v>1049</v>
      </c>
      <c r="C590" t="s">
        <v>217</v>
      </c>
      <c r="D590" t="s">
        <v>25</v>
      </c>
      <c r="E590" t="s">
        <v>69</v>
      </c>
      <c r="F590" t="s">
        <v>27</v>
      </c>
      <c r="G590" t="s">
        <v>90</v>
      </c>
      <c r="H590" t="s">
        <v>47</v>
      </c>
      <c r="I590">
        <v>2</v>
      </c>
      <c r="J590">
        <v>350</v>
      </c>
      <c r="K590">
        <v>0</v>
      </c>
      <c r="L590">
        <v>700</v>
      </c>
      <c r="M590">
        <v>360</v>
      </c>
      <c r="N590">
        <v>340</v>
      </c>
    </row>
    <row r="591" spans="1:14" x14ac:dyDescent="0.35">
      <c r="A591" t="s">
        <v>1050</v>
      </c>
      <c r="B591" t="s">
        <v>1049</v>
      </c>
      <c r="C591" t="s">
        <v>109</v>
      </c>
      <c r="D591" t="s">
        <v>43</v>
      </c>
      <c r="E591" t="s">
        <v>169</v>
      </c>
      <c r="F591" t="s">
        <v>19</v>
      </c>
      <c r="G591" t="s">
        <v>215</v>
      </c>
      <c r="H591" t="s">
        <v>29</v>
      </c>
      <c r="I591">
        <v>1</v>
      </c>
      <c r="J591">
        <v>350</v>
      </c>
      <c r="K591">
        <v>0</v>
      </c>
      <c r="L591">
        <v>350</v>
      </c>
      <c r="M591">
        <v>170</v>
      </c>
      <c r="N591">
        <v>180</v>
      </c>
    </row>
    <row r="592" spans="1:14" x14ac:dyDescent="0.35">
      <c r="A592" t="s">
        <v>1051</v>
      </c>
      <c r="B592" t="s">
        <v>1049</v>
      </c>
      <c r="C592" t="s">
        <v>222</v>
      </c>
      <c r="D592" t="s">
        <v>17</v>
      </c>
      <c r="E592" t="s">
        <v>124</v>
      </c>
      <c r="F592" t="s">
        <v>45</v>
      </c>
      <c r="G592" t="s">
        <v>46</v>
      </c>
      <c r="H592" t="s">
        <v>21</v>
      </c>
      <c r="I592">
        <v>2</v>
      </c>
      <c r="J592">
        <v>1200</v>
      </c>
      <c r="K592">
        <v>0.05</v>
      </c>
      <c r="L592">
        <v>2280</v>
      </c>
      <c r="M592">
        <v>1440</v>
      </c>
      <c r="N592">
        <v>840</v>
      </c>
    </row>
    <row r="593" spans="1:14" x14ac:dyDescent="0.35">
      <c r="A593" t="s">
        <v>1052</v>
      </c>
      <c r="B593" t="s">
        <v>1053</v>
      </c>
      <c r="C593" t="s">
        <v>173</v>
      </c>
      <c r="D593" t="s">
        <v>54</v>
      </c>
      <c r="E593" t="s">
        <v>116</v>
      </c>
      <c r="F593" t="s">
        <v>19</v>
      </c>
      <c r="G593" t="s">
        <v>20</v>
      </c>
      <c r="H593" t="s">
        <v>47</v>
      </c>
      <c r="I593">
        <v>1</v>
      </c>
      <c r="J593">
        <v>450</v>
      </c>
      <c r="K593">
        <v>0.05</v>
      </c>
      <c r="L593">
        <v>427.5</v>
      </c>
      <c r="M593">
        <v>250</v>
      </c>
      <c r="N593">
        <v>177.5</v>
      </c>
    </row>
    <row r="594" spans="1:14" x14ac:dyDescent="0.35">
      <c r="A594" t="s">
        <v>1054</v>
      </c>
      <c r="B594" t="s">
        <v>1055</v>
      </c>
      <c r="C594" t="s">
        <v>448</v>
      </c>
      <c r="D594" t="s">
        <v>17</v>
      </c>
      <c r="E594" t="s">
        <v>18</v>
      </c>
      <c r="F594" t="s">
        <v>27</v>
      </c>
      <c r="G594" t="s">
        <v>51</v>
      </c>
      <c r="H594" t="s">
        <v>33</v>
      </c>
      <c r="I594">
        <v>4</v>
      </c>
      <c r="J594">
        <v>1800</v>
      </c>
      <c r="K594">
        <v>0.05</v>
      </c>
      <c r="L594">
        <v>6840</v>
      </c>
      <c r="M594">
        <v>4400</v>
      </c>
      <c r="N594">
        <v>2440</v>
      </c>
    </row>
    <row r="595" spans="1:14" x14ac:dyDescent="0.35">
      <c r="A595" t="s">
        <v>1056</v>
      </c>
      <c r="B595" t="s">
        <v>1055</v>
      </c>
      <c r="C595" t="s">
        <v>598</v>
      </c>
      <c r="D595" t="s">
        <v>54</v>
      </c>
      <c r="E595" t="s">
        <v>110</v>
      </c>
      <c r="F595" t="s">
        <v>19</v>
      </c>
      <c r="G595" t="s">
        <v>113</v>
      </c>
      <c r="H595" t="s">
        <v>33</v>
      </c>
      <c r="I595">
        <v>10</v>
      </c>
      <c r="J595">
        <v>280</v>
      </c>
      <c r="K595">
        <v>0.1</v>
      </c>
      <c r="L595">
        <v>2520</v>
      </c>
      <c r="M595">
        <v>1500</v>
      </c>
      <c r="N595">
        <v>1020</v>
      </c>
    </row>
    <row r="596" spans="1:14" x14ac:dyDescent="0.35">
      <c r="A596" t="s">
        <v>1057</v>
      </c>
      <c r="B596" t="s">
        <v>1055</v>
      </c>
      <c r="C596" t="s">
        <v>129</v>
      </c>
      <c r="D596" t="s">
        <v>25</v>
      </c>
      <c r="E596" t="s">
        <v>69</v>
      </c>
      <c r="F596" t="s">
        <v>19</v>
      </c>
      <c r="G596" t="s">
        <v>215</v>
      </c>
      <c r="H596" t="s">
        <v>29</v>
      </c>
      <c r="I596">
        <v>1</v>
      </c>
      <c r="J596">
        <v>350</v>
      </c>
      <c r="K596">
        <v>0.1</v>
      </c>
      <c r="L596">
        <v>315</v>
      </c>
      <c r="M596">
        <v>180</v>
      </c>
      <c r="N596">
        <v>135</v>
      </c>
    </row>
    <row r="597" spans="1:14" x14ac:dyDescent="0.35">
      <c r="A597" t="s">
        <v>1058</v>
      </c>
      <c r="B597" t="s">
        <v>1059</v>
      </c>
      <c r="C597" t="s">
        <v>335</v>
      </c>
      <c r="D597" t="s">
        <v>54</v>
      </c>
      <c r="E597" t="s">
        <v>55</v>
      </c>
      <c r="F597" t="s">
        <v>45</v>
      </c>
      <c r="G597" t="s">
        <v>104</v>
      </c>
      <c r="H597" t="s">
        <v>47</v>
      </c>
      <c r="I597">
        <v>6</v>
      </c>
      <c r="J597">
        <v>180</v>
      </c>
      <c r="K597">
        <v>0</v>
      </c>
      <c r="L597">
        <v>1080</v>
      </c>
      <c r="M597">
        <v>540</v>
      </c>
      <c r="N597">
        <v>540</v>
      </c>
    </row>
    <row r="598" spans="1:14" x14ac:dyDescent="0.35">
      <c r="A598" t="s">
        <v>1060</v>
      </c>
      <c r="B598" t="s">
        <v>1059</v>
      </c>
      <c r="C598" t="s">
        <v>196</v>
      </c>
      <c r="D598" t="s">
        <v>43</v>
      </c>
      <c r="E598" t="s">
        <v>250</v>
      </c>
      <c r="F598" t="s">
        <v>27</v>
      </c>
      <c r="G598" t="s">
        <v>28</v>
      </c>
      <c r="H598" t="s">
        <v>29</v>
      </c>
      <c r="I598">
        <v>5</v>
      </c>
      <c r="J598">
        <v>900</v>
      </c>
      <c r="K598">
        <v>0</v>
      </c>
      <c r="L598">
        <v>4500</v>
      </c>
      <c r="M598">
        <v>2600</v>
      </c>
      <c r="N598">
        <v>1900</v>
      </c>
    </row>
    <row r="599" spans="1:14" x14ac:dyDescent="0.35">
      <c r="A599" t="s">
        <v>1061</v>
      </c>
      <c r="B599" t="s">
        <v>1062</v>
      </c>
      <c r="C599" t="s">
        <v>261</v>
      </c>
      <c r="D599" t="s">
        <v>54</v>
      </c>
      <c r="E599" t="s">
        <v>55</v>
      </c>
      <c r="F599" t="s">
        <v>27</v>
      </c>
      <c r="G599" t="s">
        <v>51</v>
      </c>
      <c r="H599" t="s">
        <v>39</v>
      </c>
      <c r="I599">
        <v>1</v>
      </c>
      <c r="J599">
        <v>180</v>
      </c>
      <c r="K599">
        <v>0.05</v>
      </c>
      <c r="L599">
        <v>171</v>
      </c>
      <c r="M599">
        <v>90</v>
      </c>
      <c r="N599">
        <v>81</v>
      </c>
    </row>
    <row r="600" spans="1:14" x14ac:dyDescent="0.35">
      <c r="A600" t="s">
        <v>1063</v>
      </c>
      <c r="B600" t="s">
        <v>1062</v>
      </c>
      <c r="C600" t="s">
        <v>42</v>
      </c>
      <c r="D600" t="s">
        <v>43</v>
      </c>
      <c r="E600" t="s">
        <v>62</v>
      </c>
      <c r="F600" t="s">
        <v>37</v>
      </c>
      <c r="G600" t="s">
        <v>140</v>
      </c>
      <c r="H600" t="s">
        <v>47</v>
      </c>
      <c r="I600">
        <v>7</v>
      </c>
      <c r="J600">
        <v>500</v>
      </c>
      <c r="K600">
        <v>0.15</v>
      </c>
      <c r="L600">
        <v>2975</v>
      </c>
      <c r="M600">
        <v>1960</v>
      </c>
      <c r="N600">
        <v>1015</v>
      </c>
    </row>
    <row r="601" spans="1:14" x14ac:dyDescent="0.35">
      <c r="A601" t="s">
        <v>1064</v>
      </c>
      <c r="B601" t="s">
        <v>1065</v>
      </c>
      <c r="C601" t="s">
        <v>93</v>
      </c>
      <c r="D601" t="s">
        <v>43</v>
      </c>
      <c r="E601" t="s">
        <v>169</v>
      </c>
      <c r="F601" t="s">
        <v>19</v>
      </c>
      <c r="G601" t="s">
        <v>20</v>
      </c>
      <c r="H601" t="s">
        <v>21</v>
      </c>
      <c r="I601">
        <v>7</v>
      </c>
      <c r="J601">
        <v>350</v>
      </c>
      <c r="K601">
        <v>0</v>
      </c>
      <c r="L601">
        <v>2450</v>
      </c>
      <c r="M601">
        <v>1190</v>
      </c>
      <c r="N601">
        <v>1260</v>
      </c>
    </row>
    <row r="602" spans="1:14" x14ac:dyDescent="0.35">
      <c r="A602" t="s">
        <v>1066</v>
      </c>
      <c r="B602" t="s">
        <v>1065</v>
      </c>
      <c r="C602" t="s">
        <v>664</v>
      </c>
      <c r="D602" t="s">
        <v>54</v>
      </c>
      <c r="E602" t="s">
        <v>103</v>
      </c>
      <c r="F602" t="s">
        <v>45</v>
      </c>
      <c r="G602" t="s">
        <v>104</v>
      </c>
      <c r="H602" t="s">
        <v>21</v>
      </c>
      <c r="I602">
        <v>10</v>
      </c>
      <c r="J602">
        <v>150</v>
      </c>
      <c r="K602">
        <v>0</v>
      </c>
      <c r="L602">
        <v>1500</v>
      </c>
      <c r="M602">
        <v>750</v>
      </c>
      <c r="N602">
        <v>750</v>
      </c>
    </row>
    <row r="603" spans="1:14" x14ac:dyDescent="0.35">
      <c r="A603" t="s">
        <v>1067</v>
      </c>
      <c r="B603" t="s">
        <v>1065</v>
      </c>
      <c r="C603" t="s">
        <v>112</v>
      </c>
      <c r="D603" t="s">
        <v>25</v>
      </c>
      <c r="E603" t="s">
        <v>26</v>
      </c>
      <c r="F603" t="s">
        <v>27</v>
      </c>
      <c r="G603" t="s">
        <v>90</v>
      </c>
      <c r="H603" t="s">
        <v>33</v>
      </c>
      <c r="I603">
        <v>5</v>
      </c>
      <c r="J603">
        <v>600</v>
      </c>
      <c r="K603">
        <v>0.15</v>
      </c>
      <c r="L603">
        <v>2550</v>
      </c>
      <c r="M603">
        <v>1650</v>
      </c>
      <c r="N603">
        <v>900</v>
      </c>
    </row>
    <row r="604" spans="1:14" x14ac:dyDescent="0.35">
      <c r="A604" t="s">
        <v>1068</v>
      </c>
      <c r="B604" t="s">
        <v>1065</v>
      </c>
      <c r="C604" t="s">
        <v>427</v>
      </c>
      <c r="D604" t="s">
        <v>54</v>
      </c>
      <c r="E604" t="s">
        <v>55</v>
      </c>
      <c r="F604" t="s">
        <v>19</v>
      </c>
      <c r="G604" t="s">
        <v>113</v>
      </c>
      <c r="H604" t="s">
        <v>125</v>
      </c>
      <c r="I604">
        <v>5</v>
      </c>
      <c r="J604">
        <v>180</v>
      </c>
      <c r="K604">
        <v>0</v>
      </c>
      <c r="L604">
        <v>900</v>
      </c>
      <c r="M604">
        <v>450</v>
      </c>
      <c r="N604">
        <v>450</v>
      </c>
    </row>
    <row r="605" spans="1:14" x14ac:dyDescent="0.35">
      <c r="A605" t="s">
        <v>1069</v>
      </c>
      <c r="B605" t="s">
        <v>1070</v>
      </c>
      <c r="C605" t="s">
        <v>791</v>
      </c>
      <c r="D605" t="s">
        <v>54</v>
      </c>
      <c r="E605" t="s">
        <v>107</v>
      </c>
      <c r="F605" t="s">
        <v>45</v>
      </c>
      <c r="G605" t="s">
        <v>104</v>
      </c>
      <c r="H605" t="s">
        <v>125</v>
      </c>
      <c r="I605">
        <v>8</v>
      </c>
      <c r="J605">
        <v>120</v>
      </c>
      <c r="K605">
        <v>0.1</v>
      </c>
      <c r="L605">
        <v>864</v>
      </c>
      <c r="M605">
        <v>440</v>
      </c>
      <c r="N605">
        <v>424</v>
      </c>
    </row>
    <row r="606" spans="1:14" x14ac:dyDescent="0.35">
      <c r="A606" t="s">
        <v>1071</v>
      </c>
      <c r="B606" t="s">
        <v>1070</v>
      </c>
      <c r="C606" t="s">
        <v>267</v>
      </c>
      <c r="D606" t="s">
        <v>17</v>
      </c>
      <c r="E606" t="s">
        <v>18</v>
      </c>
      <c r="F606" t="s">
        <v>27</v>
      </c>
      <c r="G606" t="s">
        <v>51</v>
      </c>
      <c r="H606" t="s">
        <v>21</v>
      </c>
      <c r="I606">
        <v>1</v>
      </c>
      <c r="J606">
        <v>1800</v>
      </c>
      <c r="K606">
        <v>0</v>
      </c>
      <c r="L606">
        <v>1800</v>
      </c>
      <c r="M606">
        <v>1100</v>
      </c>
      <c r="N606">
        <v>700</v>
      </c>
    </row>
    <row r="607" spans="1:14" x14ac:dyDescent="0.35">
      <c r="A607" t="s">
        <v>1072</v>
      </c>
      <c r="B607" t="s">
        <v>1070</v>
      </c>
      <c r="C607" t="s">
        <v>802</v>
      </c>
      <c r="D607" t="s">
        <v>43</v>
      </c>
      <c r="E607" t="s">
        <v>143</v>
      </c>
      <c r="F607" t="s">
        <v>45</v>
      </c>
      <c r="G607" t="s">
        <v>46</v>
      </c>
      <c r="H607" t="s">
        <v>21</v>
      </c>
      <c r="I607">
        <v>5</v>
      </c>
      <c r="J607">
        <v>650</v>
      </c>
      <c r="K607">
        <v>0.05</v>
      </c>
      <c r="L607">
        <v>3087.5</v>
      </c>
      <c r="M607">
        <v>1750</v>
      </c>
      <c r="N607">
        <v>1337.5</v>
      </c>
    </row>
    <row r="608" spans="1:14" x14ac:dyDescent="0.35">
      <c r="A608" t="s">
        <v>1073</v>
      </c>
      <c r="B608" t="s">
        <v>1074</v>
      </c>
      <c r="C608" t="s">
        <v>134</v>
      </c>
      <c r="D608" t="s">
        <v>17</v>
      </c>
      <c r="E608" t="s">
        <v>32</v>
      </c>
      <c r="F608" t="s">
        <v>27</v>
      </c>
      <c r="G608" t="s">
        <v>28</v>
      </c>
      <c r="H608" t="s">
        <v>39</v>
      </c>
      <c r="I608">
        <v>5</v>
      </c>
      <c r="J608">
        <v>1500</v>
      </c>
      <c r="K608">
        <v>0.15</v>
      </c>
      <c r="L608">
        <v>6375</v>
      </c>
      <c r="M608">
        <v>4500</v>
      </c>
      <c r="N608">
        <v>1875</v>
      </c>
    </row>
    <row r="609" spans="1:14" x14ac:dyDescent="0.35">
      <c r="A609" t="s">
        <v>1075</v>
      </c>
      <c r="B609" t="s">
        <v>1074</v>
      </c>
      <c r="C609" t="s">
        <v>267</v>
      </c>
      <c r="D609" t="s">
        <v>43</v>
      </c>
      <c r="E609" t="s">
        <v>143</v>
      </c>
      <c r="F609" t="s">
        <v>45</v>
      </c>
      <c r="G609" t="s">
        <v>122</v>
      </c>
      <c r="H609" t="s">
        <v>39</v>
      </c>
      <c r="I609">
        <v>8</v>
      </c>
      <c r="J609">
        <v>650</v>
      </c>
      <c r="K609">
        <v>0.05</v>
      </c>
      <c r="L609">
        <v>4940</v>
      </c>
      <c r="M609">
        <v>2800</v>
      </c>
      <c r="N609">
        <v>2140</v>
      </c>
    </row>
    <row r="610" spans="1:14" x14ac:dyDescent="0.35">
      <c r="A610" t="s">
        <v>1076</v>
      </c>
      <c r="B610" t="s">
        <v>1074</v>
      </c>
      <c r="C610" t="s">
        <v>82</v>
      </c>
      <c r="D610" t="s">
        <v>25</v>
      </c>
      <c r="E610" t="s">
        <v>89</v>
      </c>
      <c r="F610" t="s">
        <v>37</v>
      </c>
      <c r="G610" t="s">
        <v>73</v>
      </c>
      <c r="H610" t="s">
        <v>39</v>
      </c>
      <c r="I610">
        <v>2</v>
      </c>
      <c r="J610">
        <v>550</v>
      </c>
      <c r="K610">
        <v>0</v>
      </c>
      <c r="L610">
        <v>1100</v>
      </c>
      <c r="M610">
        <v>600</v>
      </c>
      <c r="N610">
        <v>500</v>
      </c>
    </row>
    <row r="611" spans="1:14" x14ac:dyDescent="0.35">
      <c r="A611" t="s">
        <v>1077</v>
      </c>
      <c r="B611" t="s">
        <v>1078</v>
      </c>
      <c r="C611" t="s">
        <v>830</v>
      </c>
      <c r="D611" t="s">
        <v>43</v>
      </c>
      <c r="E611" t="s">
        <v>169</v>
      </c>
      <c r="F611" t="s">
        <v>27</v>
      </c>
      <c r="G611" t="s">
        <v>51</v>
      </c>
      <c r="H611" t="s">
        <v>33</v>
      </c>
      <c r="I611">
        <v>7</v>
      </c>
      <c r="J611">
        <v>350</v>
      </c>
      <c r="K611">
        <v>0.15</v>
      </c>
      <c r="L611">
        <v>2082.5</v>
      </c>
      <c r="M611">
        <v>1190</v>
      </c>
      <c r="N611">
        <v>892.5</v>
      </c>
    </row>
    <row r="612" spans="1:14" x14ac:dyDescent="0.35">
      <c r="A612" t="s">
        <v>1079</v>
      </c>
      <c r="B612" t="s">
        <v>1080</v>
      </c>
      <c r="C612" t="s">
        <v>1081</v>
      </c>
      <c r="D612" t="s">
        <v>43</v>
      </c>
      <c r="E612" t="s">
        <v>62</v>
      </c>
      <c r="F612" t="s">
        <v>27</v>
      </c>
      <c r="G612" t="s">
        <v>28</v>
      </c>
      <c r="H612" t="s">
        <v>47</v>
      </c>
      <c r="I612">
        <v>6</v>
      </c>
      <c r="J612">
        <v>500</v>
      </c>
      <c r="K612">
        <v>0</v>
      </c>
      <c r="L612">
        <v>3000</v>
      </c>
      <c r="M612">
        <v>1680</v>
      </c>
      <c r="N612">
        <v>1320</v>
      </c>
    </row>
    <row r="613" spans="1:14" x14ac:dyDescent="0.35">
      <c r="A613" t="s">
        <v>1082</v>
      </c>
      <c r="B613" t="s">
        <v>1080</v>
      </c>
      <c r="C613" t="s">
        <v>234</v>
      </c>
      <c r="D613" t="s">
        <v>43</v>
      </c>
      <c r="E613" t="s">
        <v>169</v>
      </c>
      <c r="F613" t="s">
        <v>37</v>
      </c>
      <c r="G613" t="s">
        <v>140</v>
      </c>
      <c r="H613" t="s">
        <v>125</v>
      </c>
      <c r="I613">
        <v>1</v>
      </c>
      <c r="J613">
        <v>350</v>
      </c>
      <c r="K613">
        <v>0.05</v>
      </c>
      <c r="L613">
        <v>332.5</v>
      </c>
      <c r="M613">
        <v>170</v>
      </c>
      <c r="N613">
        <v>162.5</v>
      </c>
    </row>
    <row r="614" spans="1:14" x14ac:dyDescent="0.35">
      <c r="A614" t="s">
        <v>1083</v>
      </c>
      <c r="B614" t="s">
        <v>1080</v>
      </c>
      <c r="C614" t="s">
        <v>364</v>
      </c>
      <c r="D614" t="s">
        <v>54</v>
      </c>
      <c r="E614" t="s">
        <v>116</v>
      </c>
      <c r="F614" t="s">
        <v>45</v>
      </c>
      <c r="G614" t="s">
        <v>70</v>
      </c>
      <c r="H614" t="s">
        <v>39</v>
      </c>
      <c r="I614">
        <v>9</v>
      </c>
      <c r="J614">
        <v>450</v>
      </c>
      <c r="K614">
        <v>0.05</v>
      </c>
      <c r="L614">
        <v>3847.5</v>
      </c>
      <c r="M614">
        <v>2250</v>
      </c>
      <c r="N614">
        <v>1597.5</v>
      </c>
    </row>
    <row r="615" spans="1:14" x14ac:dyDescent="0.35">
      <c r="A615" t="s">
        <v>1084</v>
      </c>
      <c r="B615" t="s">
        <v>1085</v>
      </c>
      <c r="C615" t="s">
        <v>102</v>
      </c>
      <c r="D615" t="s">
        <v>17</v>
      </c>
      <c r="E615" t="s">
        <v>65</v>
      </c>
      <c r="F615" t="s">
        <v>45</v>
      </c>
      <c r="G615" t="s">
        <v>70</v>
      </c>
      <c r="H615" t="s">
        <v>29</v>
      </c>
      <c r="I615">
        <v>6</v>
      </c>
      <c r="J615">
        <v>2200</v>
      </c>
      <c r="K615">
        <v>0</v>
      </c>
      <c r="L615">
        <v>13200</v>
      </c>
      <c r="M615">
        <v>8400</v>
      </c>
      <c r="N615">
        <v>4800</v>
      </c>
    </row>
    <row r="616" spans="1:14" x14ac:dyDescent="0.35">
      <c r="A616" t="s">
        <v>1086</v>
      </c>
      <c r="B616" t="s">
        <v>1085</v>
      </c>
      <c r="C616" t="s">
        <v>1013</v>
      </c>
      <c r="D616" t="s">
        <v>54</v>
      </c>
      <c r="E616" t="s">
        <v>55</v>
      </c>
      <c r="F616" t="s">
        <v>19</v>
      </c>
      <c r="G616" t="s">
        <v>20</v>
      </c>
      <c r="H616" t="s">
        <v>39</v>
      </c>
      <c r="I616">
        <v>4</v>
      </c>
      <c r="J616">
        <v>180</v>
      </c>
      <c r="K616">
        <v>0</v>
      </c>
      <c r="L616">
        <v>720</v>
      </c>
      <c r="M616">
        <v>360</v>
      </c>
      <c r="N616">
        <v>360</v>
      </c>
    </row>
    <row r="617" spans="1:14" x14ac:dyDescent="0.35">
      <c r="A617" t="s">
        <v>1087</v>
      </c>
      <c r="B617" t="s">
        <v>1088</v>
      </c>
      <c r="C617" t="s">
        <v>88</v>
      </c>
      <c r="D617" t="s">
        <v>25</v>
      </c>
      <c r="E617" t="s">
        <v>69</v>
      </c>
      <c r="F617" t="s">
        <v>27</v>
      </c>
      <c r="G617" t="s">
        <v>51</v>
      </c>
      <c r="H617" t="s">
        <v>47</v>
      </c>
      <c r="I617">
        <v>6</v>
      </c>
      <c r="J617">
        <v>350</v>
      </c>
      <c r="K617">
        <v>0</v>
      </c>
      <c r="L617">
        <v>2100</v>
      </c>
      <c r="M617">
        <v>1080</v>
      </c>
      <c r="N617">
        <v>1020</v>
      </c>
    </row>
    <row r="618" spans="1:14" x14ac:dyDescent="0.35">
      <c r="A618" t="s">
        <v>1089</v>
      </c>
      <c r="B618" t="s">
        <v>1088</v>
      </c>
      <c r="C618" t="s">
        <v>670</v>
      </c>
      <c r="D618" t="s">
        <v>43</v>
      </c>
      <c r="E618" t="s">
        <v>62</v>
      </c>
      <c r="F618" t="s">
        <v>45</v>
      </c>
      <c r="G618" t="s">
        <v>104</v>
      </c>
      <c r="H618" t="s">
        <v>125</v>
      </c>
      <c r="I618">
        <v>6</v>
      </c>
      <c r="J618">
        <v>500</v>
      </c>
      <c r="K618">
        <v>0</v>
      </c>
      <c r="L618">
        <v>3000</v>
      </c>
      <c r="M618">
        <v>1680</v>
      </c>
      <c r="N618">
        <v>1320</v>
      </c>
    </row>
    <row r="619" spans="1:14" x14ac:dyDescent="0.35">
      <c r="A619" t="s">
        <v>1090</v>
      </c>
      <c r="B619" t="s">
        <v>1088</v>
      </c>
      <c r="C619" t="s">
        <v>178</v>
      </c>
      <c r="D619" t="s">
        <v>54</v>
      </c>
      <c r="E619" t="s">
        <v>110</v>
      </c>
      <c r="F619" t="s">
        <v>37</v>
      </c>
      <c r="G619" t="s">
        <v>140</v>
      </c>
      <c r="H619" t="s">
        <v>39</v>
      </c>
      <c r="I619">
        <v>3</v>
      </c>
      <c r="J619">
        <v>280</v>
      </c>
      <c r="K619">
        <v>0.05</v>
      </c>
      <c r="L619">
        <v>798</v>
      </c>
      <c r="M619">
        <v>450</v>
      </c>
      <c r="N619">
        <v>348</v>
      </c>
    </row>
    <row r="620" spans="1:14" x14ac:dyDescent="0.35">
      <c r="A620" t="s">
        <v>1091</v>
      </c>
      <c r="B620" t="s">
        <v>1088</v>
      </c>
      <c r="C620" t="s">
        <v>234</v>
      </c>
      <c r="D620" t="s">
        <v>25</v>
      </c>
      <c r="E620" t="s">
        <v>26</v>
      </c>
      <c r="F620" t="s">
        <v>45</v>
      </c>
      <c r="G620" t="s">
        <v>70</v>
      </c>
      <c r="H620" t="s">
        <v>39</v>
      </c>
      <c r="I620">
        <v>4</v>
      </c>
      <c r="J620">
        <v>600</v>
      </c>
      <c r="K620">
        <v>0</v>
      </c>
      <c r="L620">
        <v>2400</v>
      </c>
      <c r="M620">
        <v>1320</v>
      </c>
      <c r="N620">
        <v>1080</v>
      </c>
    </row>
    <row r="621" spans="1:14" x14ac:dyDescent="0.35">
      <c r="A621" t="s">
        <v>1092</v>
      </c>
      <c r="B621" t="s">
        <v>1093</v>
      </c>
      <c r="C621" t="s">
        <v>158</v>
      </c>
      <c r="D621" t="s">
        <v>54</v>
      </c>
      <c r="E621" t="s">
        <v>110</v>
      </c>
      <c r="F621" t="s">
        <v>27</v>
      </c>
      <c r="G621" t="s">
        <v>28</v>
      </c>
      <c r="H621" t="s">
        <v>33</v>
      </c>
      <c r="I621">
        <v>6</v>
      </c>
      <c r="J621">
        <v>280</v>
      </c>
      <c r="K621">
        <v>0.1</v>
      </c>
      <c r="L621">
        <v>1512</v>
      </c>
      <c r="M621">
        <v>900</v>
      </c>
      <c r="N621">
        <v>612</v>
      </c>
    </row>
    <row r="622" spans="1:14" x14ac:dyDescent="0.35">
      <c r="A622" t="s">
        <v>1094</v>
      </c>
      <c r="B622" t="s">
        <v>1093</v>
      </c>
      <c r="C622" t="s">
        <v>412</v>
      </c>
      <c r="D622" t="s">
        <v>54</v>
      </c>
      <c r="E622" t="s">
        <v>107</v>
      </c>
      <c r="F622" t="s">
        <v>37</v>
      </c>
      <c r="G622" t="s">
        <v>140</v>
      </c>
      <c r="H622" t="s">
        <v>125</v>
      </c>
      <c r="I622">
        <v>4</v>
      </c>
      <c r="J622">
        <v>120</v>
      </c>
      <c r="K622">
        <v>0</v>
      </c>
      <c r="L622">
        <v>480</v>
      </c>
      <c r="M622">
        <v>220</v>
      </c>
      <c r="N622">
        <v>260</v>
      </c>
    </row>
    <row r="623" spans="1:14" x14ac:dyDescent="0.35">
      <c r="A623" t="s">
        <v>1095</v>
      </c>
      <c r="B623" t="s">
        <v>1096</v>
      </c>
      <c r="C623" t="s">
        <v>248</v>
      </c>
      <c r="D623" t="s">
        <v>25</v>
      </c>
      <c r="E623" t="s">
        <v>89</v>
      </c>
      <c r="F623" t="s">
        <v>45</v>
      </c>
      <c r="G623" t="s">
        <v>104</v>
      </c>
      <c r="H623" t="s">
        <v>125</v>
      </c>
      <c r="I623">
        <v>7</v>
      </c>
      <c r="J623">
        <v>550</v>
      </c>
      <c r="K623">
        <v>0</v>
      </c>
      <c r="L623">
        <v>3850</v>
      </c>
      <c r="M623">
        <v>2100</v>
      </c>
      <c r="N623">
        <v>1750</v>
      </c>
    </row>
    <row r="624" spans="1:14" x14ac:dyDescent="0.35">
      <c r="A624" t="s">
        <v>1097</v>
      </c>
      <c r="B624" t="s">
        <v>1096</v>
      </c>
      <c r="C624" t="s">
        <v>412</v>
      </c>
      <c r="D624" t="s">
        <v>43</v>
      </c>
      <c r="E624" t="s">
        <v>44</v>
      </c>
      <c r="F624" t="s">
        <v>27</v>
      </c>
      <c r="G624" t="s">
        <v>90</v>
      </c>
      <c r="H624" t="s">
        <v>21</v>
      </c>
      <c r="I624">
        <v>4</v>
      </c>
      <c r="J624">
        <v>2200</v>
      </c>
      <c r="K624">
        <v>0.05</v>
      </c>
      <c r="L624">
        <v>8360</v>
      </c>
      <c r="M624">
        <v>5800</v>
      </c>
      <c r="N624">
        <v>2560</v>
      </c>
    </row>
    <row r="625" spans="1:14" x14ac:dyDescent="0.35">
      <c r="A625" t="s">
        <v>1098</v>
      </c>
      <c r="B625" t="s">
        <v>1099</v>
      </c>
      <c r="C625" t="s">
        <v>79</v>
      </c>
      <c r="D625" t="s">
        <v>25</v>
      </c>
      <c r="E625" t="s">
        <v>26</v>
      </c>
      <c r="F625" t="s">
        <v>45</v>
      </c>
      <c r="G625" t="s">
        <v>122</v>
      </c>
      <c r="H625" t="s">
        <v>21</v>
      </c>
      <c r="I625">
        <v>3</v>
      </c>
      <c r="J625">
        <v>600</v>
      </c>
      <c r="K625">
        <v>0.15</v>
      </c>
      <c r="L625">
        <v>1530</v>
      </c>
      <c r="M625">
        <v>990</v>
      </c>
      <c r="N625">
        <v>540</v>
      </c>
    </row>
    <row r="626" spans="1:14" x14ac:dyDescent="0.35">
      <c r="A626" t="s">
        <v>1100</v>
      </c>
      <c r="B626" t="s">
        <v>1099</v>
      </c>
      <c r="C626" t="s">
        <v>392</v>
      </c>
      <c r="D626" t="s">
        <v>25</v>
      </c>
      <c r="E626" t="s">
        <v>69</v>
      </c>
      <c r="F626" t="s">
        <v>37</v>
      </c>
      <c r="G626" t="s">
        <v>97</v>
      </c>
      <c r="H626" t="s">
        <v>125</v>
      </c>
      <c r="I626">
        <v>10</v>
      </c>
      <c r="J626">
        <v>350</v>
      </c>
      <c r="K626">
        <v>0.05</v>
      </c>
      <c r="L626">
        <v>3325</v>
      </c>
      <c r="M626">
        <v>1800</v>
      </c>
      <c r="N626">
        <v>1525</v>
      </c>
    </row>
    <row r="627" spans="1:14" x14ac:dyDescent="0.35">
      <c r="A627" t="s">
        <v>1101</v>
      </c>
      <c r="B627" t="s">
        <v>1102</v>
      </c>
      <c r="C627" t="s">
        <v>175</v>
      </c>
      <c r="D627" t="s">
        <v>17</v>
      </c>
      <c r="E627" t="s">
        <v>124</v>
      </c>
      <c r="F627" t="s">
        <v>27</v>
      </c>
      <c r="G627" t="s">
        <v>28</v>
      </c>
      <c r="H627" t="s">
        <v>47</v>
      </c>
      <c r="I627">
        <v>6</v>
      </c>
      <c r="J627">
        <v>1200</v>
      </c>
      <c r="K627">
        <v>0.05</v>
      </c>
      <c r="L627">
        <v>6840</v>
      </c>
      <c r="M627">
        <v>4320</v>
      </c>
      <c r="N627">
        <v>2520</v>
      </c>
    </row>
    <row r="628" spans="1:14" x14ac:dyDescent="0.35">
      <c r="A628" t="s">
        <v>1103</v>
      </c>
      <c r="B628" t="s">
        <v>1102</v>
      </c>
      <c r="C628" t="s">
        <v>691</v>
      </c>
      <c r="D628" t="s">
        <v>17</v>
      </c>
      <c r="E628" t="s">
        <v>65</v>
      </c>
      <c r="F628" t="s">
        <v>37</v>
      </c>
      <c r="G628" t="s">
        <v>73</v>
      </c>
      <c r="H628" t="s">
        <v>125</v>
      </c>
      <c r="I628">
        <v>3</v>
      </c>
      <c r="J628">
        <v>2200</v>
      </c>
      <c r="K628">
        <v>0</v>
      </c>
      <c r="L628">
        <v>6600</v>
      </c>
      <c r="M628">
        <v>4200</v>
      </c>
      <c r="N628">
        <v>2400</v>
      </c>
    </row>
    <row r="629" spans="1:14" x14ac:dyDescent="0.35">
      <c r="A629" t="s">
        <v>1104</v>
      </c>
      <c r="B629" t="s">
        <v>1102</v>
      </c>
      <c r="C629" t="s">
        <v>282</v>
      </c>
      <c r="D629" t="s">
        <v>25</v>
      </c>
      <c r="E629" t="s">
        <v>80</v>
      </c>
      <c r="F629" t="s">
        <v>37</v>
      </c>
      <c r="G629" t="s">
        <v>38</v>
      </c>
      <c r="H629" t="s">
        <v>125</v>
      </c>
      <c r="I629">
        <v>5</v>
      </c>
      <c r="J629">
        <v>950</v>
      </c>
      <c r="K629">
        <v>0.05</v>
      </c>
      <c r="L629">
        <v>4512.5</v>
      </c>
      <c r="M629">
        <v>2800</v>
      </c>
      <c r="N629">
        <v>1712.5</v>
      </c>
    </row>
    <row r="630" spans="1:14" x14ac:dyDescent="0.35">
      <c r="A630" t="s">
        <v>1105</v>
      </c>
      <c r="B630" t="s">
        <v>1102</v>
      </c>
      <c r="C630" t="s">
        <v>653</v>
      </c>
      <c r="D630" t="s">
        <v>54</v>
      </c>
      <c r="E630" t="s">
        <v>116</v>
      </c>
      <c r="F630" t="s">
        <v>19</v>
      </c>
      <c r="G630" t="s">
        <v>56</v>
      </c>
      <c r="H630" t="s">
        <v>29</v>
      </c>
      <c r="I630">
        <v>1</v>
      </c>
      <c r="J630">
        <v>450</v>
      </c>
      <c r="K630">
        <v>0</v>
      </c>
      <c r="L630">
        <v>450</v>
      </c>
      <c r="M630">
        <v>250</v>
      </c>
      <c r="N630">
        <v>200</v>
      </c>
    </row>
    <row r="631" spans="1:14" x14ac:dyDescent="0.35">
      <c r="A631" t="s">
        <v>1106</v>
      </c>
      <c r="B631" t="s">
        <v>1107</v>
      </c>
      <c r="C631" t="s">
        <v>328</v>
      </c>
      <c r="D631" t="s">
        <v>25</v>
      </c>
      <c r="E631" t="s">
        <v>36</v>
      </c>
      <c r="F631" t="s">
        <v>27</v>
      </c>
      <c r="G631" t="s">
        <v>90</v>
      </c>
      <c r="H631" t="s">
        <v>21</v>
      </c>
      <c r="I631">
        <v>7</v>
      </c>
      <c r="J631">
        <v>700</v>
      </c>
      <c r="K631">
        <v>0.05</v>
      </c>
      <c r="L631">
        <v>4655</v>
      </c>
      <c r="M631">
        <v>2800</v>
      </c>
      <c r="N631">
        <v>1855</v>
      </c>
    </row>
    <row r="632" spans="1:14" x14ac:dyDescent="0.35">
      <c r="A632" t="s">
        <v>1108</v>
      </c>
      <c r="B632" t="s">
        <v>1107</v>
      </c>
      <c r="C632" t="s">
        <v>615</v>
      </c>
      <c r="D632" t="s">
        <v>25</v>
      </c>
      <c r="E632" t="s">
        <v>26</v>
      </c>
      <c r="F632" t="s">
        <v>45</v>
      </c>
      <c r="G632" t="s">
        <v>122</v>
      </c>
      <c r="H632" t="s">
        <v>39</v>
      </c>
      <c r="I632">
        <v>10</v>
      </c>
      <c r="J632">
        <v>600</v>
      </c>
      <c r="K632">
        <v>0</v>
      </c>
      <c r="L632">
        <v>6000</v>
      </c>
      <c r="M632">
        <v>3300</v>
      </c>
      <c r="N632">
        <v>2700</v>
      </c>
    </row>
    <row r="633" spans="1:14" x14ac:dyDescent="0.35">
      <c r="A633" t="s">
        <v>1109</v>
      </c>
      <c r="B633" t="s">
        <v>1110</v>
      </c>
      <c r="C633" t="s">
        <v>715</v>
      </c>
      <c r="D633" t="s">
        <v>25</v>
      </c>
      <c r="E633" t="s">
        <v>89</v>
      </c>
      <c r="F633" t="s">
        <v>19</v>
      </c>
      <c r="G633" t="s">
        <v>56</v>
      </c>
      <c r="H633" t="s">
        <v>21</v>
      </c>
      <c r="I633">
        <v>2</v>
      </c>
      <c r="J633">
        <v>550</v>
      </c>
      <c r="K633">
        <v>0</v>
      </c>
      <c r="L633">
        <v>1100</v>
      </c>
      <c r="M633">
        <v>600</v>
      </c>
      <c r="N633">
        <v>500</v>
      </c>
    </row>
    <row r="634" spans="1:14" x14ac:dyDescent="0.35">
      <c r="A634" t="s">
        <v>1111</v>
      </c>
      <c r="B634" t="s">
        <v>1110</v>
      </c>
      <c r="C634" t="s">
        <v>189</v>
      </c>
      <c r="D634" t="s">
        <v>43</v>
      </c>
      <c r="E634" t="s">
        <v>143</v>
      </c>
      <c r="F634" t="s">
        <v>27</v>
      </c>
      <c r="G634" t="s">
        <v>51</v>
      </c>
      <c r="H634" t="s">
        <v>21</v>
      </c>
      <c r="I634">
        <v>6</v>
      </c>
      <c r="J634">
        <v>650</v>
      </c>
      <c r="K634">
        <v>0.05</v>
      </c>
      <c r="L634">
        <v>3705</v>
      </c>
      <c r="M634">
        <v>2100</v>
      </c>
      <c r="N634">
        <v>1605</v>
      </c>
    </row>
    <row r="635" spans="1:14" x14ac:dyDescent="0.35">
      <c r="A635" t="s">
        <v>1112</v>
      </c>
      <c r="B635" t="s">
        <v>1113</v>
      </c>
      <c r="C635" t="s">
        <v>131</v>
      </c>
      <c r="D635" t="s">
        <v>25</v>
      </c>
      <c r="E635" t="s">
        <v>80</v>
      </c>
      <c r="F635" t="s">
        <v>37</v>
      </c>
      <c r="G635" t="s">
        <v>97</v>
      </c>
      <c r="H635" t="s">
        <v>39</v>
      </c>
      <c r="I635">
        <v>6</v>
      </c>
      <c r="J635">
        <v>950</v>
      </c>
      <c r="K635">
        <v>0.05</v>
      </c>
      <c r="L635">
        <v>5415</v>
      </c>
      <c r="M635">
        <v>3360</v>
      </c>
      <c r="N635">
        <v>2055</v>
      </c>
    </row>
    <row r="636" spans="1:14" x14ac:dyDescent="0.35">
      <c r="A636" t="s">
        <v>1114</v>
      </c>
      <c r="B636" t="s">
        <v>1115</v>
      </c>
      <c r="C636" t="s">
        <v>275</v>
      </c>
      <c r="D636" t="s">
        <v>25</v>
      </c>
      <c r="E636" t="s">
        <v>69</v>
      </c>
      <c r="F636" t="s">
        <v>19</v>
      </c>
      <c r="G636" t="s">
        <v>20</v>
      </c>
      <c r="H636" t="s">
        <v>21</v>
      </c>
      <c r="I636">
        <v>6</v>
      </c>
      <c r="J636">
        <v>350</v>
      </c>
      <c r="K636">
        <v>0</v>
      </c>
      <c r="L636">
        <v>2100</v>
      </c>
      <c r="M636">
        <v>1080</v>
      </c>
      <c r="N636">
        <v>1020</v>
      </c>
    </row>
    <row r="637" spans="1:14" x14ac:dyDescent="0.35">
      <c r="A637" t="s">
        <v>1116</v>
      </c>
      <c r="B637" t="s">
        <v>1115</v>
      </c>
      <c r="C637" t="s">
        <v>53</v>
      </c>
      <c r="D637" t="s">
        <v>43</v>
      </c>
      <c r="E637" t="s">
        <v>62</v>
      </c>
      <c r="F637" t="s">
        <v>19</v>
      </c>
      <c r="G637" t="s">
        <v>113</v>
      </c>
      <c r="H637" t="s">
        <v>125</v>
      </c>
      <c r="I637">
        <v>8</v>
      </c>
      <c r="J637">
        <v>500</v>
      </c>
      <c r="K637">
        <v>0</v>
      </c>
      <c r="L637">
        <v>4000</v>
      </c>
      <c r="M637">
        <v>2240</v>
      </c>
      <c r="N637">
        <v>1760</v>
      </c>
    </row>
    <row r="638" spans="1:14" x14ac:dyDescent="0.35">
      <c r="A638" t="s">
        <v>1117</v>
      </c>
      <c r="B638" t="s">
        <v>1115</v>
      </c>
      <c r="C638" t="s">
        <v>464</v>
      </c>
      <c r="D638" t="s">
        <v>43</v>
      </c>
      <c r="E638" t="s">
        <v>62</v>
      </c>
      <c r="F638" t="s">
        <v>19</v>
      </c>
      <c r="G638" t="s">
        <v>113</v>
      </c>
      <c r="H638" t="s">
        <v>33</v>
      </c>
      <c r="I638">
        <v>10</v>
      </c>
      <c r="J638">
        <v>500</v>
      </c>
      <c r="K638">
        <v>0</v>
      </c>
      <c r="L638">
        <v>5000</v>
      </c>
      <c r="M638">
        <v>2800</v>
      </c>
      <c r="N638">
        <v>2200</v>
      </c>
    </row>
    <row r="639" spans="1:14" x14ac:dyDescent="0.35">
      <c r="A639" t="s">
        <v>1118</v>
      </c>
      <c r="B639" t="s">
        <v>1119</v>
      </c>
      <c r="C639" t="s">
        <v>325</v>
      </c>
      <c r="D639" t="s">
        <v>25</v>
      </c>
      <c r="E639" t="s">
        <v>80</v>
      </c>
      <c r="F639" t="s">
        <v>37</v>
      </c>
      <c r="G639" t="s">
        <v>73</v>
      </c>
      <c r="H639" t="s">
        <v>39</v>
      </c>
      <c r="I639">
        <v>4</v>
      </c>
      <c r="J639">
        <v>950</v>
      </c>
      <c r="K639">
        <v>0</v>
      </c>
      <c r="L639">
        <v>3800</v>
      </c>
      <c r="M639">
        <v>2240</v>
      </c>
      <c r="N639">
        <v>1560</v>
      </c>
    </row>
    <row r="640" spans="1:14" x14ac:dyDescent="0.35">
      <c r="A640" t="s">
        <v>1120</v>
      </c>
      <c r="B640" t="s">
        <v>1119</v>
      </c>
      <c r="C640" t="s">
        <v>534</v>
      </c>
      <c r="D640" t="s">
        <v>17</v>
      </c>
      <c r="E640" t="s">
        <v>65</v>
      </c>
      <c r="F640" t="s">
        <v>27</v>
      </c>
      <c r="G640" t="s">
        <v>85</v>
      </c>
      <c r="H640" t="s">
        <v>33</v>
      </c>
      <c r="I640">
        <v>10</v>
      </c>
      <c r="J640">
        <v>2200</v>
      </c>
      <c r="K640">
        <v>0.1</v>
      </c>
      <c r="L640">
        <v>19800</v>
      </c>
      <c r="M640">
        <v>14000</v>
      </c>
      <c r="N640">
        <v>5800</v>
      </c>
    </row>
    <row r="641" spans="1:14" x14ac:dyDescent="0.35">
      <c r="A641" t="s">
        <v>1121</v>
      </c>
      <c r="B641" t="s">
        <v>1119</v>
      </c>
      <c r="C641" t="s">
        <v>1122</v>
      </c>
      <c r="D641" t="s">
        <v>17</v>
      </c>
      <c r="E641" t="s">
        <v>18</v>
      </c>
      <c r="F641" t="s">
        <v>45</v>
      </c>
      <c r="G641" t="s">
        <v>70</v>
      </c>
      <c r="H641" t="s">
        <v>29</v>
      </c>
      <c r="I641">
        <v>10</v>
      </c>
      <c r="J641">
        <v>1800</v>
      </c>
      <c r="K641">
        <v>0</v>
      </c>
      <c r="L641">
        <v>18000</v>
      </c>
      <c r="M641">
        <v>11000</v>
      </c>
      <c r="N641">
        <v>7000</v>
      </c>
    </row>
    <row r="642" spans="1:14" x14ac:dyDescent="0.35">
      <c r="A642" t="s">
        <v>1123</v>
      </c>
      <c r="B642" t="s">
        <v>1119</v>
      </c>
      <c r="C642" t="s">
        <v>830</v>
      </c>
      <c r="D642" t="s">
        <v>25</v>
      </c>
      <c r="E642" t="s">
        <v>80</v>
      </c>
      <c r="F642" t="s">
        <v>45</v>
      </c>
      <c r="G642" t="s">
        <v>70</v>
      </c>
      <c r="H642" t="s">
        <v>21</v>
      </c>
      <c r="I642">
        <v>6</v>
      </c>
      <c r="J642">
        <v>950</v>
      </c>
      <c r="K642">
        <v>0</v>
      </c>
      <c r="L642">
        <v>5700</v>
      </c>
      <c r="M642">
        <v>3360</v>
      </c>
      <c r="N642">
        <v>2340</v>
      </c>
    </row>
    <row r="643" spans="1:14" x14ac:dyDescent="0.35">
      <c r="A643" t="s">
        <v>1124</v>
      </c>
      <c r="B643" t="s">
        <v>1119</v>
      </c>
      <c r="C643" t="s">
        <v>16</v>
      </c>
      <c r="D643" t="s">
        <v>17</v>
      </c>
      <c r="E643" t="s">
        <v>50</v>
      </c>
      <c r="F643" t="s">
        <v>45</v>
      </c>
      <c r="G643" t="s">
        <v>46</v>
      </c>
      <c r="H643" t="s">
        <v>125</v>
      </c>
      <c r="I643">
        <v>9</v>
      </c>
      <c r="J643">
        <v>650</v>
      </c>
      <c r="K643">
        <v>0</v>
      </c>
      <c r="L643">
        <v>5850</v>
      </c>
      <c r="M643">
        <v>3420</v>
      </c>
      <c r="N643">
        <v>2430</v>
      </c>
    </row>
    <row r="644" spans="1:14" x14ac:dyDescent="0.35">
      <c r="A644" t="s">
        <v>1125</v>
      </c>
      <c r="B644" t="s">
        <v>1126</v>
      </c>
      <c r="C644" t="s">
        <v>821</v>
      </c>
      <c r="D644" t="s">
        <v>54</v>
      </c>
      <c r="E644" t="s">
        <v>107</v>
      </c>
      <c r="F644" t="s">
        <v>27</v>
      </c>
      <c r="G644" t="s">
        <v>90</v>
      </c>
      <c r="H644" t="s">
        <v>29</v>
      </c>
      <c r="I644">
        <v>4</v>
      </c>
      <c r="J644">
        <v>120</v>
      </c>
      <c r="K644">
        <v>0</v>
      </c>
      <c r="L644">
        <v>480</v>
      </c>
      <c r="M644">
        <v>220</v>
      </c>
      <c r="N644">
        <v>260</v>
      </c>
    </row>
    <row r="645" spans="1:14" x14ac:dyDescent="0.35">
      <c r="A645" t="s">
        <v>1127</v>
      </c>
      <c r="B645" t="s">
        <v>1128</v>
      </c>
      <c r="C645" t="s">
        <v>189</v>
      </c>
      <c r="D645" t="s">
        <v>17</v>
      </c>
      <c r="E645" t="s">
        <v>65</v>
      </c>
      <c r="F645" t="s">
        <v>37</v>
      </c>
      <c r="G645" t="s">
        <v>73</v>
      </c>
      <c r="H645" t="s">
        <v>21</v>
      </c>
      <c r="I645">
        <v>1</v>
      </c>
      <c r="J645">
        <v>2200</v>
      </c>
      <c r="K645">
        <v>0</v>
      </c>
      <c r="L645">
        <v>2200</v>
      </c>
      <c r="M645">
        <v>1400</v>
      </c>
      <c r="N645">
        <v>800</v>
      </c>
    </row>
    <row r="646" spans="1:14" x14ac:dyDescent="0.35">
      <c r="A646" t="s">
        <v>1129</v>
      </c>
      <c r="B646" t="s">
        <v>1128</v>
      </c>
      <c r="C646" t="s">
        <v>485</v>
      </c>
      <c r="D646" t="s">
        <v>17</v>
      </c>
      <c r="E646" t="s">
        <v>18</v>
      </c>
      <c r="F646" t="s">
        <v>27</v>
      </c>
      <c r="G646" t="s">
        <v>28</v>
      </c>
      <c r="H646" t="s">
        <v>47</v>
      </c>
      <c r="I646">
        <v>2</v>
      </c>
      <c r="J646">
        <v>1800</v>
      </c>
      <c r="K646">
        <v>0.05</v>
      </c>
      <c r="L646">
        <v>3420</v>
      </c>
      <c r="M646">
        <v>2200</v>
      </c>
      <c r="N646">
        <v>1220</v>
      </c>
    </row>
    <row r="647" spans="1:14" x14ac:dyDescent="0.35">
      <c r="A647" t="s">
        <v>1130</v>
      </c>
      <c r="B647" t="s">
        <v>1131</v>
      </c>
      <c r="C647" t="s">
        <v>99</v>
      </c>
      <c r="D647" t="s">
        <v>54</v>
      </c>
      <c r="E647" t="s">
        <v>55</v>
      </c>
      <c r="F647" t="s">
        <v>27</v>
      </c>
      <c r="G647" t="s">
        <v>28</v>
      </c>
      <c r="H647" t="s">
        <v>39</v>
      </c>
      <c r="I647">
        <v>9</v>
      </c>
      <c r="J647">
        <v>180</v>
      </c>
      <c r="K647">
        <v>0</v>
      </c>
      <c r="L647">
        <v>1620</v>
      </c>
      <c r="M647">
        <v>810</v>
      </c>
      <c r="N647">
        <v>810</v>
      </c>
    </row>
    <row r="648" spans="1:14" x14ac:dyDescent="0.35">
      <c r="A648" t="s">
        <v>1132</v>
      </c>
      <c r="B648" t="s">
        <v>1131</v>
      </c>
      <c r="C648" t="s">
        <v>691</v>
      </c>
      <c r="D648" t="s">
        <v>25</v>
      </c>
      <c r="E648" t="s">
        <v>36</v>
      </c>
      <c r="F648" t="s">
        <v>45</v>
      </c>
      <c r="G648" t="s">
        <v>46</v>
      </c>
      <c r="H648" t="s">
        <v>125</v>
      </c>
      <c r="I648">
        <v>7</v>
      </c>
      <c r="J648">
        <v>700</v>
      </c>
      <c r="K648">
        <v>0.05</v>
      </c>
      <c r="L648">
        <v>4655</v>
      </c>
      <c r="M648">
        <v>2800</v>
      </c>
      <c r="N648">
        <v>1855</v>
      </c>
    </row>
    <row r="649" spans="1:14" x14ac:dyDescent="0.35">
      <c r="A649" t="s">
        <v>1133</v>
      </c>
      <c r="B649" t="s">
        <v>1131</v>
      </c>
      <c r="C649" t="s">
        <v>102</v>
      </c>
      <c r="D649" t="s">
        <v>54</v>
      </c>
      <c r="E649" t="s">
        <v>110</v>
      </c>
      <c r="F649" t="s">
        <v>45</v>
      </c>
      <c r="G649" t="s">
        <v>122</v>
      </c>
      <c r="H649" t="s">
        <v>125</v>
      </c>
      <c r="I649">
        <v>2</v>
      </c>
      <c r="J649">
        <v>280</v>
      </c>
      <c r="K649">
        <v>0</v>
      </c>
      <c r="L649">
        <v>560</v>
      </c>
      <c r="M649">
        <v>300</v>
      </c>
      <c r="N649">
        <v>260</v>
      </c>
    </row>
    <row r="650" spans="1:14" x14ac:dyDescent="0.35">
      <c r="A650" t="s">
        <v>1134</v>
      </c>
      <c r="B650" t="s">
        <v>1131</v>
      </c>
      <c r="C650" t="s">
        <v>42</v>
      </c>
      <c r="D650" t="s">
        <v>25</v>
      </c>
      <c r="E650" t="s">
        <v>69</v>
      </c>
      <c r="F650" t="s">
        <v>37</v>
      </c>
      <c r="G650" t="s">
        <v>73</v>
      </c>
      <c r="H650" t="s">
        <v>39</v>
      </c>
      <c r="I650">
        <v>7</v>
      </c>
      <c r="J650">
        <v>350</v>
      </c>
      <c r="K650">
        <v>0</v>
      </c>
      <c r="L650">
        <v>2450</v>
      </c>
      <c r="M650">
        <v>1260</v>
      </c>
      <c r="N650">
        <v>1190</v>
      </c>
    </row>
    <row r="651" spans="1:14" x14ac:dyDescent="0.35">
      <c r="A651" t="s">
        <v>1135</v>
      </c>
      <c r="B651" t="s">
        <v>1131</v>
      </c>
      <c r="C651" t="s">
        <v>217</v>
      </c>
      <c r="D651" t="s">
        <v>17</v>
      </c>
      <c r="E651" t="s">
        <v>124</v>
      </c>
      <c r="F651" t="s">
        <v>27</v>
      </c>
      <c r="G651" t="s">
        <v>51</v>
      </c>
      <c r="H651" t="s">
        <v>39</v>
      </c>
      <c r="I651">
        <v>2</v>
      </c>
      <c r="J651">
        <v>1200</v>
      </c>
      <c r="K651">
        <v>0.05</v>
      </c>
      <c r="L651">
        <v>2280</v>
      </c>
      <c r="M651">
        <v>1440</v>
      </c>
      <c r="N651">
        <v>840</v>
      </c>
    </row>
    <row r="652" spans="1:14" x14ac:dyDescent="0.35">
      <c r="A652" t="s">
        <v>1136</v>
      </c>
      <c r="B652" t="s">
        <v>1131</v>
      </c>
      <c r="C652" t="s">
        <v>99</v>
      </c>
      <c r="D652" t="s">
        <v>17</v>
      </c>
      <c r="E652" t="s">
        <v>32</v>
      </c>
      <c r="F652" t="s">
        <v>27</v>
      </c>
      <c r="G652" t="s">
        <v>85</v>
      </c>
      <c r="H652" t="s">
        <v>47</v>
      </c>
      <c r="I652">
        <v>6</v>
      </c>
      <c r="J652">
        <v>1500</v>
      </c>
      <c r="K652">
        <v>0</v>
      </c>
      <c r="L652">
        <v>9000</v>
      </c>
      <c r="M652">
        <v>5400</v>
      </c>
      <c r="N652">
        <v>3600</v>
      </c>
    </row>
    <row r="653" spans="1:14" x14ac:dyDescent="0.35">
      <c r="A653" t="s">
        <v>1137</v>
      </c>
      <c r="B653" t="s">
        <v>1131</v>
      </c>
      <c r="C653" t="s">
        <v>557</v>
      </c>
      <c r="D653" t="s">
        <v>43</v>
      </c>
      <c r="E653" t="s">
        <v>62</v>
      </c>
      <c r="F653" t="s">
        <v>27</v>
      </c>
      <c r="G653" t="s">
        <v>90</v>
      </c>
      <c r="H653" t="s">
        <v>33</v>
      </c>
      <c r="I653">
        <v>5</v>
      </c>
      <c r="J653">
        <v>500</v>
      </c>
      <c r="K653">
        <v>0.05</v>
      </c>
      <c r="L653">
        <v>2375</v>
      </c>
      <c r="M653">
        <v>1400</v>
      </c>
      <c r="N653">
        <v>975</v>
      </c>
    </row>
    <row r="654" spans="1:14" x14ac:dyDescent="0.35">
      <c r="A654" t="s">
        <v>1138</v>
      </c>
      <c r="B654" t="s">
        <v>1139</v>
      </c>
      <c r="C654" t="s">
        <v>861</v>
      </c>
      <c r="D654" t="s">
        <v>17</v>
      </c>
      <c r="E654" t="s">
        <v>65</v>
      </c>
      <c r="F654" t="s">
        <v>45</v>
      </c>
      <c r="G654" t="s">
        <v>122</v>
      </c>
      <c r="H654" t="s">
        <v>39</v>
      </c>
      <c r="I654">
        <v>8</v>
      </c>
      <c r="J654">
        <v>2200</v>
      </c>
      <c r="K654">
        <v>0.1</v>
      </c>
      <c r="L654">
        <v>15840</v>
      </c>
      <c r="M654">
        <v>11200</v>
      </c>
      <c r="N654">
        <v>4640</v>
      </c>
    </row>
    <row r="655" spans="1:14" x14ac:dyDescent="0.35">
      <c r="A655" t="s">
        <v>1140</v>
      </c>
      <c r="B655" t="s">
        <v>1139</v>
      </c>
      <c r="C655" t="s">
        <v>173</v>
      </c>
      <c r="D655" t="s">
        <v>54</v>
      </c>
      <c r="E655" t="s">
        <v>103</v>
      </c>
      <c r="F655" t="s">
        <v>27</v>
      </c>
      <c r="G655" t="s">
        <v>51</v>
      </c>
      <c r="H655" t="s">
        <v>33</v>
      </c>
      <c r="I655">
        <v>7</v>
      </c>
      <c r="J655">
        <v>150</v>
      </c>
      <c r="K655">
        <v>0</v>
      </c>
      <c r="L655">
        <v>1050</v>
      </c>
      <c r="M655">
        <v>525</v>
      </c>
      <c r="N655">
        <v>525</v>
      </c>
    </row>
    <row r="656" spans="1:14" x14ac:dyDescent="0.35">
      <c r="A656" t="s">
        <v>1141</v>
      </c>
      <c r="B656" t="s">
        <v>1139</v>
      </c>
      <c r="C656" t="s">
        <v>431</v>
      </c>
      <c r="D656" t="s">
        <v>54</v>
      </c>
      <c r="E656" t="s">
        <v>116</v>
      </c>
      <c r="F656" t="s">
        <v>45</v>
      </c>
      <c r="G656" t="s">
        <v>104</v>
      </c>
      <c r="H656" t="s">
        <v>125</v>
      </c>
      <c r="I656">
        <v>4</v>
      </c>
      <c r="J656">
        <v>450</v>
      </c>
      <c r="K656">
        <v>0</v>
      </c>
      <c r="L656">
        <v>1800</v>
      </c>
      <c r="M656">
        <v>1000</v>
      </c>
      <c r="N656">
        <v>800</v>
      </c>
    </row>
    <row r="657" spans="1:14" x14ac:dyDescent="0.35">
      <c r="A657" t="s">
        <v>1142</v>
      </c>
      <c r="B657" t="s">
        <v>1139</v>
      </c>
      <c r="C657" t="s">
        <v>664</v>
      </c>
      <c r="D657" t="s">
        <v>54</v>
      </c>
      <c r="E657" t="s">
        <v>116</v>
      </c>
      <c r="F657" t="s">
        <v>19</v>
      </c>
      <c r="G657" t="s">
        <v>20</v>
      </c>
      <c r="H657" t="s">
        <v>47</v>
      </c>
      <c r="I657">
        <v>8</v>
      </c>
      <c r="J657">
        <v>450</v>
      </c>
      <c r="K657">
        <v>0.1</v>
      </c>
      <c r="L657">
        <v>3240</v>
      </c>
      <c r="M657">
        <v>2000</v>
      </c>
      <c r="N657">
        <v>1240</v>
      </c>
    </row>
    <row r="658" spans="1:14" x14ac:dyDescent="0.35">
      <c r="A658" t="s">
        <v>1143</v>
      </c>
      <c r="B658" t="s">
        <v>1144</v>
      </c>
      <c r="C658" t="s">
        <v>59</v>
      </c>
      <c r="D658" t="s">
        <v>17</v>
      </c>
      <c r="E658" t="s">
        <v>18</v>
      </c>
      <c r="F658" t="s">
        <v>27</v>
      </c>
      <c r="G658" t="s">
        <v>28</v>
      </c>
      <c r="H658" t="s">
        <v>47</v>
      </c>
      <c r="I658">
        <v>5</v>
      </c>
      <c r="J658">
        <v>1800</v>
      </c>
      <c r="K658">
        <v>0.05</v>
      </c>
      <c r="L658">
        <v>8550</v>
      </c>
      <c r="M658">
        <v>5500</v>
      </c>
      <c r="N658">
        <v>3050</v>
      </c>
    </row>
    <row r="659" spans="1:14" x14ac:dyDescent="0.35">
      <c r="A659" t="s">
        <v>1145</v>
      </c>
      <c r="B659" t="s">
        <v>1144</v>
      </c>
      <c r="C659" t="s">
        <v>830</v>
      </c>
      <c r="D659" t="s">
        <v>17</v>
      </c>
      <c r="E659" t="s">
        <v>124</v>
      </c>
      <c r="F659" t="s">
        <v>45</v>
      </c>
      <c r="G659" t="s">
        <v>46</v>
      </c>
      <c r="H659" t="s">
        <v>33</v>
      </c>
      <c r="I659">
        <v>4</v>
      </c>
      <c r="J659">
        <v>1200</v>
      </c>
      <c r="K659">
        <v>0.15</v>
      </c>
      <c r="L659">
        <v>4080</v>
      </c>
      <c r="M659">
        <v>2880</v>
      </c>
      <c r="N659">
        <v>1200</v>
      </c>
    </row>
    <row r="660" spans="1:14" x14ac:dyDescent="0.35">
      <c r="A660" t="s">
        <v>1146</v>
      </c>
      <c r="B660" t="s">
        <v>1147</v>
      </c>
      <c r="C660" t="s">
        <v>134</v>
      </c>
      <c r="D660" t="s">
        <v>54</v>
      </c>
      <c r="E660" t="s">
        <v>116</v>
      </c>
      <c r="F660" t="s">
        <v>37</v>
      </c>
      <c r="G660" t="s">
        <v>140</v>
      </c>
      <c r="H660" t="s">
        <v>33</v>
      </c>
      <c r="I660">
        <v>4</v>
      </c>
      <c r="J660">
        <v>450</v>
      </c>
      <c r="K660">
        <v>0</v>
      </c>
      <c r="L660">
        <v>1800</v>
      </c>
      <c r="M660">
        <v>1000</v>
      </c>
      <c r="N660">
        <v>800</v>
      </c>
    </row>
    <row r="661" spans="1:14" x14ac:dyDescent="0.35">
      <c r="A661" t="s">
        <v>1148</v>
      </c>
      <c r="B661" t="s">
        <v>1149</v>
      </c>
      <c r="C661" t="s">
        <v>569</v>
      </c>
      <c r="D661" t="s">
        <v>25</v>
      </c>
      <c r="E661" t="s">
        <v>80</v>
      </c>
      <c r="F661" t="s">
        <v>27</v>
      </c>
      <c r="G661" t="s">
        <v>28</v>
      </c>
      <c r="H661" t="s">
        <v>33</v>
      </c>
      <c r="I661">
        <v>4</v>
      </c>
      <c r="J661">
        <v>950</v>
      </c>
      <c r="K661">
        <v>0</v>
      </c>
      <c r="L661">
        <v>3800</v>
      </c>
      <c r="M661">
        <v>2240</v>
      </c>
      <c r="N661">
        <v>1560</v>
      </c>
    </row>
    <row r="662" spans="1:14" x14ac:dyDescent="0.35">
      <c r="A662" t="s">
        <v>1150</v>
      </c>
      <c r="B662" t="s">
        <v>1149</v>
      </c>
      <c r="C662" t="s">
        <v>280</v>
      </c>
      <c r="D662" t="s">
        <v>17</v>
      </c>
      <c r="E662" t="s">
        <v>32</v>
      </c>
      <c r="F662" t="s">
        <v>37</v>
      </c>
      <c r="G662" t="s">
        <v>140</v>
      </c>
      <c r="H662" t="s">
        <v>21</v>
      </c>
      <c r="I662">
        <v>6</v>
      </c>
      <c r="J662">
        <v>1500</v>
      </c>
      <c r="K662">
        <v>0.05</v>
      </c>
      <c r="L662">
        <v>8550</v>
      </c>
      <c r="M662">
        <v>5400</v>
      </c>
      <c r="N662">
        <v>3150</v>
      </c>
    </row>
    <row r="663" spans="1:14" x14ac:dyDescent="0.35">
      <c r="A663" t="s">
        <v>1151</v>
      </c>
      <c r="B663" t="s">
        <v>1152</v>
      </c>
      <c r="C663" t="s">
        <v>42</v>
      </c>
      <c r="D663" t="s">
        <v>25</v>
      </c>
      <c r="E663" t="s">
        <v>69</v>
      </c>
      <c r="F663" t="s">
        <v>27</v>
      </c>
      <c r="G663" t="s">
        <v>28</v>
      </c>
      <c r="H663" t="s">
        <v>39</v>
      </c>
      <c r="I663">
        <v>4</v>
      </c>
      <c r="J663">
        <v>350</v>
      </c>
      <c r="K663">
        <v>0</v>
      </c>
      <c r="L663">
        <v>1400</v>
      </c>
      <c r="M663">
        <v>720</v>
      </c>
      <c r="N663">
        <v>680</v>
      </c>
    </row>
    <row r="664" spans="1:14" x14ac:dyDescent="0.35">
      <c r="A664" t="s">
        <v>1153</v>
      </c>
      <c r="B664" t="s">
        <v>1152</v>
      </c>
      <c r="C664" t="s">
        <v>131</v>
      </c>
      <c r="D664" t="s">
        <v>54</v>
      </c>
      <c r="E664" t="s">
        <v>107</v>
      </c>
      <c r="F664" t="s">
        <v>19</v>
      </c>
      <c r="G664" t="s">
        <v>56</v>
      </c>
      <c r="H664" t="s">
        <v>39</v>
      </c>
      <c r="I664">
        <v>1</v>
      </c>
      <c r="J664">
        <v>120</v>
      </c>
      <c r="K664">
        <v>0.05</v>
      </c>
      <c r="L664">
        <v>114</v>
      </c>
      <c r="M664">
        <v>55</v>
      </c>
      <c r="N664">
        <v>59</v>
      </c>
    </row>
    <row r="665" spans="1:14" x14ac:dyDescent="0.35">
      <c r="A665" t="s">
        <v>1154</v>
      </c>
      <c r="B665" t="s">
        <v>1152</v>
      </c>
      <c r="C665" t="s">
        <v>238</v>
      </c>
      <c r="D665" t="s">
        <v>43</v>
      </c>
      <c r="E665" t="s">
        <v>143</v>
      </c>
      <c r="F665" t="s">
        <v>19</v>
      </c>
      <c r="G665" t="s">
        <v>113</v>
      </c>
      <c r="H665" t="s">
        <v>125</v>
      </c>
      <c r="I665">
        <v>9</v>
      </c>
      <c r="J665">
        <v>650</v>
      </c>
      <c r="K665">
        <v>0</v>
      </c>
      <c r="L665">
        <v>5850</v>
      </c>
      <c r="M665">
        <v>3150</v>
      </c>
      <c r="N665">
        <v>2700</v>
      </c>
    </row>
    <row r="666" spans="1:14" x14ac:dyDescent="0.35">
      <c r="A666" t="s">
        <v>1155</v>
      </c>
      <c r="B666" t="s">
        <v>1156</v>
      </c>
      <c r="C666" t="s">
        <v>534</v>
      </c>
      <c r="D666" t="s">
        <v>17</v>
      </c>
      <c r="E666" t="s">
        <v>65</v>
      </c>
      <c r="F666" t="s">
        <v>45</v>
      </c>
      <c r="G666" t="s">
        <v>46</v>
      </c>
      <c r="H666" t="s">
        <v>21</v>
      </c>
      <c r="I666">
        <v>3</v>
      </c>
      <c r="J666">
        <v>2200</v>
      </c>
      <c r="K666">
        <v>0</v>
      </c>
      <c r="L666">
        <v>6600</v>
      </c>
      <c r="M666">
        <v>4200</v>
      </c>
      <c r="N666">
        <v>2400</v>
      </c>
    </row>
    <row r="667" spans="1:14" x14ac:dyDescent="0.35">
      <c r="A667" t="s">
        <v>1157</v>
      </c>
      <c r="B667" t="s">
        <v>1156</v>
      </c>
      <c r="C667" t="s">
        <v>112</v>
      </c>
      <c r="D667" t="s">
        <v>25</v>
      </c>
      <c r="E667" t="s">
        <v>26</v>
      </c>
      <c r="F667" t="s">
        <v>27</v>
      </c>
      <c r="G667" t="s">
        <v>85</v>
      </c>
      <c r="H667" t="s">
        <v>33</v>
      </c>
      <c r="I667">
        <v>7</v>
      </c>
      <c r="J667">
        <v>600</v>
      </c>
      <c r="K667">
        <v>0.1</v>
      </c>
      <c r="L667">
        <v>3780</v>
      </c>
      <c r="M667">
        <v>2310</v>
      </c>
      <c r="N667">
        <v>1470</v>
      </c>
    </row>
    <row r="668" spans="1:14" x14ac:dyDescent="0.35">
      <c r="A668" t="s">
        <v>1158</v>
      </c>
      <c r="B668" t="s">
        <v>1156</v>
      </c>
      <c r="C668" t="s">
        <v>615</v>
      </c>
      <c r="D668" t="s">
        <v>54</v>
      </c>
      <c r="E668" t="s">
        <v>103</v>
      </c>
      <c r="F668" t="s">
        <v>45</v>
      </c>
      <c r="G668" t="s">
        <v>122</v>
      </c>
      <c r="H668" t="s">
        <v>33</v>
      </c>
      <c r="I668">
        <v>5</v>
      </c>
      <c r="J668">
        <v>150</v>
      </c>
      <c r="K668">
        <v>0</v>
      </c>
      <c r="L668">
        <v>750</v>
      </c>
      <c r="M668">
        <v>375</v>
      </c>
      <c r="N668">
        <v>375</v>
      </c>
    </row>
    <row r="669" spans="1:14" x14ac:dyDescent="0.35">
      <c r="A669" t="s">
        <v>1159</v>
      </c>
      <c r="B669" t="s">
        <v>1156</v>
      </c>
      <c r="C669" t="s">
        <v>168</v>
      </c>
      <c r="D669" t="s">
        <v>25</v>
      </c>
      <c r="E669" t="s">
        <v>69</v>
      </c>
      <c r="F669" t="s">
        <v>27</v>
      </c>
      <c r="G669" t="s">
        <v>28</v>
      </c>
      <c r="H669" t="s">
        <v>125</v>
      </c>
      <c r="I669">
        <v>4</v>
      </c>
      <c r="J669">
        <v>350</v>
      </c>
      <c r="K669">
        <v>0</v>
      </c>
      <c r="L669">
        <v>1400</v>
      </c>
      <c r="M669">
        <v>720</v>
      </c>
      <c r="N669">
        <v>680</v>
      </c>
    </row>
    <row r="670" spans="1:14" x14ac:dyDescent="0.35">
      <c r="A670" t="s">
        <v>1160</v>
      </c>
      <c r="B670" t="s">
        <v>1161</v>
      </c>
      <c r="C670" t="s">
        <v>639</v>
      </c>
      <c r="D670" t="s">
        <v>54</v>
      </c>
      <c r="E670" t="s">
        <v>110</v>
      </c>
      <c r="F670" t="s">
        <v>19</v>
      </c>
      <c r="G670" t="s">
        <v>215</v>
      </c>
      <c r="H670" t="s">
        <v>47</v>
      </c>
      <c r="I670">
        <v>1</v>
      </c>
      <c r="J670">
        <v>280</v>
      </c>
      <c r="K670">
        <v>0</v>
      </c>
      <c r="L670">
        <v>280</v>
      </c>
      <c r="M670">
        <v>150</v>
      </c>
      <c r="N670">
        <v>130</v>
      </c>
    </row>
    <row r="671" spans="1:14" x14ac:dyDescent="0.35">
      <c r="A671" t="s">
        <v>1162</v>
      </c>
      <c r="B671" t="s">
        <v>1161</v>
      </c>
      <c r="C671" t="s">
        <v>643</v>
      </c>
      <c r="D671" t="s">
        <v>43</v>
      </c>
      <c r="E671" t="s">
        <v>169</v>
      </c>
      <c r="F671" t="s">
        <v>19</v>
      </c>
      <c r="G671" t="s">
        <v>20</v>
      </c>
      <c r="H671" t="s">
        <v>29</v>
      </c>
      <c r="I671">
        <v>9</v>
      </c>
      <c r="J671">
        <v>350</v>
      </c>
      <c r="K671">
        <v>0.1</v>
      </c>
      <c r="L671">
        <v>2835</v>
      </c>
      <c r="M671">
        <v>1530</v>
      </c>
      <c r="N671">
        <v>1305</v>
      </c>
    </row>
    <row r="672" spans="1:14" x14ac:dyDescent="0.35">
      <c r="A672" t="s">
        <v>1163</v>
      </c>
      <c r="B672" t="s">
        <v>1161</v>
      </c>
      <c r="C672" t="s">
        <v>127</v>
      </c>
      <c r="D672" t="s">
        <v>17</v>
      </c>
      <c r="E672" t="s">
        <v>18</v>
      </c>
      <c r="F672" t="s">
        <v>45</v>
      </c>
      <c r="G672" t="s">
        <v>46</v>
      </c>
      <c r="H672" t="s">
        <v>47</v>
      </c>
      <c r="I672">
        <v>3</v>
      </c>
      <c r="J672">
        <v>1800</v>
      </c>
      <c r="K672">
        <v>0</v>
      </c>
      <c r="L672">
        <v>5400</v>
      </c>
      <c r="M672">
        <v>3300</v>
      </c>
      <c r="N672">
        <v>2100</v>
      </c>
    </row>
    <row r="673" spans="1:14" x14ac:dyDescent="0.35">
      <c r="A673" t="s">
        <v>1164</v>
      </c>
      <c r="B673" t="s">
        <v>1165</v>
      </c>
      <c r="C673" t="s">
        <v>275</v>
      </c>
      <c r="D673" t="s">
        <v>25</v>
      </c>
      <c r="E673" t="s">
        <v>80</v>
      </c>
      <c r="F673" t="s">
        <v>27</v>
      </c>
      <c r="G673" t="s">
        <v>28</v>
      </c>
      <c r="H673" t="s">
        <v>33</v>
      </c>
      <c r="I673">
        <v>7</v>
      </c>
      <c r="J673">
        <v>950</v>
      </c>
      <c r="K673">
        <v>0.05</v>
      </c>
      <c r="L673">
        <v>6317.5</v>
      </c>
      <c r="M673">
        <v>3920</v>
      </c>
      <c r="N673">
        <v>2397.5</v>
      </c>
    </row>
    <row r="674" spans="1:14" x14ac:dyDescent="0.35">
      <c r="A674" t="s">
        <v>1166</v>
      </c>
      <c r="B674" t="s">
        <v>1167</v>
      </c>
      <c r="C674" t="s">
        <v>407</v>
      </c>
      <c r="D674" t="s">
        <v>54</v>
      </c>
      <c r="E674" t="s">
        <v>55</v>
      </c>
      <c r="F674" t="s">
        <v>19</v>
      </c>
      <c r="G674" t="s">
        <v>215</v>
      </c>
      <c r="H674" t="s">
        <v>29</v>
      </c>
      <c r="I674">
        <v>8</v>
      </c>
      <c r="J674">
        <v>180</v>
      </c>
      <c r="K674">
        <v>0</v>
      </c>
      <c r="L674">
        <v>1440</v>
      </c>
      <c r="M674">
        <v>720</v>
      </c>
      <c r="N674">
        <v>720</v>
      </c>
    </row>
    <row r="675" spans="1:14" x14ac:dyDescent="0.35">
      <c r="A675" t="s">
        <v>1168</v>
      </c>
      <c r="B675" t="s">
        <v>1169</v>
      </c>
      <c r="C675" t="s">
        <v>800</v>
      </c>
      <c r="D675" t="s">
        <v>25</v>
      </c>
      <c r="E675" t="s">
        <v>89</v>
      </c>
      <c r="F675" t="s">
        <v>45</v>
      </c>
      <c r="G675" t="s">
        <v>46</v>
      </c>
      <c r="H675" t="s">
        <v>21</v>
      </c>
      <c r="I675">
        <v>3</v>
      </c>
      <c r="J675">
        <v>550</v>
      </c>
      <c r="K675">
        <v>0.1</v>
      </c>
      <c r="L675">
        <v>1485</v>
      </c>
      <c r="M675">
        <v>900</v>
      </c>
      <c r="N675">
        <v>585</v>
      </c>
    </row>
    <row r="676" spans="1:14" x14ac:dyDescent="0.35">
      <c r="A676" t="s">
        <v>1170</v>
      </c>
      <c r="B676" t="s">
        <v>1169</v>
      </c>
      <c r="C676" t="s">
        <v>127</v>
      </c>
      <c r="D676" t="s">
        <v>43</v>
      </c>
      <c r="E676" t="s">
        <v>143</v>
      </c>
      <c r="F676" t="s">
        <v>19</v>
      </c>
      <c r="G676" t="s">
        <v>113</v>
      </c>
      <c r="H676" t="s">
        <v>47</v>
      </c>
      <c r="I676">
        <v>5</v>
      </c>
      <c r="J676">
        <v>650</v>
      </c>
      <c r="K676">
        <v>0</v>
      </c>
      <c r="L676">
        <v>3250</v>
      </c>
      <c r="M676">
        <v>1750</v>
      </c>
      <c r="N676">
        <v>1500</v>
      </c>
    </row>
    <row r="677" spans="1:14" x14ac:dyDescent="0.35">
      <c r="A677" t="s">
        <v>1171</v>
      </c>
      <c r="B677" t="s">
        <v>1169</v>
      </c>
      <c r="C677" t="s">
        <v>196</v>
      </c>
      <c r="D677" t="s">
        <v>25</v>
      </c>
      <c r="E677" t="s">
        <v>69</v>
      </c>
      <c r="F677" t="s">
        <v>27</v>
      </c>
      <c r="G677" t="s">
        <v>51</v>
      </c>
      <c r="H677" t="s">
        <v>21</v>
      </c>
      <c r="I677">
        <v>10</v>
      </c>
      <c r="J677">
        <v>350</v>
      </c>
      <c r="K677">
        <v>0.1</v>
      </c>
      <c r="L677">
        <v>3150</v>
      </c>
      <c r="M677">
        <v>1800</v>
      </c>
      <c r="N677">
        <v>1350</v>
      </c>
    </row>
    <row r="678" spans="1:14" x14ac:dyDescent="0.35">
      <c r="A678" t="s">
        <v>1172</v>
      </c>
      <c r="B678" t="s">
        <v>1173</v>
      </c>
      <c r="C678" t="s">
        <v>254</v>
      </c>
      <c r="D678" t="s">
        <v>17</v>
      </c>
      <c r="E678" t="s">
        <v>18</v>
      </c>
      <c r="F678" t="s">
        <v>19</v>
      </c>
      <c r="G678" t="s">
        <v>56</v>
      </c>
      <c r="H678" t="s">
        <v>47</v>
      </c>
      <c r="I678">
        <v>1</v>
      </c>
      <c r="J678">
        <v>1800</v>
      </c>
      <c r="K678">
        <v>0</v>
      </c>
      <c r="L678">
        <v>1800</v>
      </c>
      <c r="M678">
        <v>1100</v>
      </c>
      <c r="N678">
        <v>700</v>
      </c>
    </row>
    <row r="679" spans="1:14" x14ac:dyDescent="0.35">
      <c r="A679" t="s">
        <v>1174</v>
      </c>
      <c r="B679" t="s">
        <v>1173</v>
      </c>
      <c r="C679" t="s">
        <v>211</v>
      </c>
      <c r="D679" t="s">
        <v>25</v>
      </c>
      <c r="E679" t="s">
        <v>26</v>
      </c>
      <c r="F679" t="s">
        <v>19</v>
      </c>
      <c r="G679" t="s">
        <v>113</v>
      </c>
      <c r="H679" t="s">
        <v>29</v>
      </c>
      <c r="I679">
        <v>8</v>
      </c>
      <c r="J679">
        <v>600</v>
      </c>
      <c r="K679">
        <v>0.05</v>
      </c>
      <c r="L679">
        <v>4560</v>
      </c>
      <c r="M679">
        <v>2640</v>
      </c>
      <c r="N679">
        <v>1920</v>
      </c>
    </row>
    <row r="680" spans="1:14" x14ac:dyDescent="0.35">
      <c r="A680" t="s">
        <v>1175</v>
      </c>
      <c r="B680" t="s">
        <v>1173</v>
      </c>
      <c r="C680" t="s">
        <v>683</v>
      </c>
      <c r="D680" t="s">
        <v>25</v>
      </c>
      <c r="E680" t="s">
        <v>80</v>
      </c>
      <c r="F680" t="s">
        <v>19</v>
      </c>
      <c r="G680" t="s">
        <v>56</v>
      </c>
      <c r="H680" t="s">
        <v>21</v>
      </c>
      <c r="I680">
        <v>6</v>
      </c>
      <c r="J680">
        <v>950</v>
      </c>
      <c r="K680">
        <v>0.1</v>
      </c>
      <c r="L680">
        <v>5130</v>
      </c>
      <c r="M680">
        <v>3360</v>
      </c>
      <c r="N680">
        <v>1770</v>
      </c>
    </row>
    <row r="681" spans="1:14" x14ac:dyDescent="0.35">
      <c r="A681" t="s">
        <v>1176</v>
      </c>
      <c r="B681" t="s">
        <v>1177</v>
      </c>
      <c r="C681" t="s">
        <v>182</v>
      </c>
      <c r="D681" t="s">
        <v>54</v>
      </c>
      <c r="E681" t="s">
        <v>110</v>
      </c>
      <c r="F681" t="s">
        <v>37</v>
      </c>
      <c r="G681" t="s">
        <v>140</v>
      </c>
      <c r="H681" t="s">
        <v>39</v>
      </c>
      <c r="I681">
        <v>8</v>
      </c>
      <c r="J681">
        <v>280</v>
      </c>
      <c r="K681">
        <v>0.1</v>
      </c>
      <c r="L681">
        <v>2016</v>
      </c>
      <c r="M681">
        <v>1200</v>
      </c>
      <c r="N681">
        <v>816</v>
      </c>
    </row>
    <row r="682" spans="1:14" x14ac:dyDescent="0.35">
      <c r="A682" t="s">
        <v>1178</v>
      </c>
      <c r="B682" t="s">
        <v>1177</v>
      </c>
      <c r="C682" t="s">
        <v>802</v>
      </c>
      <c r="D682" t="s">
        <v>25</v>
      </c>
      <c r="E682" t="s">
        <v>36</v>
      </c>
      <c r="F682" t="s">
        <v>45</v>
      </c>
      <c r="G682" t="s">
        <v>104</v>
      </c>
      <c r="H682" t="s">
        <v>39</v>
      </c>
      <c r="I682">
        <v>9</v>
      </c>
      <c r="J682">
        <v>700</v>
      </c>
      <c r="K682">
        <v>0.05</v>
      </c>
      <c r="L682">
        <v>5985</v>
      </c>
      <c r="M682">
        <v>3600</v>
      </c>
      <c r="N682">
        <v>2385</v>
      </c>
    </row>
    <row r="683" spans="1:14" x14ac:dyDescent="0.35">
      <c r="A683" t="s">
        <v>1179</v>
      </c>
      <c r="B683" t="s">
        <v>1177</v>
      </c>
      <c r="C683" t="s">
        <v>42</v>
      </c>
      <c r="D683" t="s">
        <v>17</v>
      </c>
      <c r="E683" t="s">
        <v>65</v>
      </c>
      <c r="F683" t="s">
        <v>45</v>
      </c>
      <c r="G683" t="s">
        <v>104</v>
      </c>
      <c r="H683" t="s">
        <v>125</v>
      </c>
      <c r="I683">
        <v>5</v>
      </c>
      <c r="J683">
        <v>2200</v>
      </c>
      <c r="K683">
        <v>0.05</v>
      </c>
      <c r="L683">
        <v>10450</v>
      </c>
      <c r="M683">
        <v>7000</v>
      </c>
      <c r="N683">
        <v>3450</v>
      </c>
    </row>
    <row r="684" spans="1:14" x14ac:dyDescent="0.35">
      <c r="A684" t="s">
        <v>1180</v>
      </c>
      <c r="B684" t="s">
        <v>1177</v>
      </c>
      <c r="C684" t="s">
        <v>1181</v>
      </c>
      <c r="D684" t="s">
        <v>54</v>
      </c>
      <c r="E684" t="s">
        <v>116</v>
      </c>
      <c r="F684" t="s">
        <v>37</v>
      </c>
      <c r="G684" t="s">
        <v>97</v>
      </c>
      <c r="H684" t="s">
        <v>29</v>
      </c>
      <c r="I684">
        <v>2</v>
      </c>
      <c r="J684">
        <v>450</v>
      </c>
      <c r="K684">
        <v>0.1</v>
      </c>
      <c r="L684">
        <v>810</v>
      </c>
      <c r="M684">
        <v>500</v>
      </c>
      <c r="N684">
        <v>310</v>
      </c>
    </row>
    <row r="685" spans="1:14" x14ac:dyDescent="0.35">
      <c r="A685" t="s">
        <v>1182</v>
      </c>
      <c r="B685" t="s">
        <v>1177</v>
      </c>
      <c r="C685" t="s">
        <v>198</v>
      </c>
      <c r="D685" t="s">
        <v>17</v>
      </c>
      <c r="E685" t="s">
        <v>65</v>
      </c>
      <c r="F685" t="s">
        <v>37</v>
      </c>
      <c r="G685" t="s">
        <v>38</v>
      </c>
      <c r="H685" t="s">
        <v>47</v>
      </c>
      <c r="I685">
        <v>2</v>
      </c>
      <c r="J685">
        <v>2200</v>
      </c>
      <c r="K685">
        <v>0.1</v>
      </c>
      <c r="L685">
        <v>3960</v>
      </c>
      <c r="M685">
        <v>2800</v>
      </c>
      <c r="N685">
        <v>1160</v>
      </c>
    </row>
    <row r="686" spans="1:14" x14ac:dyDescent="0.35">
      <c r="A686" t="s">
        <v>1183</v>
      </c>
      <c r="B686" t="s">
        <v>1184</v>
      </c>
      <c r="C686" t="s">
        <v>84</v>
      </c>
      <c r="D686" t="s">
        <v>54</v>
      </c>
      <c r="E686" t="s">
        <v>55</v>
      </c>
      <c r="F686" t="s">
        <v>37</v>
      </c>
      <c r="G686" t="s">
        <v>140</v>
      </c>
      <c r="H686" t="s">
        <v>21</v>
      </c>
      <c r="I686">
        <v>6</v>
      </c>
      <c r="J686">
        <v>180</v>
      </c>
      <c r="K686">
        <v>0.05</v>
      </c>
      <c r="L686">
        <v>1026</v>
      </c>
      <c r="M686">
        <v>540</v>
      </c>
      <c r="N686">
        <v>486</v>
      </c>
    </row>
    <row r="687" spans="1:14" x14ac:dyDescent="0.35">
      <c r="A687" t="s">
        <v>1185</v>
      </c>
      <c r="B687" t="s">
        <v>1186</v>
      </c>
      <c r="C687" t="s">
        <v>1181</v>
      </c>
      <c r="D687" t="s">
        <v>17</v>
      </c>
      <c r="E687" t="s">
        <v>65</v>
      </c>
      <c r="F687" t="s">
        <v>45</v>
      </c>
      <c r="G687" t="s">
        <v>46</v>
      </c>
      <c r="H687" t="s">
        <v>125</v>
      </c>
      <c r="I687">
        <v>6</v>
      </c>
      <c r="J687">
        <v>2200</v>
      </c>
      <c r="K687">
        <v>0</v>
      </c>
      <c r="L687">
        <v>13200</v>
      </c>
      <c r="M687">
        <v>8400</v>
      </c>
      <c r="N687">
        <v>4800</v>
      </c>
    </row>
    <row r="688" spans="1:14" x14ac:dyDescent="0.35">
      <c r="A688" t="s">
        <v>1187</v>
      </c>
      <c r="B688" t="s">
        <v>1188</v>
      </c>
      <c r="C688" t="s">
        <v>1189</v>
      </c>
      <c r="D688" t="s">
        <v>25</v>
      </c>
      <c r="E688" t="s">
        <v>89</v>
      </c>
      <c r="F688" t="s">
        <v>37</v>
      </c>
      <c r="G688" t="s">
        <v>140</v>
      </c>
      <c r="H688" t="s">
        <v>21</v>
      </c>
      <c r="I688">
        <v>2</v>
      </c>
      <c r="J688">
        <v>550</v>
      </c>
      <c r="K688">
        <v>0.1</v>
      </c>
      <c r="L688">
        <v>990</v>
      </c>
      <c r="M688">
        <v>600</v>
      </c>
      <c r="N688">
        <v>390</v>
      </c>
    </row>
    <row r="689" spans="1:14" x14ac:dyDescent="0.35">
      <c r="A689" t="s">
        <v>1190</v>
      </c>
      <c r="B689" t="s">
        <v>1188</v>
      </c>
      <c r="C689" t="s">
        <v>450</v>
      </c>
      <c r="D689" t="s">
        <v>17</v>
      </c>
      <c r="E689" t="s">
        <v>124</v>
      </c>
      <c r="F689" t="s">
        <v>45</v>
      </c>
      <c r="G689" t="s">
        <v>70</v>
      </c>
      <c r="H689" t="s">
        <v>47</v>
      </c>
      <c r="I689">
        <v>8</v>
      </c>
      <c r="J689">
        <v>1200</v>
      </c>
      <c r="K689">
        <v>0</v>
      </c>
      <c r="L689">
        <v>9600</v>
      </c>
      <c r="M689">
        <v>5760</v>
      </c>
      <c r="N689">
        <v>3840</v>
      </c>
    </row>
    <row r="690" spans="1:14" x14ac:dyDescent="0.35">
      <c r="A690" t="s">
        <v>1191</v>
      </c>
      <c r="B690" t="s">
        <v>1188</v>
      </c>
      <c r="C690" t="s">
        <v>825</v>
      </c>
      <c r="D690" t="s">
        <v>25</v>
      </c>
      <c r="E690" t="s">
        <v>36</v>
      </c>
      <c r="F690" t="s">
        <v>45</v>
      </c>
      <c r="G690" t="s">
        <v>122</v>
      </c>
      <c r="H690" t="s">
        <v>29</v>
      </c>
      <c r="I690">
        <v>9</v>
      </c>
      <c r="J690">
        <v>700</v>
      </c>
      <c r="K690">
        <v>0</v>
      </c>
      <c r="L690">
        <v>6300</v>
      </c>
      <c r="M690">
        <v>3600</v>
      </c>
      <c r="N690">
        <v>2700</v>
      </c>
    </row>
    <row r="691" spans="1:14" x14ac:dyDescent="0.35">
      <c r="A691" t="s">
        <v>1192</v>
      </c>
      <c r="B691" t="s">
        <v>1188</v>
      </c>
      <c r="C691" t="s">
        <v>185</v>
      </c>
      <c r="D691" t="s">
        <v>17</v>
      </c>
      <c r="E691" t="s">
        <v>50</v>
      </c>
      <c r="F691" t="s">
        <v>19</v>
      </c>
      <c r="G691" t="s">
        <v>56</v>
      </c>
      <c r="H691" t="s">
        <v>39</v>
      </c>
      <c r="I691">
        <v>8</v>
      </c>
      <c r="J691">
        <v>650</v>
      </c>
      <c r="K691">
        <v>0.1</v>
      </c>
      <c r="L691">
        <v>4680</v>
      </c>
      <c r="M691">
        <v>3040</v>
      </c>
      <c r="N691">
        <v>1640</v>
      </c>
    </row>
    <row r="692" spans="1:14" x14ac:dyDescent="0.35">
      <c r="A692" t="s">
        <v>1193</v>
      </c>
      <c r="B692" t="s">
        <v>1194</v>
      </c>
      <c r="C692" t="s">
        <v>591</v>
      </c>
      <c r="D692" t="s">
        <v>17</v>
      </c>
      <c r="E692" t="s">
        <v>50</v>
      </c>
      <c r="F692" t="s">
        <v>27</v>
      </c>
      <c r="G692" t="s">
        <v>28</v>
      </c>
      <c r="H692" t="s">
        <v>33</v>
      </c>
      <c r="I692">
        <v>6</v>
      </c>
      <c r="J692">
        <v>650</v>
      </c>
      <c r="K692">
        <v>0</v>
      </c>
      <c r="L692">
        <v>3900</v>
      </c>
      <c r="M692">
        <v>2280</v>
      </c>
      <c r="N692">
        <v>1620</v>
      </c>
    </row>
    <row r="693" spans="1:14" x14ac:dyDescent="0.35">
      <c r="A693" t="s">
        <v>1195</v>
      </c>
      <c r="B693" t="s">
        <v>1196</v>
      </c>
      <c r="C693" t="s">
        <v>1181</v>
      </c>
      <c r="D693" t="s">
        <v>25</v>
      </c>
      <c r="E693" t="s">
        <v>69</v>
      </c>
      <c r="F693" t="s">
        <v>27</v>
      </c>
      <c r="G693" t="s">
        <v>51</v>
      </c>
      <c r="H693" t="s">
        <v>47</v>
      </c>
      <c r="I693">
        <v>4</v>
      </c>
      <c r="J693">
        <v>350</v>
      </c>
      <c r="K693">
        <v>0.05</v>
      </c>
      <c r="L693">
        <v>1330</v>
      </c>
      <c r="M693">
        <v>720</v>
      </c>
      <c r="N693">
        <v>610</v>
      </c>
    </row>
    <row r="694" spans="1:14" x14ac:dyDescent="0.35">
      <c r="A694" t="s">
        <v>1197</v>
      </c>
      <c r="B694" t="s">
        <v>1196</v>
      </c>
      <c r="C694" t="s">
        <v>835</v>
      </c>
      <c r="D694" t="s">
        <v>54</v>
      </c>
      <c r="E694" t="s">
        <v>107</v>
      </c>
      <c r="F694" t="s">
        <v>45</v>
      </c>
      <c r="G694" t="s">
        <v>70</v>
      </c>
      <c r="H694" t="s">
        <v>39</v>
      </c>
      <c r="I694">
        <v>4</v>
      </c>
      <c r="J694">
        <v>120</v>
      </c>
      <c r="K694">
        <v>0.05</v>
      </c>
      <c r="L694">
        <v>456</v>
      </c>
      <c r="M694">
        <v>220</v>
      </c>
      <c r="N694">
        <v>236</v>
      </c>
    </row>
    <row r="695" spans="1:14" x14ac:dyDescent="0.35">
      <c r="A695" t="s">
        <v>1198</v>
      </c>
      <c r="B695" t="s">
        <v>1196</v>
      </c>
      <c r="C695" t="s">
        <v>355</v>
      </c>
      <c r="D695" t="s">
        <v>25</v>
      </c>
      <c r="E695" t="s">
        <v>89</v>
      </c>
      <c r="F695" t="s">
        <v>45</v>
      </c>
      <c r="G695" t="s">
        <v>70</v>
      </c>
      <c r="H695" t="s">
        <v>33</v>
      </c>
      <c r="I695">
        <v>2</v>
      </c>
      <c r="J695">
        <v>550</v>
      </c>
      <c r="K695">
        <v>0</v>
      </c>
      <c r="L695">
        <v>1100</v>
      </c>
      <c r="M695">
        <v>600</v>
      </c>
      <c r="N695">
        <v>500</v>
      </c>
    </row>
    <row r="696" spans="1:14" x14ac:dyDescent="0.35">
      <c r="A696" t="s">
        <v>1199</v>
      </c>
      <c r="B696" t="s">
        <v>1200</v>
      </c>
      <c r="C696" t="s">
        <v>77</v>
      </c>
      <c r="D696" t="s">
        <v>54</v>
      </c>
      <c r="E696" t="s">
        <v>110</v>
      </c>
      <c r="F696" t="s">
        <v>19</v>
      </c>
      <c r="G696" t="s">
        <v>215</v>
      </c>
      <c r="H696" t="s">
        <v>39</v>
      </c>
      <c r="I696">
        <v>1</v>
      </c>
      <c r="J696">
        <v>280</v>
      </c>
      <c r="K696">
        <v>0.05</v>
      </c>
      <c r="L696">
        <v>266</v>
      </c>
      <c r="M696">
        <v>150</v>
      </c>
      <c r="N696">
        <v>116</v>
      </c>
    </row>
    <row r="697" spans="1:14" x14ac:dyDescent="0.35">
      <c r="A697" t="s">
        <v>1201</v>
      </c>
      <c r="B697" t="s">
        <v>1200</v>
      </c>
      <c r="C697" t="s">
        <v>711</v>
      </c>
      <c r="D697" t="s">
        <v>54</v>
      </c>
      <c r="E697" t="s">
        <v>103</v>
      </c>
      <c r="F697" t="s">
        <v>45</v>
      </c>
      <c r="G697" t="s">
        <v>104</v>
      </c>
      <c r="H697" t="s">
        <v>21</v>
      </c>
      <c r="I697">
        <v>1</v>
      </c>
      <c r="J697">
        <v>150</v>
      </c>
      <c r="K697">
        <v>0</v>
      </c>
      <c r="L697">
        <v>150</v>
      </c>
      <c r="M697">
        <v>75</v>
      </c>
      <c r="N697">
        <v>75</v>
      </c>
    </row>
    <row r="698" spans="1:14" x14ac:dyDescent="0.35">
      <c r="A698" t="s">
        <v>1202</v>
      </c>
      <c r="B698" t="s">
        <v>1200</v>
      </c>
      <c r="C698" t="s">
        <v>392</v>
      </c>
      <c r="D698" t="s">
        <v>17</v>
      </c>
      <c r="E698" t="s">
        <v>50</v>
      </c>
      <c r="F698" t="s">
        <v>45</v>
      </c>
      <c r="G698" t="s">
        <v>122</v>
      </c>
      <c r="H698" t="s">
        <v>47</v>
      </c>
      <c r="I698">
        <v>3</v>
      </c>
      <c r="J698">
        <v>650</v>
      </c>
      <c r="K698">
        <v>0.15</v>
      </c>
      <c r="L698">
        <v>1657.5</v>
      </c>
      <c r="M698">
        <v>1140</v>
      </c>
      <c r="N698">
        <v>517.5</v>
      </c>
    </row>
    <row r="699" spans="1:14" x14ac:dyDescent="0.35">
      <c r="A699" t="s">
        <v>1203</v>
      </c>
      <c r="B699" t="s">
        <v>1204</v>
      </c>
      <c r="C699" t="s">
        <v>450</v>
      </c>
      <c r="D699" t="s">
        <v>17</v>
      </c>
      <c r="E699" t="s">
        <v>18</v>
      </c>
      <c r="F699" t="s">
        <v>27</v>
      </c>
      <c r="G699" t="s">
        <v>28</v>
      </c>
      <c r="H699" t="s">
        <v>125</v>
      </c>
      <c r="I699">
        <v>10</v>
      </c>
      <c r="J699">
        <v>1800</v>
      </c>
      <c r="K699">
        <v>0.1</v>
      </c>
      <c r="L699">
        <v>16200</v>
      </c>
      <c r="M699">
        <v>11000</v>
      </c>
      <c r="N699">
        <v>5200</v>
      </c>
    </row>
    <row r="700" spans="1:14" x14ac:dyDescent="0.35">
      <c r="A700" t="s">
        <v>1205</v>
      </c>
      <c r="B700" t="s">
        <v>1204</v>
      </c>
      <c r="C700" t="s">
        <v>802</v>
      </c>
      <c r="D700" t="s">
        <v>17</v>
      </c>
      <c r="E700" t="s">
        <v>32</v>
      </c>
      <c r="F700" t="s">
        <v>37</v>
      </c>
      <c r="G700" t="s">
        <v>140</v>
      </c>
      <c r="H700" t="s">
        <v>47</v>
      </c>
      <c r="I700">
        <v>8</v>
      </c>
      <c r="J700">
        <v>1500</v>
      </c>
      <c r="K700">
        <v>0</v>
      </c>
      <c r="L700">
        <v>12000</v>
      </c>
      <c r="M700">
        <v>7200</v>
      </c>
      <c r="N700">
        <v>4800</v>
      </c>
    </row>
    <row r="701" spans="1:14" x14ac:dyDescent="0.35">
      <c r="A701" t="s">
        <v>1206</v>
      </c>
      <c r="B701" t="s">
        <v>1204</v>
      </c>
      <c r="C701" t="s">
        <v>528</v>
      </c>
      <c r="D701" t="s">
        <v>43</v>
      </c>
      <c r="E701" t="s">
        <v>44</v>
      </c>
      <c r="F701" t="s">
        <v>27</v>
      </c>
      <c r="G701" t="s">
        <v>51</v>
      </c>
      <c r="H701" t="s">
        <v>125</v>
      </c>
      <c r="I701">
        <v>3</v>
      </c>
      <c r="J701">
        <v>2200</v>
      </c>
      <c r="K701">
        <v>0.05</v>
      </c>
      <c r="L701">
        <v>6270</v>
      </c>
      <c r="M701">
        <v>4350</v>
      </c>
      <c r="N701">
        <v>1920</v>
      </c>
    </row>
    <row r="702" spans="1:14" x14ac:dyDescent="0.35">
      <c r="A702" t="s">
        <v>1207</v>
      </c>
      <c r="B702" t="s">
        <v>1208</v>
      </c>
      <c r="C702" t="s">
        <v>201</v>
      </c>
      <c r="D702" t="s">
        <v>17</v>
      </c>
      <c r="E702" t="s">
        <v>124</v>
      </c>
      <c r="F702" t="s">
        <v>37</v>
      </c>
      <c r="G702" t="s">
        <v>140</v>
      </c>
      <c r="H702" t="s">
        <v>39</v>
      </c>
      <c r="I702">
        <v>1</v>
      </c>
      <c r="J702">
        <v>1200</v>
      </c>
      <c r="K702">
        <v>0</v>
      </c>
      <c r="L702">
        <v>1200</v>
      </c>
      <c r="M702">
        <v>720</v>
      </c>
      <c r="N702">
        <v>480</v>
      </c>
    </row>
    <row r="703" spans="1:14" x14ac:dyDescent="0.35">
      <c r="A703" t="s">
        <v>1209</v>
      </c>
      <c r="B703" t="s">
        <v>1208</v>
      </c>
      <c r="C703" t="s">
        <v>282</v>
      </c>
      <c r="D703" t="s">
        <v>43</v>
      </c>
      <c r="E703" t="s">
        <v>143</v>
      </c>
      <c r="F703" t="s">
        <v>19</v>
      </c>
      <c r="G703" t="s">
        <v>215</v>
      </c>
      <c r="H703" t="s">
        <v>29</v>
      </c>
      <c r="I703">
        <v>5</v>
      </c>
      <c r="J703">
        <v>650</v>
      </c>
      <c r="K703">
        <v>0.05</v>
      </c>
      <c r="L703">
        <v>3087.5</v>
      </c>
      <c r="M703">
        <v>1750</v>
      </c>
      <c r="N703">
        <v>1337.5</v>
      </c>
    </row>
    <row r="704" spans="1:14" x14ac:dyDescent="0.35">
      <c r="A704" t="s">
        <v>1210</v>
      </c>
      <c r="B704" t="s">
        <v>1208</v>
      </c>
      <c r="C704" t="s">
        <v>477</v>
      </c>
      <c r="D704" t="s">
        <v>25</v>
      </c>
      <c r="E704" t="s">
        <v>26</v>
      </c>
      <c r="F704" t="s">
        <v>45</v>
      </c>
      <c r="G704" t="s">
        <v>70</v>
      </c>
      <c r="H704" t="s">
        <v>33</v>
      </c>
      <c r="I704">
        <v>9</v>
      </c>
      <c r="J704">
        <v>600</v>
      </c>
      <c r="K704">
        <v>0</v>
      </c>
      <c r="L704">
        <v>5400</v>
      </c>
      <c r="M704">
        <v>2970</v>
      </c>
      <c r="N704">
        <v>2430</v>
      </c>
    </row>
    <row r="705" spans="1:14" x14ac:dyDescent="0.35">
      <c r="A705" t="s">
        <v>1211</v>
      </c>
      <c r="B705" t="s">
        <v>1208</v>
      </c>
      <c r="C705" t="s">
        <v>229</v>
      </c>
      <c r="D705" t="s">
        <v>25</v>
      </c>
      <c r="E705" t="s">
        <v>80</v>
      </c>
      <c r="F705" t="s">
        <v>45</v>
      </c>
      <c r="G705" t="s">
        <v>46</v>
      </c>
      <c r="H705" t="s">
        <v>33</v>
      </c>
      <c r="I705">
        <v>1</v>
      </c>
      <c r="J705">
        <v>950</v>
      </c>
      <c r="K705">
        <v>0</v>
      </c>
      <c r="L705">
        <v>950</v>
      </c>
      <c r="M705">
        <v>560</v>
      </c>
      <c r="N705">
        <v>390</v>
      </c>
    </row>
    <row r="706" spans="1:14" x14ac:dyDescent="0.35">
      <c r="A706" t="s">
        <v>1212</v>
      </c>
      <c r="B706" t="s">
        <v>1213</v>
      </c>
      <c r="C706" t="s">
        <v>264</v>
      </c>
      <c r="D706" t="s">
        <v>54</v>
      </c>
      <c r="E706" t="s">
        <v>116</v>
      </c>
      <c r="F706" t="s">
        <v>45</v>
      </c>
      <c r="G706" t="s">
        <v>122</v>
      </c>
      <c r="H706" t="s">
        <v>33</v>
      </c>
      <c r="I706">
        <v>3</v>
      </c>
      <c r="J706">
        <v>450</v>
      </c>
      <c r="K706">
        <v>0</v>
      </c>
      <c r="L706">
        <v>1350</v>
      </c>
      <c r="M706">
        <v>750</v>
      </c>
      <c r="N706">
        <v>600</v>
      </c>
    </row>
    <row r="707" spans="1:14" x14ac:dyDescent="0.35">
      <c r="A707" t="s">
        <v>1214</v>
      </c>
      <c r="B707" t="s">
        <v>1213</v>
      </c>
      <c r="C707" t="s">
        <v>64</v>
      </c>
      <c r="D707" t="s">
        <v>17</v>
      </c>
      <c r="E707" t="s">
        <v>124</v>
      </c>
      <c r="F707" t="s">
        <v>45</v>
      </c>
      <c r="G707" t="s">
        <v>46</v>
      </c>
      <c r="H707" t="s">
        <v>47</v>
      </c>
      <c r="I707">
        <v>8</v>
      </c>
      <c r="J707">
        <v>1200</v>
      </c>
      <c r="K707">
        <v>0</v>
      </c>
      <c r="L707">
        <v>9600</v>
      </c>
      <c r="M707">
        <v>5760</v>
      </c>
      <c r="N707">
        <v>3840</v>
      </c>
    </row>
    <row r="708" spans="1:14" x14ac:dyDescent="0.35">
      <c r="A708" t="s">
        <v>1215</v>
      </c>
      <c r="B708" t="s">
        <v>1213</v>
      </c>
      <c r="C708" t="s">
        <v>380</v>
      </c>
      <c r="D708" t="s">
        <v>25</v>
      </c>
      <c r="E708" t="s">
        <v>36</v>
      </c>
      <c r="F708" t="s">
        <v>45</v>
      </c>
      <c r="G708" t="s">
        <v>104</v>
      </c>
      <c r="H708" t="s">
        <v>47</v>
      </c>
      <c r="I708">
        <v>3</v>
      </c>
      <c r="J708">
        <v>700</v>
      </c>
      <c r="K708">
        <v>0</v>
      </c>
      <c r="L708">
        <v>2100</v>
      </c>
      <c r="M708">
        <v>1200</v>
      </c>
      <c r="N708">
        <v>900</v>
      </c>
    </row>
    <row r="709" spans="1:14" x14ac:dyDescent="0.35">
      <c r="A709" t="s">
        <v>1216</v>
      </c>
      <c r="B709" t="s">
        <v>1213</v>
      </c>
      <c r="C709" t="s">
        <v>129</v>
      </c>
      <c r="D709" t="s">
        <v>17</v>
      </c>
      <c r="E709" t="s">
        <v>18</v>
      </c>
      <c r="F709" t="s">
        <v>37</v>
      </c>
      <c r="G709" t="s">
        <v>140</v>
      </c>
      <c r="H709" t="s">
        <v>29</v>
      </c>
      <c r="I709">
        <v>7</v>
      </c>
      <c r="J709">
        <v>1800</v>
      </c>
      <c r="K709">
        <v>0</v>
      </c>
      <c r="L709">
        <v>12600</v>
      </c>
      <c r="M709">
        <v>7700</v>
      </c>
      <c r="N709">
        <v>4900</v>
      </c>
    </row>
    <row r="710" spans="1:14" x14ac:dyDescent="0.35">
      <c r="A710" t="s">
        <v>1217</v>
      </c>
      <c r="B710" t="s">
        <v>1218</v>
      </c>
      <c r="C710" t="s">
        <v>427</v>
      </c>
      <c r="D710" t="s">
        <v>43</v>
      </c>
      <c r="E710" t="s">
        <v>62</v>
      </c>
      <c r="F710" t="s">
        <v>19</v>
      </c>
      <c r="G710" t="s">
        <v>20</v>
      </c>
      <c r="H710" t="s">
        <v>33</v>
      </c>
      <c r="I710">
        <v>7</v>
      </c>
      <c r="J710">
        <v>500</v>
      </c>
      <c r="K710">
        <v>0.1</v>
      </c>
      <c r="L710">
        <v>3150</v>
      </c>
      <c r="M710">
        <v>1960</v>
      </c>
      <c r="N710">
        <v>1190</v>
      </c>
    </row>
    <row r="711" spans="1:14" x14ac:dyDescent="0.35">
      <c r="A711" t="s">
        <v>1219</v>
      </c>
      <c r="B711" t="s">
        <v>1218</v>
      </c>
      <c r="C711" t="s">
        <v>713</v>
      </c>
      <c r="D711" t="s">
        <v>43</v>
      </c>
      <c r="E711" t="s">
        <v>44</v>
      </c>
      <c r="F711" t="s">
        <v>37</v>
      </c>
      <c r="G711" t="s">
        <v>38</v>
      </c>
      <c r="H711" t="s">
        <v>21</v>
      </c>
      <c r="I711">
        <v>5</v>
      </c>
      <c r="J711">
        <v>2200</v>
      </c>
      <c r="K711">
        <v>0.15</v>
      </c>
      <c r="L711">
        <v>9350</v>
      </c>
      <c r="M711">
        <v>7250</v>
      </c>
      <c r="N711">
        <v>2100</v>
      </c>
    </row>
    <row r="712" spans="1:14" x14ac:dyDescent="0.35">
      <c r="A712" t="s">
        <v>1220</v>
      </c>
      <c r="B712" t="s">
        <v>1218</v>
      </c>
      <c r="C712" t="s">
        <v>1221</v>
      </c>
      <c r="D712" t="s">
        <v>25</v>
      </c>
      <c r="E712" t="s">
        <v>89</v>
      </c>
      <c r="F712" t="s">
        <v>37</v>
      </c>
      <c r="G712" t="s">
        <v>140</v>
      </c>
      <c r="H712" t="s">
        <v>39</v>
      </c>
      <c r="I712">
        <v>8</v>
      </c>
      <c r="J712">
        <v>550</v>
      </c>
      <c r="K712">
        <v>0.1</v>
      </c>
      <c r="L712">
        <v>3960</v>
      </c>
      <c r="M712">
        <v>2400</v>
      </c>
      <c r="N712">
        <v>1560</v>
      </c>
    </row>
    <row r="713" spans="1:14" x14ac:dyDescent="0.35">
      <c r="A713" t="s">
        <v>1222</v>
      </c>
      <c r="B713" t="s">
        <v>1218</v>
      </c>
      <c r="C713" t="s">
        <v>272</v>
      </c>
      <c r="D713" t="s">
        <v>17</v>
      </c>
      <c r="E713" t="s">
        <v>50</v>
      </c>
      <c r="F713" t="s">
        <v>27</v>
      </c>
      <c r="G713" t="s">
        <v>51</v>
      </c>
      <c r="H713" t="s">
        <v>29</v>
      </c>
      <c r="I713">
        <v>3</v>
      </c>
      <c r="J713">
        <v>650</v>
      </c>
      <c r="K713">
        <v>0.1</v>
      </c>
      <c r="L713">
        <v>1755</v>
      </c>
      <c r="M713">
        <v>1140</v>
      </c>
      <c r="N713">
        <v>615</v>
      </c>
    </row>
    <row r="714" spans="1:14" x14ac:dyDescent="0.35">
      <c r="A714" t="s">
        <v>1223</v>
      </c>
      <c r="B714" t="s">
        <v>1224</v>
      </c>
      <c r="C714" t="s">
        <v>637</v>
      </c>
      <c r="D714" t="s">
        <v>54</v>
      </c>
      <c r="E714" t="s">
        <v>103</v>
      </c>
      <c r="F714" t="s">
        <v>27</v>
      </c>
      <c r="G714" t="s">
        <v>90</v>
      </c>
      <c r="H714" t="s">
        <v>21</v>
      </c>
      <c r="I714">
        <v>8</v>
      </c>
      <c r="J714">
        <v>150</v>
      </c>
      <c r="K714">
        <v>0</v>
      </c>
      <c r="L714">
        <v>1200</v>
      </c>
      <c r="M714">
        <v>600</v>
      </c>
      <c r="N714">
        <v>600</v>
      </c>
    </row>
    <row r="715" spans="1:14" x14ac:dyDescent="0.35">
      <c r="A715" t="s">
        <v>1225</v>
      </c>
      <c r="B715" t="s">
        <v>1224</v>
      </c>
      <c r="C715" t="s">
        <v>732</v>
      </c>
      <c r="D715" t="s">
        <v>25</v>
      </c>
      <c r="E715" t="s">
        <v>89</v>
      </c>
      <c r="F715" t="s">
        <v>45</v>
      </c>
      <c r="G715" t="s">
        <v>104</v>
      </c>
      <c r="H715" t="s">
        <v>21</v>
      </c>
      <c r="I715">
        <v>5</v>
      </c>
      <c r="J715">
        <v>550</v>
      </c>
      <c r="K715">
        <v>0.05</v>
      </c>
      <c r="L715">
        <v>2612.5</v>
      </c>
      <c r="M715">
        <v>1500</v>
      </c>
      <c r="N715">
        <v>1112.5</v>
      </c>
    </row>
    <row r="716" spans="1:14" x14ac:dyDescent="0.35">
      <c r="A716" t="s">
        <v>1226</v>
      </c>
      <c r="B716" t="s">
        <v>1224</v>
      </c>
      <c r="C716" t="s">
        <v>598</v>
      </c>
      <c r="D716" t="s">
        <v>54</v>
      </c>
      <c r="E716" t="s">
        <v>116</v>
      </c>
      <c r="F716" t="s">
        <v>37</v>
      </c>
      <c r="G716" t="s">
        <v>97</v>
      </c>
      <c r="H716" t="s">
        <v>125</v>
      </c>
      <c r="I716">
        <v>5</v>
      </c>
      <c r="J716">
        <v>450</v>
      </c>
      <c r="K716">
        <v>0</v>
      </c>
      <c r="L716">
        <v>2250</v>
      </c>
      <c r="M716">
        <v>1250</v>
      </c>
      <c r="N716">
        <v>1000</v>
      </c>
    </row>
    <row r="717" spans="1:14" x14ac:dyDescent="0.35">
      <c r="A717" t="s">
        <v>1227</v>
      </c>
      <c r="B717" t="s">
        <v>1224</v>
      </c>
      <c r="C717" t="s">
        <v>234</v>
      </c>
      <c r="D717" t="s">
        <v>25</v>
      </c>
      <c r="E717" t="s">
        <v>26</v>
      </c>
      <c r="F717" t="s">
        <v>45</v>
      </c>
      <c r="G717" t="s">
        <v>104</v>
      </c>
      <c r="H717" t="s">
        <v>29</v>
      </c>
      <c r="I717">
        <v>10</v>
      </c>
      <c r="J717">
        <v>600</v>
      </c>
      <c r="K717">
        <v>0.05</v>
      </c>
      <c r="L717">
        <v>5700</v>
      </c>
      <c r="M717">
        <v>3300</v>
      </c>
      <c r="N717">
        <v>2400</v>
      </c>
    </row>
    <row r="718" spans="1:14" x14ac:dyDescent="0.35">
      <c r="A718" t="s">
        <v>1228</v>
      </c>
      <c r="B718" t="s">
        <v>1224</v>
      </c>
      <c r="C718" t="s">
        <v>158</v>
      </c>
      <c r="D718" t="s">
        <v>54</v>
      </c>
      <c r="E718" t="s">
        <v>110</v>
      </c>
      <c r="F718" t="s">
        <v>19</v>
      </c>
      <c r="G718" t="s">
        <v>215</v>
      </c>
      <c r="H718" t="s">
        <v>33</v>
      </c>
      <c r="I718">
        <v>9</v>
      </c>
      <c r="J718">
        <v>280</v>
      </c>
      <c r="K718">
        <v>0</v>
      </c>
      <c r="L718">
        <v>2520</v>
      </c>
      <c r="M718">
        <v>1350</v>
      </c>
      <c r="N718">
        <v>1170</v>
      </c>
    </row>
    <row r="719" spans="1:14" x14ac:dyDescent="0.35">
      <c r="A719" t="s">
        <v>1229</v>
      </c>
      <c r="B719" t="s">
        <v>1230</v>
      </c>
      <c r="C719" t="s">
        <v>331</v>
      </c>
      <c r="D719" t="s">
        <v>43</v>
      </c>
      <c r="E719" t="s">
        <v>143</v>
      </c>
      <c r="F719" t="s">
        <v>27</v>
      </c>
      <c r="G719" t="s">
        <v>28</v>
      </c>
      <c r="H719" t="s">
        <v>29</v>
      </c>
      <c r="I719">
        <v>10</v>
      </c>
      <c r="J719">
        <v>650</v>
      </c>
      <c r="K719">
        <v>0.1</v>
      </c>
      <c r="L719">
        <v>5850</v>
      </c>
      <c r="M719">
        <v>3500</v>
      </c>
      <c r="N719">
        <v>2350</v>
      </c>
    </row>
    <row r="720" spans="1:14" x14ac:dyDescent="0.35">
      <c r="A720" t="s">
        <v>1231</v>
      </c>
      <c r="B720" t="s">
        <v>1230</v>
      </c>
      <c r="C720" t="s">
        <v>102</v>
      </c>
      <c r="D720" t="s">
        <v>25</v>
      </c>
      <c r="E720" t="s">
        <v>89</v>
      </c>
      <c r="F720" t="s">
        <v>19</v>
      </c>
      <c r="G720" t="s">
        <v>20</v>
      </c>
      <c r="H720" t="s">
        <v>125</v>
      </c>
      <c r="I720">
        <v>5</v>
      </c>
      <c r="J720">
        <v>550</v>
      </c>
      <c r="K720">
        <v>0.05</v>
      </c>
      <c r="L720">
        <v>2612.5</v>
      </c>
      <c r="M720">
        <v>1500</v>
      </c>
      <c r="N720">
        <v>1112.5</v>
      </c>
    </row>
    <row r="721" spans="1:14" x14ac:dyDescent="0.35">
      <c r="A721" t="s">
        <v>1232</v>
      </c>
      <c r="B721" t="s">
        <v>1230</v>
      </c>
      <c r="C721" t="s">
        <v>835</v>
      </c>
      <c r="D721" t="s">
        <v>17</v>
      </c>
      <c r="E721" t="s">
        <v>32</v>
      </c>
      <c r="F721" t="s">
        <v>19</v>
      </c>
      <c r="G721" t="s">
        <v>215</v>
      </c>
      <c r="H721" t="s">
        <v>33</v>
      </c>
      <c r="I721">
        <v>10</v>
      </c>
      <c r="J721">
        <v>1500</v>
      </c>
      <c r="K721">
        <v>0</v>
      </c>
      <c r="L721">
        <v>15000</v>
      </c>
      <c r="M721">
        <v>9000</v>
      </c>
      <c r="N721">
        <v>6000</v>
      </c>
    </row>
    <row r="722" spans="1:14" x14ac:dyDescent="0.35">
      <c r="A722" t="s">
        <v>1233</v>
      </c>
      <c r="B722" t="s">
        <v>1230</v>
      </c>
      <c r="C722" t="s">
        <v>410</v>
      </c>
      <c r="D722" t="s">
        <v>17</v>
      </c>
      <c r="E722" t="s">
        <v>65</v>
      </c>
      <c r="F722" t="s">
        <v>45</v>
      </c>
      <c r="G722" t="s">
        <v>104</v>
      </c>
      <c r="H722" t="s">
        <v>125</v>
      </c>
      <c r="I722">
        <v>5</v>
      </c>
      <c r="J722">
        <v>2200</v>
      </c>
      <c r="K722">
        <v>0</v>
      </c>
      <c r="L722">
        <v>11000</v>
      </c>
      <c r="M722">
        <v>7000</v>
      </c>
      <c r="N722">
        <v>4000</v>
      </c>
    </row>
    <row r="723" spans="1:14" x14ac:dyDescent="0.35">
      <c r="A723" t="s">
        <v>1234</v>
      </c>
      <c r="B723" t="s">
        <v>1235</v>
      </c>
      <c r="C723" t="s">
        <v>261</v>
      </c>
      <c r="D723" t="s">
        <v>17</v>
      </c>
      <c r="E723" t="s">
        <v>50</v>
      </c>
      <c r="F723" t="s">
        <v>37</v>
      </c>
      <c r="G723" t="s">
        <v>38</v>
      </c>
      <c r="H723" t="s">
        <v>39</v>
      </c>
      <c r="I723">
        <v>8</v>
      </c>
      <c r="J723">
        <v>650</v>
      </c>
      <c r="K723">
        <v>0</v>
      </c>
      <c r="L723">
        <v>5200</v>
      </c>
      <c r="M723">
        <v>3040</v>
      </c>
      <c r="N723">
        <v>2160</v>
      </c>
    </row>
    <row r="724" spans="1:14" x14ac:dyDescent="0.35">
      <c r="A724" t="s">
        <v>1236</v>
      </c>
      <c r="B724" t="s">
        <v>1235</v>
      </c>
      <c r="C724" t="s">
        <v>294</v>
      </c>
      <c r="D724" t="s">
        <v>25</v>
      </c>
      <c r="E724" t="s">
        <v>69</v>
      </c>
      <c r="F724" t="s">
        <v>19</v>
      </c>
      <c r="G724" t="s">
        <v>56</v>
      </c>
      <c r="H724" t="s">
        <v>125</v>
      </c>
      <c r="I724">
        <v>5</v>
      </c>
      <c r="J724">
        <v>350</v>
      </c>
      <c r="K724">
        <v>0.1</v>
      </c>
      <c r="L724">
        <v>1575</v>
      </c>
      <c r="M724">
        <v>900</v>
      </c>
      <c r="N724">
        <v>675</v>
      </c>
    </row>
    <row r="725" spans="1:14" x14ac:dyDescent="0.35">
      <c r="A725" t="s">
        <v>1237</v>
      </c>
      <c r="B725" t="s">
        <v>1235</v>
      </c>
      <c r="C725" t="s">
        <v>82</v>
      </c>
      <c r="D725" t="s">
        <v>54</v>
      </c>
      <c r="E725" t="s">
        <v>107</v>
      </c>
      <c r="F725" t="s">
        <v>45</v>
      </c>
      <c r="G725" t="s">
        <v>70</v>
      </c>
      <c r="H725" t="s">
        <v>39</v>
      </c>
      <c r="I725">
        <v>10</v>
      </c>
      <c r="J725">
        <v>120</v>
      </c>
      <c r="K725">
        <v>0</v>
      </c>
      <c r="L725">
        <v>1200</v>
      </c>
      <c r="M725">
        <v>550</v>
      </c>
      <c r="N725">
        <v>650</v>
      </c>
    </row>
    <row r="726" spans="1:14" x14ac:dyDescent="0.35">
      <c r="A726" t="s">
        <v>1238</v>
      </c>
      <c r="B726" t="s">
        <v>1235</v>
      </c>
      <c r="C726" t="s">
        <v>431</v>
      </c>
      <c r="D726" t="s">
        <v>17</v>
      </c>
      <c r="E726" t="s">
        <v>18</v>
      </c>
      <c r="F726" t="s">
        <v>37</v>
      </c>
      <c r="G726" t="s">
        <v>38</v>
      </c>
      <c r="H726" t="s">
        <v>47</v>
      </c>
      <c r="I726">
        <v>6</v>
      </c>
      <c r="J726">
        <v>1800</v>
      </c>
      <c r="K726">
        <v>0.1</v>
      </c>
      <c r="L726">
        <v>9720</v>
      </c>
      <c r="M726">
        <v>6600</v>
      </c>
      <c r="N726">
        <v>3120</v>
      </c>
    </row>
    <row r="727" spans="1:14" x14ac:dyDescent="0.35">
      <c r="A727" t="s">
        <v>1239</v>
      </c>
      <c r="B727" t="s">
        <v>1240</v>
      </c>
      <c r="C727" t="s">
        <v>77</v>
      </c>
      <c r="D727" t="s">
        <v>54</v>
      </c>
      <c r="E727" t="s">
        <v>55</v>
      </c>
      <c r="F727" t="s">
        <v>37</v>
      </c>
      <c r="G727" t="s">
        <v>140</v>
      </c>
      <c r="H727" t="s">
        <v>33</v>
      </c>
      <c r="I727">
        <v>3</v>
      </c>
      <c r="J727">
        <v>180</v>
      </c>
      <c r="K727">
        <v>0</v>
      </c>
      <c r="L727">
        <v>540</v>
      </c>
      <c r="M727">
        <v>270</v>
      </c>
      <c r="N727">
        <v>270</v>
      </c>
    </row>
    <row r="728" spans="1:14" x14ac:dyDescent="0.35">
      <c r="A728" t="s">
        <v>1241</v>
      </c>
      <c r="B728" t="s">
        <v>1240</v>
      </c>
      <c r="C728" t="s">
        <v>713</v>
      </c>
      <c r="D728" t="s">
        <v>43</v>
      </c>
      <c r="E728" t="s">
        <v>62</v>
      </c>
      <c r="F728" t="s">
        <v>27</v>
      </c>
      <c r="G728" t="s">
        <v>85</v>
      </c>
      <c r="H728" t="s">
        <v>33</v>
      </c>
      <c r="I728">
        <v>5</v>
      </c>
      <c r="J728">
        <v>500</v>
      </c>
      <c r="K728">
        <v>0.1</v>
      </c>
      <c r="L728">
        <v>2250</v>
      </c>
      <c r="M728">
        <v>1400</v>
      </c>
      <c r="N728">
        <v>850</v>
      </c>
    </row>
    <row r="729" spans="1:14" x14ac:dyDescent="0.35">
      <c r="A729" t="s">
        <v>1242</v>
      </c>
      <c r="B729" t="s">
        <v>1240</v>
      </c>
      <c r="C729" t="s">
        <v>625</v>
      </c>
      <c r="D729" t="s">
        <v>54</v>
      </c>
      <c r="E729" t="s">
        <v>107</v>
      </c>
      <c r="F729" t="s">
        <v>37</v>
      </c>
      <c r="G729" t="s">
        <v>97</v>
      </c>
      <c r="H729" t="s">
        <v>29</v>
      </c>
      <c r="I729">
        <v>1</v>
      </c>
      <c r="J729">
        <v>120</v>
      </c>
      <c r="K729">
        <v>0</v>
      </c>
      <c r="L729">
        <v>120</v>
      </c>
      <c r="M729">
        <v>55</v>
      </c>
      <c r="N729">
        <v>65</v>
      </c>
    </row>
    <row r="730" spans="1:14" x14ac:dyDescent="0.35">
      <c r="A730" t="s">
        <v>1243</v>
      </c>
      <c r="B730" t="s">
        <v>1240</v>
      </c>
      <c r="C730" t="s">
        <v>878</v>
      </c>
      <c r="D730" t="s">
        <v>25</v>
      </c>
      <c r="E730" t="s">
        <v>80</v>
      </c>
      <c r="F730" t="s">
        <v>19</v>
      </c>
      <c r="G730" t="s">
        <v>56</v>
      </c>
      <c r="H730" t="s">
        <v>33</v>
      </c>
      <c r="I730">
        <v>3</v>
      </c>
      <c r="J730">
        <v>950</v>
      </c>
      <c r="K730">
        <v>0.15</v>
      </c>
      <c r="L730">
        <v>2422.5</v>
      </c>
      <c r="M730">
        <v>1680</v>
      </c>
      <c r="N730">
        <v>742.5</v>
      </c>
    </row>
    <row r="731" spans="1:14" x14ac:dyDescent="0.35">
      <c r="A731" t="s">
        <v>1244</v>
      </c>
      <c r="B731" t="s">
        <v>1245</v>
      </c>
      <c r="C731" t="s">
        <v>615</v>
      </c>
      <c r="D731" t="s">
        <v>25</v>
      </c>
      <c r="E731" t="s">
        <v>69</v>
      </c>
      <c r="F731" t="s">
        <v>19</v>
      </c>
      <c r="G731" t="s">
        <v>215</v>
      </c>
      <c r="H731" t="s">
        <v>47</v>
      </c>
      <c r="I731">
        <v>10</v>
      </c>
      <c r="J731">
        <v>350</v>
      </c>
      <c r="K731">
        <v>0.1</v>
      </c>
      <c r="L731">
        <v>3150</v>
      </c>
      <c r="M731">
        <v>1800</v>
      </c>
      <c r="N731">
        <v>1350</v>
      </c>
    </row>
    <row r="732" spans="1:14" x14ac:dyDescent="0.35">
      <c r="A732" t="s">
        <v>1246</v>
      </c>
      <c r="B732" t="s">
        <v>1245</v>
      </c>
      <c r="C732" t="s">
        <v>142</v>
      </c>
      <c r="D732" t="s">
        <v>17</v>
      </c>
      <c r="E732" t="s">
        <v>32</v>
      </c>
      <c r="F732" t="s">
        <v>19</v>
      </c>
      <c r="G732" t="s">
        <v>113</v>
      </c>
      <c r="H732" t="s">
        <v>21</v>
      </c>
      <c r="I732">
        <v>2</v>
      </c>
      <c r="J732">
        <v>1500</v>
      </c>
      <c r="K732">
        <v>0.05</v>
      </c>
      <c r="L732">
        <v>2850</v>
      </c>
      <c r="M732">
        <v>1800</v>
      </c>
      <c r="N732">
        <v>1050</v>
      </c>
    </row>
    <row r="733" spans="1:14" x14ac:dyDescent="0.35">
      <c r="A733" t="s">
        <v>1247</v>
      </c>
      <c r="B733" t="s">
        <v>1245</v>
      </c>
      <c r="C733" t="s">
        <v>802</v>
      </c>
      <c r="D733" t="s">
        <v>17</v>
      </c>
      <c r="E733" t="s">
        <v>65</v>
      </c>
      <c r="F733" t="s">
        <v>27</v>
      </c>
      <c r="G733" t="s">
        <v>90</v>
      </c>
      <c r="H733" t="s">
        <v>33</v>
      </c>
      <c r="I733">
        <v>5</v>
      </c>
      <c r="J733">
        <v>2200</v>
      </c>
      <c r="K733">
        <v>0.15</v>
      </c>
      <c r="L733">
        <v>9350</v>
      </c>
      <c r="M733">
        <v>7000</v>
      </c>
      <c r="N733">
        <v>2350</v>
      </c>
    </row>
    <row r="734" spans="1:14" x14ac:dyDescent="0.35">
      <c r="A734" t="s">
        <v>1248</v>
      </c>
      <c r="B734" t="s">
        <v>1245</v>
      </c>
      <c r="C734" t="s">
        <v>64</v>
      </c>
      <c r="D734" t="s">
        <v>17</v>
      </c>
      <c r="E734" t="s">
        <v>124</v>
      </c>
      <c r="F734" t="s">
        <v>27</v>
      </c>
      <c r="G734" t="s">
        <v>51</v>
      </c>
      <c r="H734" t="s">
        <v>125</v>
      </c>
      <c r="I734">
        <v>4</v>
      </c>
      <c r="J734">
        <v>1200</v>
      </c>
      <c r="K734">
        <v>0.05</v>
      </c>
      <c r="L734">
        <v>4560</v>
      </c>
      <c r="M734">
        <v>2880</v>
      </c>
      <c r="N734">
        <v>1680</v>
      </c>
    </row>
    <row r="735" spans="1:14" x14ac:dyDescent="0.35">
      <c r="A735" t="s">
        <v>1249</v>
      </c>
      <c r="B735" t="s">
        <v>1245</v>
      </c>
      <c r="C735" t="s">
        <v>350</v>
      </c>
      <c r="D735" t="s">
        <v>54</v>
      </c>
      <c r="E735" t="s">
        <v>107</v>
      </c>
      <c r="F735" t="s">
        <v>37</v>
      </c>
      <c r="G735" t="s">
        <v>38</v>
      </c>
      <c r="H735" t="s">
        <v>29</v>
      </c>
      <c r="I735">
        <v>2</v>
      </c>
      <c r="J735">
        <v>120</v>
      </c>
      <c r="K735">
        <v>0</v>
      </c>
      <c r="L735">
        <v>240</v>
      </c>
      <c r="M735">
        <v>110</v>
      </c>
      <c r="N735">
        <v>130</v>
      </c>
    </row>
    <row r="736" spans="1:14" x14ac:dyDescent="0.35">
      <c r="A736" t="s">
        <v>1250</v>
      </c>
      <c r="B736" t="s">
        <v>1245</v>
      </c>
      <c r="C736" t="s">
        <v>196</v>
      </c>
      <c r="D736" t="s">
        <v>17</v>
      </c>
      <c r="E736" t="s">
        <v>124</v>
      </c>
      <c r="F736" t="s">
        <v>45</v>
      </c>
      <c r="G736" t="s">
        <v>104</v>
      </c>
      <c r="H736" t="s">
        <v>39</v>
      </c>
      <c r="I736">
        <v>7</v>
      </c>
      <c r="J736">
        <v>1200</v>
      </c>
      <c r="K736">
        <v>0.05</v>
      </c>
      <c r="L736">
        <v>7980</v>
      </c>
      <c r="M736">
        <v>5040</v>
      </c>
      <c r="N736">
        <v>2940</v>
      </c>
    </row>
    <row r="737" spans="1:14" x14ac:dyDescent="0.35">
      <c r="A737" t="s">
        <v>1251</v>
      </c>
      <c r="B737" t="s">
        <v>1252</v>
      </c>
      <c r="C737" t="s">
        <v>639</v>
      </c>
      <c r="D737" t="s">
        <v>17</v>
      </c>
      <c r="E737" t="s">
        <v>124</v>
      </c>
      <c r="F737" t="s">
        <v>45</v>
      </c>
      <c r="G737" t="s">
        <v>46</v>
      </c>
      <c r="H737" t="s">
        <v>39</v>
      </c>
      <c r="I737">
        <v>7</v>
      </c>
      <c r="J737">
        <v>1200</v>
      </c>
      <c r="K737">
        <v>0</v>
      </c>
      <c r="L737">
        <v>8400</v>
      </c>
      <c r="M737">
        <v>5040</v>
      </c>
      <c r="N737">
        <v>3360</v>
      </c>
    </row>
    <row r="738" spans="1:14" x14ac:dyDescent="0.35">
      <c r="A738" t="s">
        <v>1253</v>
      </c>
      <c r="B738" t="s">
        <v>1254</v>
      </c>
      <c r="C738" t="s">
        <v>72</v>
      </c>
      <c r="D738" t="s">
        <v>43</v>
      </c>
      <c r="E738" t="s">
        <v>143</v>
      </c>
      <c r="F738" t="s">
        <v>45</v>
      </c>
      <c r="G738" t="s">
        <v>122</v>
      </c>
      <c r="H738" t="s">
        <v>33</v>
      </c>
      <c r="I738">
        <v>1</v>
      </c>
      <c r="J738">
        <v>650</v>
      </c>
      <c r="K738">
        <v>0</v>
      </c>
      <c r="L738">
        <v>650</v>
      </c>
      <c r="M738">
        <v>350</v>
      </c>
      <c r="N738">
        <v>300</v>
      </c>
    </row>
    <row r="739" spans="1:14" x14ac:dyDescent="0.35">
      <c r="A739" t="s">
        <v>1255</v>
      </c>
      <c r="B739" t="s">
        <v>1254</v>
      </c>
      <c r="C739" t="s">
        <v>343</v>
      </c>
      <c r="D739" t="s">
        <v>25</v>
      </c>
      <c r="E739" t="s">
        <v>26</v>
      </c>
      <c r="F739" t="s">
        <v>19</v>
      </c>
      <c r="G739" t="s">
        <v>20</v>
      </c>
      <c r="H739" t="s">
        <v>21</v>
      </c>
      <c r="I739">
        <v>6</v>
      </c>
      <c r="J739">
        <v>600</v>
      </c>
      <c r="K739">
        <v>0.05</v>
      </c>
      <c r="L739">
        <v>3420</v>
      </c>
      <c r="M739">
        <v>1980</v>
      </c>
      <c r="N739">
        <v>1440</v>
      </c>
    </row>
    <row r="740" spans="1:14" x14ac:dyDescent="0.35">
      <c r="A740" t="s">
        <v>1256</v>
      </c>
      <c r="B740" t="s">
        <v>1254</v>
      </c>
      <c r="C740" t="s">
        <v>1081</v>
      </c>
      <c r="D740" t="s">
        <v>25</v>
      </c>
      <c r="E740" t="s">
        <v>36</v>
      </c>
      <c r="F740" t="s">
        <v>37</v>
      </c>
      <c r="G740" t="s">
        <v>140</v>
      </c>
      <c r="H740" t="s">
        <v>47</v>
      </c>
      <c r="I740">
        <v>6</v>
      </c>
      <c r="J740">
        <v>700</v>
      </c>
      <c r="K740">
        <v>0.15</v>
      </c>
      <c r="L740">
        <v>3570</v>
      </c>
      <c r="M740">
        <v>2400</v>
      </c>
      <c r="N740">
        <v>1170</v>
      </c>
    </row>
    <row r="741" spans="1:14" x14ac:dyDescent="0.35">
      <c r="A741" t="s">
        <v>1257</v>
      </c>
      <c r="B741" t="s">
        <v>1254</v>
      </c>
      <c r="C741" t="s">
        <v>49</v>
      </c>
      <c r="D741" t="s">
        <v>43</v>
      </c>
      <c r="E741" t="s">
        <v>250</v>
      </c>
      <c r="F741" t="s">
        <v>19</v>
      </c>
      <c r="G741" t="s">
        <v>20</v>
      </c>
      <c r="H741" t="s">
        <v>21</v>
      </c>
      <c r="I741">
        <v>3</v>
      </c>
      <c r="J741">
        <v>900</v>
      </c>
      <c r="K741">
        <v>0.1</v>
      </c>
      <c r="L741">
        <v>2430</v>
      </c>
      <c r="M741">
        <v>1560</v>
      </c>
      <c r="N741">
        <v>870</v>
      </c>
    </row>
    <row r="742" spans="1:14" x14ac:dyDescent="0.35">
      <c r="A742" t="s">
        <v>1258</v>
      </c>
      <c r="B742" t="s">
        <v>1254</v>
      </c>
      <c r="C742" t="s">
        <v>427</v>
      </c>
      <c r="D742" t="s">
        <v>43</v>
      </c>
      <c r="E742" t="s">
        <v>250</v>
      </c>
      <c r="F742" t="s">
        <v>19</v>
      </c>
      <c r="G742" t="s">
        <v>56</v>
      </c>
      <c r="H742" t="s">
        <v>21</v>
      </c>
      <c r="I742">
        <v>7</v>
      </c>
      <c r="J742">
        <v>900</v>
      </c>
      <c r="K742">
        <v>0.05</v>
      </c>
      <c r="L742">
        <v>5985</v>
      </c>
      <c r="M742">
        <v>3640</v>
      </c>
      <c r="N742">
        <v>2345</v>
      </c>
    </row>
    <row r="743" spans="1:14" x14ac:dyDescent="0.35">
      <c r="A743" t="s">
        <v>1259</v>
      </c>
      <c r="B743" t="s">
        <v>1254</v>
      </c>
      <c r="C743" t="s">
        <v>723</v>
      </c>
      <c r="D743" t="s">
        <v>43</v>
      </c>
      <c r="E743" t="s">
        <v>62</v>
      </c>
      <c r="F743" t="s">
        <v>37</v>
      </c>
      <c r="G743" t="s">
        <v>97</v>
      </c>
      <c r="H743" t="s">
        <v>125</v>
      </c>
      <c r="I743">
        <v>3</v>
      </c>
      <c r="J743">
        <v>500</v>
      </c>
      <c r="K743">
        <v>0.05</v>
      </c>
      <c r="L743">
        <v>1425</v>
      </c>
      <c r="M743">
        <v>840</v>
      </c>
      <c r="N743">
        <v>585</v>
      </c>
    </row>
    <row r="744" spans="1:14" x14ac:dyDescent="0.35">
      <c r="A744" t="s">
        <v>1260</v>
      </c>
      <c r="B744" t="s">
        <v>1254</v>
      </c>
      <c r="C744" t="s">
        <v>850</v>
      </c>
      <c r="D744" t="s">
        <v>54</v>
      </c>
      <c r="E744" t="s">
        <v>107</v>
      </c>
      <c r="F744" t="s">
        <v>37</v>
      </c>
      <c r="G744" t="s">
        <v>73</v>
      </c>
      <c r="H744" t="s">
        <v>125</v>
      </c>
      <c r="I744">
        <v>4</v>
      </c>
      <c r="J744">
        <v>120</v>
      </c>
      <c r="K744">
        <v>0.05</v>
      </c>
      <c r="L744">
        <v>456</v>
      </c>
      <c r="M744">
        <v>220</v>
      </c>
      <c r="N744">
        <v>236</v>
      </c>
    </row>
    <row r="745" spans="1:14" x14ac:dyDescent="0.35">
      <c r="A745" t="s">
        <v>1261</v>
      </c>
      <c r="B745" t="s">
        <v>1254</v>
      </c>
      <c r="C745" t="s">
        <v>973</v>
      </c>
      <c r="D745" t="s">
        <v>17</v>
      </c>
      <c r="E745" t="s">
        <v>124</v>
      </c>
      <c r="F745" t="s">
        <v>19</v>
      </c>
      <c r="G745" t="s">
        <v>215</v>
      </c>
      <c r="H745" t="s">
        <v>29</v>
      </c>
      <c r="I745">
        <v>6</v>
      </c>
      <c r="J745">
        <v>1200</v>
      </c>
      <c r="K745">
        <v>0.05</v>
      </c>
      <c r="L745">
        <v>6840</v>
      </c>
      <c r="M745">
        <v>4320</v>
      </c>
      <c r="N745">
        <v>2520</v>
      </c>
    </row>
    <row r="746" spans="1:14" x14ac:dyDescent="0.35">
      <c r="A746" t="s">
        <v>1262</v>
      </c>
      <c r="B746" t="s">
        <v>1254</v>
      </c>
      <c r="C746" t="s">
        <v>528</v>
      </c>
      <c r="D746" t="s">
        <v>25</v>
      </c>
      <c r="E746" t="s">
        <v>26</v>
      </c>
      <c r="F746" t="s">
        <v>45</v>
      </c>
      <c r="G746" t="s">
        <v>122</v>
      </c>
      <c r="H746" t="s">
        <v>39</v>
      </c>
      <c r="I746">
        <v>2</v>
      </c>
      <c r="J746">
        <v>600</v>
      </c>
      <c r="K746">
        <v>0.05</v>
      </c>
      <c r="L746">
        <v>1140</v>
      </c>
      <c r="M746">
        <v>660</v>
      </c>
      <c r="N746">
        <v>480</v>
      </c>
    </row>
    <row r="747" spans="1:14" x14ac:dyDescent="0.35">
      <c r="A747" t="s">
        <v>1263</v>
      </c>
      <c r="B747" t="s">
        <v>1264</v>
      </c>
      <c r="C747" t="s">
        <v>949</v>
      </c>
      <c r="D747" t="s">
        <v>25</v>
      </c>
      <c r="E747" t="s">
        <v>89</v>
      </c>
      <c r="F747" t="s">
        <v>45</v>
      </c>
      <c r="G747" t="s">
        <v>104</v>
      </c>
      <c r="H747" t="s">
        <v>39</v>
      </c>
      <c r="I747">
        <v>6</v>
      </c>
      <c r="J747">
        <v>550</v>
      </c>
      <c r="K747">
        <v>0</v>
      </c>
      <c r="L747">
        <v>3300</v>
      </c>
      <c r="M747">
        <v>1800</v>
      </c>
      <c r="N747">
        <v>1500</v>
      </c>
    </row>
    <row r="748" spans="1:14" x14ac:dyDescent="0.35">
      <c r="A748" t="s">
        <v>1265</v>
      </c>
      <c r="B748" t="s">
        <v>1264</v>
      </c>
      <c r="C748" t="s">
        <v>254</v>
      </c>
      <c r="D748" t="s">
        <v>17</v>
      </c>
      <c r="E748" t="s">
        <v>18</v>
      </c>
      <c r="F748" t="s">
        <v>45</v>
      </c>
      <c r="G748" t="s">
        <v>122</v>
      </c>
      <c r="H748" t="s">
        <v>33</v>
      </c>
      <c r="I748">
        <v>5</v>
      </c>
      <c r="J748">
        <v>1800</v>
      </c>
      <c r="K748">
        <v>0.1</v>
      </c>
      <c r="L748">
        <v>8100</v>
      </c>
      <c r="M748">
        <v>5500</v>
      </c>
      <c r="N748">
        <v>2600</v>
      </c>
    </row>
    <row r="749" spans="1:14" x14ac:dyDescent="0.35">
      <c r="A749" t="s">
        <v>1266</v>
      </c>
      <c r="B749" t="s">
        <v>1267</v>
      </c>
      <c r="C749" t="s">
        <v>557</v>
      </c>
      <c r="D749" t="s">
        <v>43</v>
      </c>
      <c r="E749" t="s">
        <v>44</v>
      </c>
      <c r="F749" t="s">
        <v>45</v>
      </c>
      <c r="G749" t="s">
        <v>46</v>
      </c>
      <c r="H749" t="s">
        <v>21</v>
      </c>
      <c r="I749">
        <v>2</v>
      </c>
      <c r="J749">
        <v>2200</v>
      </c>
      <c r="K749">
        <v>0</v>
      </c>
      <c r="L749">
        <v>4400</v>
      </c>
      <c r="M749">
        <v>2900</v>
      </c>
      <c r="N749">
        <v>1500</v>
      </c>
    </row>
    <row r="750" spans="1:14" x14ac:dyDescent="0.35">
      <c r="A750" t="s">
        <v>1268</v>
      </c>
      <c r="B750" t="s">
        <v>1267</v>
      </c>
      <c r="C750" t="s">
        <v>441</v>
      </c>
      <c r="D750" t="s">
        <v>54</v>
      </c>
      <c r="E750" t="s">
        <v>110</v>
      </c>
      <c r="F750" t="s">
        <v>37</v>
      </c>
      <c r="G750" t="s">
        <v>140</v>
      </c>
      <c r="H750" t="s">
        <v>21</v>
      </c>
      <c r="I750">
        <v>1</v>
      </c>
      <c r="J750">
        <v>280</v>
      </c>
      <c r="K750">
        <v>0</v>
      </c>
      <c r="L750">
        <v>280</v>
      </c>
      <c r="M750">
        <v>150</v>
      </c>
      <c r="N750">
        <v>130</v>
      </c>
    </row>
    <row r="751" spans="1:14" x14ac:dyDescent="0.35">
      <c r="A751" t="s">
        <v>1269</v>
      </c>
      <c r="B751" t="s">
        <v>1267</v>
      </c>
      <c r="C751" t="s">
        <v>211</v>
      </c>
      <c r="D751" t="s">
        <v>43</v>
      </c>
      <c r="E751" t="s">
        <v>250</v>
      </c>
      <c r="F751" t="s">
        <v>27</v>
      </c>
      <c r="G751" t="s">
        <v>90</v>
      </c>
      <c r="H751" t="s">
        <v>29</v>
      </c>
      <c r="I751">
        <v>3</v>
      </c>
      <c r="J751">
        <v>900</v>
      </c>
      <c r="K751">
        <v>0</v>
      </c>
      <c r="L751">
        <v>2700</v>
      </c>
      <c r="M751">
        <v>1560</v>
      </c>
      <c r="N751">
        <v>1140</v>
      </c>
    </row>
    <row r="752" spans="1:14" x14ac:dyDescent="0.35">
      <c r="A752" t="s">
        <v>1270</v>
      </c>
      <c r="B752" t="s">
        <v>1267</v>
      </c>
      <c r="C752" t="s">
        <v>318</v>
      </c>
      <c r="D752" t="s">
        <v>54</v>
      </c>
      <c r="E752" t="s">
        <v>110</v>
      </c>
      <c r="F752" t="s">
        <v>45</v>
      </c>
      <c r="G752" t="s">
        <v>122</v>
      </c>
      <c r="H752" t="s">
        <v>33</v>
      </c>
      <c r="I752">
        <v>7</v>
      </c>
      <c r="J752">
        <v>280</v>
      </c>
      <c r="K752">
        <v>0.05</v>
      </c>
      <c r="L752">
        <v>1862</v>
      </c>
      <c r="M752">
        <v>1050</v>
      </c>
      <c r="N752">
        <v>812</v>
      </c>
    </row>
    <row r="753" spans="1:14" x14ac:dyDescent="0.35">
      <c r="A753" t="s">
        <v>1271</v>
      </c>
      <c r="B753" t="s">
        <v>1267</v>
      </c>
      <c r="C753" t="s">
        <v>171</v>
      </c>
      <c r="D753" t="s">
        <v>17</v>
      </c>
      <c r="E753" t="s">
        <v>50</v>
      </c>
      <c r="F753" t="s">
        <v>19</v>
      </c>
      <c r="G753" t="s">
        <v>56</v>
      </c>
      <c r="H753" t="s">
        <v>39</v>
      </c>
      <c r="I753">
        <v>9</v>
      </c>
      <c r="J753">
        <v>650</v>
      </c>
      <c r="K753">
        <v>0</v>
      </c>
      <c r="L753">
        <v>5850</v>
      </c>
      <c r="M753">
        <v>3420</v>
      </c>
      <c r="N753">
        <v>2430</v>
      </c>
    </row>
    <row r="754" spans="1:14" x14ac:dyDescent="0.35">
      <c r="A754" t="s">
        <v>1272</v>
      </c>
      <c r="B754" t="s">
        <v>1273</v>
      </c>
      <c r="C754" t="s">
        <v>309</v>
      </c>
      <c r="D754" t="s">
        <v>43</v>
      </c>
      <c r="E754" t="s">
        <v>250</v>
      </c>
      <c r="F754" t="s">
        <v>37</v>
      </c>
      <c r="G754" t="s">
        <v>97</v>
      </c>
      <c r="H754" t="s">
        <v>125</v>
      </c>
      <c r="I754">
        <v>10</v>
      </c>
      <c r="J754">
        <v>900</v>
      </c>
      <c r="K754">
        <v>0.15</v>
      </c>
      <c r="L754">
        <v>7650</v>
      </c>
      <c r="M754">
        <v>5200</v>
      </c>
      <c r="N754">
        <v>2450</v>
      </c>
    </row>
    <row r="755" spans="1:14" x14ac:dyDescent="0.35">
      <c r="A755" t="s">
        <v>1274</v>
      </c>
      <c r="B755" t="s">
        <v>1273</v>
      </c>
      <c r="C755" t="s">
        <v>455</v>
      </c>
      <c r="D755" t="s">
        <v>17</v>
      </c>
      <c r="E755" t="s">
        <v>124</v>
      </c>
      <c r="F755" t="s">
        <v>19</v>
      </c>
      <c r="G755" t="s">
        <v>215</v>
      </c>
      <c r="H755" t="s">
        <v>125</v>
      </c>
      <c r="I755">
        <v>4</v>
      </c>
      <c r="J755">
        <v>1200</v>
      </c>
      <c r="K755">
        <v>0</v>
      </c>
      <c r="L755">
        <v>4800</v>
      </c>
      <c r="M755">
        <v>2880</v>
      </c>
      <c r="N755">
        <v>1920</v>
      </c>
    </row>
    <row r="756" spans="1:14" x14ac:dyDescent="0.35">
      <c r="A756" t="s">
        <v>1275</v>
      </c>
      <c r="B756" t="s">
        <v>1273</v>
      </c>
      <c r="C756" t="s">
        <v>446</v>
      </c>
      <c r="D756" t="s">
        <v>17</v>
      </c>
      <c r="E756" t="s">
        <v>32</v>
      </c>
      <c r="F756" t="s">
        <v>37</v>
      </c>
      <c r="G756" t="s">
        <v>38</v>
      </c>
      <c r="H756" t="s">
        <v>47</v>
      </c>
      <c r="I756">
        <v>7</v>
      </c>
      <c r="J756">
        <v>1500</v>
      </c>
      <c r="K756">
        <v>0</v>
      </c>
      <c r="L756">
        <v>10500</v>
      </c>
      <c r="M756">
        <v>6300</v>
      </c>
      <c r="N756">
        <v>4200</v>
      </c>
    </row>
    <row r="757" spans="1:14" x14ac:dyDescent="0.35">
      <c r="A757" t="s">
        <v>1276</v>
      </c>
      <c r="B757" t="s">
        <v>1277</v>
      </c>
      <c r="C757" t="s">
        <v>825</v>
      </c>
      <c r="D757" t="s">
        <v>54</v>
      </c>
      <c r="E757" t="s">
        <v>116</v>
      </c>
      <c r="F757" t="s">
        <v>45</v>
      </c>
      <c r="G757" t="s">
        <v>46</v>
      </c>
      <c r="H757" t="s">
        <v>125</v>
      </c>
      <c r="I757">
        <v>2</v>
      </c>
      <c r="J757">
        <v>450</v>
      </c>
      <c r="K757">
        <v>0.1</v>
      </c>
      <c r="L757">
        <v>810</v>
      </c>
      <c r="M757">
        <v>500</v>
      </c>
      <c r="N757">
        <v>310</v>
      </c>
    </row>
    <row r="758" spans="1:14" x14ac:dyDescent="0.35">
      <c r="A758" t="s">
        <v>1278</v>
      </c>
      <c r="B758" t="s">
        <v>1277</v>
      </c>
      <c r="C758" t="s">
        <v>711</v>
      </c>
      <c r="D758" t="s">
        <v>17</v>
      </c>
      <c r="E758" t="s">
        <v>124</v>
      </c>
      <c r="F758" t="s">
        <v>45</v>
      </c>
      <c r="G758" t="s">
        <v>70</v>
      </c>
      <c r="H758" t="s">
        <v>29</v>
      </c>
      <c r="I758">
        <v>9</v>
      </c>
      <c r="J758">
        <v>1200</v>
      </c>
      <c r="K758">
        <v>0</v>
      </c>
      <c r="L758">
        <v>10800</v>
      </c>
      <c r="M758">
        <v>6480</v>
      </c>
      <c r="N758">
        <v>4320</v>
      </c>
    </row>
    <row r="759" spans="1:14" x14ac:dyDescent="0.35">
      <c r="A759" t="s">
        <v>1279</v>
      </c>
      <c r="B759" t="s">
        <v>1277</v>
      </c>
      <c r="C759" t="s">
        <v>232</v>
      </c>
      <c r="D759" t="s">
        <v>25</v>
      </c>
      <c r="E759" t="s">
        <v>36</v>
      </c>
      <c r="F759" t="s">
        <v>37</v>
      </c>
      <c r="G759" t="s">
        <v>38</v>
      </c>
      <c r="H759" t="s">
        <v>33</v>
      </c>
      <c r="I759">
        <v>1</v>
      </c>
      <c r="J759">
        <v>700</v>
      </c>
      <c r="K759">
        <v>0</v>
      </c>
      <c r="L759">
        <v>700</v>
      </c>
      <c r="M759">
        <v>400</v>
      </c>
      <c r="N759">
        <v>300</v>
      </c>
    </row>
    <row r="760" spans="1:14" x14ac:dyDescent="0.35">
      <c r="A760" t="s">
        <v>1280</v>
      </c>
      <c r="B760" t="s">
        <v>1281</v>
      </c>
      <c r="C760" t="s">
        <v>119</v>
      </c>
      <c r="D760" t="s">
        <v>54</v>
      </c>
      <c r="E760" t="s">
        <v>103</v>
      </c>
      <c r="F760" t="s">
        <v>37</v>
      </c>
      <c r="G760" t="s">
        <v>140</v>
      </c>
      <c r="H760" t="s">
        <v>33</v>
      </c>
      <c r="I760">
        <v>4</v>
      </c>
      <c r="J760">
        <v>150</v>
      </c>
      <c r="K760">
        <v>0.05</v>
      </c>
      <c r="L760">
        <v>570</v>
      </c>
      <c r="M760">
        <v>300</v>
      </c>
      <c r="N760">
        <v>270</v>
      </c>
    </row>
    <row r="761" spans="1:14" x14ac:dyDescent="0.35">
      <c r="A761" t="s">
        <v>1282</v>
      </c>
      <c r="B761" t="s">
        <v>1283</v>
      </c>
      <c r="C761" t="s">
        <v>182</v>
      </c>
      <c r="D761" t="s">
        <v>17</v>
      </c>
      <c r="E761" t="s">
        <v>18</v>
      </c>
      <c r="F761" t="s">
        <v>19</v>
      </c>
      <c r="G761" t="s">
        <v>113</v>
      </c>
      <c r="H761" t="s">
        <v>125</v>
      </c>
      <c r="I761">
        <v>7</v>
      </c>
      <c r="J761">
        <v>1800</v>
      </c>
      <c r="K761">
        <v>0.05</v>
      </c>
      <c r="L761">
        <v>11970</v>
      </c>
      <c r="M761">
        <v>7700</v>
      </c>
      <c r="N761">
        <v>4270</v>
      </c>
    </row>
    <row r="762" spans="1:14" x14ac:dyDescent="0.35">
      <c r="A762" t="s">
        <v>1284</v>
      </c>
      <c r="B762" t="s">
        <v>1283</v>
      </c>
      <c r="C762" t="s">
        <v>569</v>
      </c>
      <c r="D762" t="s">
        <v>25</v>
      </c>
      <c r="E762" t="s">
        <v>80</v>
      </c>
      <c r="F762" t="s">
        <v>45</v>
      </c>
      <c r="G762" t="s">
        <v>104</v>
      </c>
      <c r="H762" t="s">
        <v>39</v>
      </c>
      <c r="I762">
        <v>4</v>
      </c>
      <c r="J762">
        <v>950</v>
      </c>
      <c r="K762">
        <v>0</v>
      </c>
      <c r="L762">
        <v>3800</v>
      </c>
      <c r="M762">
        <v>2240</v>
      </c>
      <c r="N762">
        <v>1560</v>
      </c>
    </row>
    <row r="763" spans="1:14" x14ac:dyDescent="0.35">
      <c r="A763" t="s">
        <v>1285</v>
      </c>
      <c r="B763" t="s">
        <v>1286</v>
      </c>
      <c r="C763" t="s">
        <v>390</v>
      </c>
      <c r="D763" t="s">
        <v>25</v>
      </c>
      <c r="E763" t="s">
        <v>69</v>
      </c>
      <c r="F763" t="s">
        <v>27</v>
      </c>
      <c r="G763" t="s">
        <v>90</v>
      </c>
      <c r="H763" t="s">
        <v>47</v>
      </c>
      <c r="I763">
        <v>1</v>
      </c>
      <c r="J763">
        <v>350</v>
      </c>
      <c r="K763">
        <v>0</v>
      </c>
      <c r="L763">
        <v>350</v>
      </c>
      <c r="M763">
        <v>180</v>
      </c>
      <c r="N763">
        <v>170</v>
      </c>
    </row>
    <row r="764" spans="1:14" x14ac:dyDescent="0.35">
      <c r="A764" t="s">
        <v>1287</v>
      </c>
      <c r="B764" t="s">
        <v>1286</v>
      </c>
      <c r="C764" t="s">
        <v>1122</v>
      </c>
      <c r="D764" t="s">
        <v>25</v>
      </c>
      <c r="E764" t="s">
        <v>36</v>
      </c>
      <c r="F764" t="s">
        <v>19</v>
      </c>
      <c r="G764" t="s">
        <v>215</v>
      </c>
      <c r="H764" t="s">
        <v>39</v>
      </c>
      <c r="I764">
        <v>3</v>
      </c>
      <c r="J764">
        <v>700</v>
      </c>
      <c r="K764">
        <v>0.05</v>
      </c>
      <c r="L764">
        <v>1995</v>
      </c>
      <c r="M764">
        <v>1200</v>
      </c>
      <c r="N764">
        <v>795</v>
      </c>
    </row>
    <row r="765" spans="1:14" x14ac:dyDescent="0.35">
      <c r="A765" t="s">
        <v>1288</v>
      </c>
      <c r="B765" t="s">
        <v>1286</v>
      </c>
      <c r="C765" t="s">
        <v>161</v>
      </c>
      <c r="D765" t="s">
        <v>17</v>
      </c>
      <c r="E765" t="s">
        <v>32</v>
      </c>
      <c r="F765" t="s">
        <v>45</v>
      </c>
      <c r="G765" t="s">
        <v>70</v>
      </c>
      <c r="H765" t="s">
        <v>29</v>
      </c>
      <c r="I765">
        <v>5</v>
      </c>
      <c r="J765">
        <v>1500</v>
      </c>
      <c r="K765">
        <v>0.1</v>
      </c>
      <c r="L765">
        <v>6750</v>
      </c>
      <c r="M765">
        <v>4500</v>
      </c>
      <c r="N765">
        <v>2250</v>
      </c>
    </row>
    <row r="766" spans="1:14" x14ac:dyDescent="0.35">
      <c r="A766" t="s">
        <v>1289</v>
      </c>
      <c r="B766" t="s">
        <v>1290</v>
      </c>
      <c r="C766" t="s">
        <v>248</v>
      </c>
      <c r="D766" t="s">
        <v>17</v>
      </c>
      <c r="E766" t="s">
        <v>50</v>
      </c>
      <c r="F766" t="s">
        <v>19</v>
      </c>
      <c r="G766" t="s">
        <v>20</v>
      </c>
      <c r="H766" t="s">
        <v>47</v>
      </c>
      <c r="I766">
        <v>1</v>
      </c>
      <c r="J766">
        <v>650</v>
      </c>
      <c r="K766">
        <v>0</v>
      </c>
      <c r="L766">
        <v>650</v>
      </c>
      <c r="M766">
        <v>380</v>
      </c>
      <c r="N766">
        <v>270</v>
      </c>
    </row>
    <row r="767" spans="1:14" x14ac:dyDescent="0.35">
      <c r="A767" t="s">
        <v>1291</v>
      </c>
      <c r="B767" t="s">
        <v>1290</v>
      </c>
      <c r="C767" t="s">
        <v>711</v>
      </c>
      <c r="D767" t="s">
        <v>17</v>
      </c>
      <c r="E767" t="s">
        <v>50</v>
      </c>
      <c r="F767" t="s">
        <v>27</v>
      </c>
      <c r="G767" t="s">
        <v>51</v>
      </c>
      <c r="H767" t="s">
        <v>39</v>
      </c>
      <c r="I767">
        <v>4</v>
      </c>
      <c r="J767">
        <v>650</v>
      </c>
      <c r="K767">
        <v>0</v>
      </c>
      <c r="L767">
        <v>2600</v>
      </c>
      <c r="M767">
        <v>1520</v>
      </c>
      <c r="N767">
        <v>1080</v>
      </c>
    </row>
    <row r="768" spans="1:14" x14ac:dyDescent="0.35">
      <c r="A768" t="s">
        <v>1292</v>
      </c>
      <c r="B768" t="s">
        <v>1293</v>
      </c>
      <c r="C768" t="s">
        <v>861</v>
      </c>
      <c r="D768" t="s">
        <v>54</v>
      </c>
      <c r="E768" t="s">
        <v>55</v>
      </c>
      <c r="F768" t="s">
        <v>45</v>
      </c>
      <c r="G768" t="s">
        <v>70</v>
      </c>
      <c r="H768" t="s">
        <v>39</v>
      </c>
      <c r="I768">
        <v>10</v>
      </c>
      <c r="J768">
        <v>180</v>
      </c>
      <c r="K768">
        <v>0</v>
      </c>
      <c r="L768">
        <v>1800</v>
      </c>
      <c r="M768">
        <v>900</v>
      </c>
      <c r="N768">
        <v>900</v>
      </c>
    </row>
    <row r="769" spans="1:14" x14ac:dyDescent="0.35">
      <c r="A769" t="s">
        <v>1294</v>
      </c>
      <c r="B769" t="s">
        <v>1295</v>
      </c>
      <c r="C769" t="s">
        <v>211</v>
      </c>
      <c r="D769" t="s">
        <v>25</v>
      </c>
      <c r="E769" t="s">
        <v>89</v>
      </c>
      <c r="F769" t="s">
        <v>37</v>
      </c>
      <c r="G769" t="s">
        <v>140</v>
      </c>
      <c r="H769" t="s">
        <v>21</v>
      </c>
      <c r="I769">
        <v>10</v>
      </c>
      <c r="J769">
        <v>550</v>
      </c>
      <c r="K769">
        <v>0</v>
      </c>
      <c r="L769">
        <v>5500</v>
      </c>
      <c r="M769">
        <v>3000</v>
      </c>
      <c r="N769">
        <v>2500</v>
      </c>
    </row>
    <row r="770" spans="1:14" x14ac:dyDescent="0.35">
      <c r="A770" t="s">
        <v>1296</v>
      </c>
      <c r="B770" t="s">
        <v>1295</v>
      </c>
      <c r="C770" t="s">
        <v>390</v>
      </c>
      <c r="D770" t="s">
        <v>17</v>
      </c>
      <c r="E770" t="s">
        <v>65</v>
      </c>
      <c r="F770" t="s">
        <v>45</v>
      </c>
      <c r="G770" t="s">
        <v>104</v>
      </c>
      <c r="H770" t="s">
        <v>39</v>
      </c>
      <c r="I770">
        <v>8</v>
      </c>
      <c r="J770">
        <v>2200</v>
      </c>
      <c r="K770">
        <v>0</v>
      </c>
      <c r="L770">
        <v>17600</v>
      </c>
      <c r="M770">
        <v>11200</v>
      </c>
      <c r="N770">
        <v>6400</v>
      </c>
    </row>
    <row r="771" spans="1:14" x14ac:dyDescent="0.35">
      <c r="A771" t="s">
        <v>1297</v>
      </c>
      <c r="B771" t="s">
        <v>1295</v>
      </c>
      <c r="C771" t="s">
        <v>506</v>
      </c>
      <c r="D771" t="s">
        <v>43</v>
      </c>
      <c r="E771" t="s">
        <v>44</v>
      </c>
      <c r="F771" t="s">
        <v>45</v>
      </c>
      <c r="G771" t="s">
        <v>122</v>
      </c>
      <c r="H771" t="s">
        <v>33</v>
      </c>
      <c r="I771">
        <v>9</v>
      </c>
      <c r="J771">
        <v>2200</v>
      </c>
      <c r="K771">
        <v>0.1</v>
      </c>
      <c r="L771">
        <v>17820</v>
      </c>
      <c r="M771">
        <v>13050</v>
      </c>
      <c r="N771">
        <v>4770</v>
      </c>
    </row>
    <row r="772" spans="1:14" x14ac:dyDescent="0.35">
      <c r="A772" t="s">
        <v>1298</v>
      </c>
      <c r="B772" t="s">
        <v>1295</v>
      </c>
      <c r="C772" t="s">
        <v>96</v>
      </c>
      <c r="D772" t="s">
        <v>17</v>
      </c>
      <c r="E772" t="s">
        <v>32</v>
      </c>
      <c r="F772" t="s">
        <v>19</v>
      </c>
      <c r="G772" t="s">
        <v>56</v>
      </c>
      <c r="H772" t="s">
        <v>47</v>
      </c>
      <c r="I772">
        <v>3</v>
      </c>
      <c r="J772">
        <v>1500</v>
      </c>
      <c r="K772">
        <v>0.1</v>
      </c>
      <c r="L772">
        <v>4050</v>
      </c>
      <c r="M772">
        <v>2700</v>
      </c>
      <c r="N772">
        <v>1350</v>
      </c>
    </row>
    <row r="773" spans="1:14" x14ac:dyDescent="0.35">
      <c r="A773" t="s">
        <v>1299</v>
      </c>
      <c r="B773" t="s">
        <v>1295</v>
      </c>
      <c r="C773" t="s">
        <v>1181</v>
      </c>
      <c r="D773" t="s">
        <v>17</v>
      </c>
      <c r="E773" t="s">
        <v>65</v>
      </c>
      <c r="F773" t="s">
        <v>27</v>
      </c>
      <c r="G773" t="s">
        <v>51</v>
      </c>
      <c r="H773" t="s">
        <v>33</v>
      </c>
      <c r="I773">
        <v>7</v>
      </c>
      <c r="J773">
        <v>2200</v>
      </c>
      <c r="K773">
        <v>0</v>
      </c>
      <c r="L773">
        <v>15400</v>
      </c>
      <c r="M773">
        <v>9800</v>
      </c>
      <c r="N773">
        <v>5600</v>
      </c>
    </row>
    <row r="774" spans="1:14" x14ac:dyDescent="0.35">
      <c r="A774" t="s">
        <v>1300</v>
      </c>
      <c r="B774" t="s">
        <v>1301</v>
      </c>
      <c r="C774" t="s">
        <v>662</v>
      </c>
      <c r="D774" t="s">
        <v>25</v>
      </c>
      <c r="E774" t="s">
        <v>36</v>
      </c>
      <c r="F774" t="s">
        <v>27</v>
      </c>
      <c r="G774" t="s">
        <v>90</v>
      </c>
      <c r="H774" t="s">
        <v>39</v>
      </c>
      <c r="I774">
        <v>1</v>
      </c>
      <c r="J774">
        <v>700</v>
      </c>
      <c r="K774">
        <v>0</v>
      </c>
      <c r="L774">
        <v>700</v>
      </c>
      <c r="M774">
        <v>400</v>
      </c>
      <c r="N774">
        <v>300</v>
      </c>
    </row>
    <row r="775" spans="1:14" x14ac:dyDescent="0.35">
      <c r="A775" t="s">
        <v>1302</v>
      </c>
      <c r="B775" t="s">
        <v>1303</v>
      </c>
      <c r="C775" t="s">
        <v>316</v>
      </c>
      <c r="D775" t="s">
        <v>43</v>
      </c>
      <c r="E775" t="s">
        <v>62</v>
      </c>
      <c r="F775" t="s">
        <v>45</v>
      </c>
      <c r="G775" t="s">
        <v>46</v>
      </c>
      <c r="H775" t="s">
        <v>39</v>
      </c>
      <c r="I775">
        <v>5</v>
      </c>
      <c r="J775">
        <v>500</v>
      </c>
      <c r="K775">
        <v>0</v>
      </c>
      <c r="L775">
        <v>2500</v>
      </c>
      <c r="M775">
        <v>1400</v>
      </c>
      <c r="N775">
        <v>1100</v>
      </c>
    </row>
    <row r="776" spans="1:14" x14ac:dyDescent="0.35">
      <c r="A776" t="s">
        <v>1304</v>
      </c>
      <c r="B776" t="s">
        <v>1303</v>
      </c>
      <c r="C776" t="s">
        <v>287</v>
      </c>
      <c r="D776" t="s">
        <v>17</v>
      </c>
      <c r="E776" t="s">
        <v>50</v>
      </c>
      <c r="F776" t="s">
        <v>45</v>
      </c>
      <c r="G776" t="s">
        <v>70</v>
      </c>
      <c r="H776" t="s">
        <v>125</v>
      </c>
      <c r="I776">
        <v>1</v>
      </c>
      <c r="J776">
        <v>650</v>
      </c>
      <c r="K776">
        <v>0.05</v>
      </c>
      <c r="L776">
        <v>617.5</v>
      </c>
      <c r="M776">
        <v>380</v>
      </c>
      <c r="N776">
        <v>237.5</v>
      </c>
    </row>
    <row r="777" spans="1:14" x14ac:dyDescent="0.35">
      <c r="A777" t="s">
        <v>1305</v>
      </c>
      <c r="B777" t="s">
        <v>1303</v>
      </c>
      <c r="C777" t="s">
        <v>82</v>
      </c>
      <c r="D777" t="s">
        <v>25</v>
      </c>
      <c r="E777" t="s">
        <v>80</v>
      </c>
      <c r="F777" t="s">
        <v>19</v>
      </c>
      <c r="G777" t="s">
        <v>113</v>
      </c>
      <c r="H777" t="s">
        <v>29</v>
      </c>
      <c r="I777">
        <v>4</v>
      </c>
      <c r="J777">
        <v>950</v>
      </c>
      <c r="K777">
        <v>0.05</v>
      </c>
      <c r="L777">
        <v>3610</v>
      </c>
      <c r="M777">
        <v>2240</v>
      </c>
      <c r="N777">
        <v>1370</v>
      </c>
    </row>
    <row r="778" spans="1:14" x14ac:dyDescent="0.35">
      <c r="A778" t="s">
        <v>1306</v>
      </c>
      <c r="B778" t="s">
        <v>1303</v>
      </c>
      <c r="C778" t="s">
        <v>386</v>
      </c>
      <c r="D778" t="s">
        <v>25</v>
      </c>
      <c r="E778" t="s">
        <v>80</v>
      </c>
      <c r="F778" t="s">
        <v>45</v>
      </c>
      <c r="G778" t="s">
        <v>46</v>
      </c>
      <c r="H778" t="s">
        <v>29</v>
      </c>
      <c r="I778">
        <v>6</v>
      </c>
      <c r="J778">
        <v>950</v>
      </c>
      <c r="K778">
        <v>0.05</v>
      </c>
      <c r="L778">
        <v>5415</v>
      </c>
      <c r="M778">
        <v>3360</v>
      </c>
      <c r="N778">
        <v>2055</v>
      </c>
    </row>
    <row r="779" spans="1:14" x14ac:dyDescent="0.35">
      <c r="A779" t="s">
        <v>1307</v>
      </c>
      <c r="B779" t="s">
        <v>1308</v>
      </c>
      <c r="C779" t="s">
        <v>31</v>
      </c>
      <c r="D779" t="s">
        <v>25</v>
      </c>
      <c r="E779" t="s">
        <v>26</v>
      </c>
      <c r="F779" t="s">
        <v>37</v>
      </c>
      <c r="G779" t="s">
        <v>140</v>
      </c>
      <c r="H779" t="s">
        <v>33</v>
      </c>
      <c r="I779">
        <v>7</v>
      </c>
      <c r="J779">
        <v>600</v>
      </c>
      <c r="K779">
        <v>0.1</v>
      </c>
      <c r="L779">
        <v>3780</v>
      </c>
      <c r="M779">
        <v>2310</v>
      </c>
      <c r="N779">
        <v>1470</v>
      </c>
    </row>
    <row r="780" spans="1:14" x14ac:dyDescent="0.35">
      <c r="A780" t="s">
        <v>1309</v>
      </c>
      <c r="B780" t="s">
        <v>1308</v>
      </c>
      <c r="C780" t="s">
        <v>805</v>
      </c>
      <c r="D780" t="s">
        <v>43</v>
      </c>
      <c r="E780" t="s">
        <v>143</v>
      </c>
      <c r="F780" t="s">
        <v>27</v>
      </c>
      <c r="G780" t="s">
        <v>85</v>
      </c>
      <c r="H780" t="s">
        <v>125</v>
      </c>
      <c r="I780">
        <v>7</v>
      </c>
      <c r="J780">
        <v>650</v>
      </c>
      <c r="K780">
        <v>0.15</v>
      </c>
      <c r="L780">
        <v>3867.5</v>
      </c>
      <c r="M780">
        <v>2450</v>
      </c>
      <c r="N780">
        <v>1417.5</v>
      </c>
    </row>
    <row r="781" spans="1:14" x14ac:dyDescent="0.35">
      <c r="A781" t="s">
        <v>1310</v>
      </c>
      <c r="B781" t="s">
        <v>1308</v>
      </c>
      <c r="C781" t="s">
        <v>158</v>
      </c>
      <c r="D781" t="s">
        <v>17</v>
      </c>
      <c r="E781" t="s">
        <v>65</v>
      </c>
      <c r="F781" t="s">
        <v>37</v>
      </c>
      <c r="G781" t="s">
        <v>140</v>
      </c>
      <c r="H781" t="s">
        <v>21</v>
      </c>
      <c r="I781">
        <v>7</v>
      </c>
      <c r="J781">
        <v>2200</v>
      </c>
      <c r="K781">
        <v>0</v>
      </c>
      <c r="L781">
        <v>15400</v>
      </c>
      <c r="M781">
        <v>9800</v>
      </c>
      <c r="N781">
        <v>5600</v>
      </c>
    </row>
    <row r="782" spans="1:14" x14ac:dyDescent="0.35">
      <c r="A782" t="s">
        <v>1311</v>
      </c>
      <c r="B782" t="s">
        <v>1308</v>
      </c>
      <c r="C782" t="s">
        <v>809</v>
      </c>
      <c r="D782" t="s">
        <v>43</v>
      </c>
      <c r="E782" t="s">
        <v>143</v>
      </c>
      <c r="F782" t="s">
        <v>27</v>
      </c>
      <c r="G782" t="s">
        <v>28</v>
      </c>
      <c r="H782" t="s">
        <v>125</v>
      </c>
      <c r="I782">
        <v>9</v>
      </c>
      <c r="J782">
        <v>650</v>
      </c>
      <c r="K782">
        <v>0.05</v>
      </c>
      <c r="L782">
        <v>5557.5</v>
      </c>
      <c r="M782">
        <v>3150</v>
      </c>
      <c r="N782">
        <v>2407.5</v>
      </c>
    </row>
    <row r="783" spans="1:14" x14ac:dyDescent="0.35">
      <c r="A783" t="s">
        <v>1312</v>
      </c>
      <c r="B783" t="s">
        <v>1308</v>
      </c>
      <c r="C783" t="s">
        <v>292</v>
      </c>
      <c r="D783" t="s">
        <v>43</v>
      </c>
      <c r="E783" t="s">
        <v>250</v>
      </c>
      <c r="F783" t="s">
        <v>27</v>
      </c>
      <c r="G783" t="s">
        <v>90</v>
      </c>
      <c r="H783" t="s">
        <v>21</v>
      </c>
      <c r="I783">
        <v>2</v>
      </c>
      <c r="J783">
        <v>900</v>
      </c>
      <c r="K783">
        <v>0</v>
      </c>
      <c r="L783">
        <v>1800</v>
      </c>
      <c r="M783">
        <v>1040</v>
      </c>
      <c r="N783">
        <v>760</v>
      </c>
    </row>
    <row r="784" spans="1:14" x14ac:dyDescent="0.35">
      <c r="A784" t="s">
        <v>1313</v>
      </c>
      <c r="B784" t="s">
        <v>1308</v>
      </c>
      <c r="C784" t="s">
        <v>155</v>
      </c>
      <c r="D784" t="s">
        <v>43</v>
      </c>
      <c r="E784" t="s">
        <v>169</v>
      </c>
      <c r="F784" t="s">
        <v>37</v>
      </c>
      <c r="G784" t="s">
        <v>97</v>
      </c>
      <c r="H784" t="s">
        <v>39</v>
      </c>
      <c r="I784">
        <v>3</v>
      </c>
      <c r="J784">
        <v>350</v>
      </c>
      <c r="K784">
        <v>0.15</v>
      </c>
      <c r="L784">
        <v>892.5</v>
      </c>
      <c r="M784">
        <v>510</v>
      </c>
      <c r="N784">
        <v>382.5</v>
      </c>
    </row>
    <row r="785" spans="1:14" x14ac:dyDescent="0.35">
      <c r="A785" t="s">
        <v>1314</v>
      </c>
      <c r="B785" t="s">
        <v>1308</v>
      </c>
      <c r="C785" t="s">
        <v>35</v>
      </c>
      <c r="D785" t="s">
        <v>54</v>
      </c>
      <c r="E785" t="s">
        <v>55</v>
      </c>
      <c r="F785" t="s">
        <v>37</v>
      </c>
      <c r="G785" t="s">
        <v>73</v>
      </c>
      <c r="H785" t="s">
        <v>29</v>
      </c>
      <c r="I785">
        <v>4</v>
      </c>
      <c r="J785">
        <v>180</v>
      </c>
      <c r="K785">
        <v>0</v>
      </c>
      <c r="L785">
        <v>720</v>
      </c>
      <c r="M785">
        <v>360</v>
      </c>
      <c r="N785">
        <v>360</v>
      </c>
    </row>
    <row r="786" spans="1:14" x14ac:dyDescent="0.35">
      <c r="A786" t="s">
        <v>1315</v>
      </c>
      <c r="B786" t="s">
        <v>1316</v>
      </c>
      <c r="C786" t="s">
        <v>343</v>
      </c>
      <c r="D786" t="s">
        <v>17</v>
      </c>
      <c r="E786" t="s">
        <v>124</v>
      </c>
      <c r="F786" t="s">
        <v>45</v>
      </c>
      <c r="G786" t="s">
        <v>70</v>
      </c>
      <c r="H786" t="s">
        <v>33</v>
      </c>
      <c r="I786">
        <v>5</v>
      </c>
      <c r="J786">
        <v>1200</v>
      </c>
      <c r="K786">
        <v>0.05</v>
      </c>
      <c r="L786">
        <v>5700</v>
      </c>
      <c r="M786">
        <v>3600</v>
      </c>
      <c r="N786">
        <v>2100</v>
      </c>
    </row>
    <row r="787" spans="1:14" x14ac:dyDescent="0.35">
      <c r="A787" t="s">
        <v>1317</v>
      </c>
      <c r="B787" t="s">
        <v>1316</v>
      </c>
      <c r="C787" t="s">
        <v>637</v>
      </c>
      <c r="D787" t="s">
        <v>25</v>
      </c>
      <c r="E787" t="s">
        <v>36</v>
      </c>
      <c r="F787" t="s">
        <v>27</v>
      </c>
      <c r="G787" t="s">
        <v>90</v>
      </c>
      <c r="H787" t="s">
        <v>29</v>
      </c>
      <c r="I787">
        <v>6</v>
      </c>
      <c r="J787">
        <v>700</v>
      </c>
      <c r="K787">
        <v>0.05</v>
      </c>
      <c r="L787">
        <v>3990</v>
      </c>
      <c r="M787">
        <v>2400</v>
      </c>
      <c r="N787">
        <v>1590</v>
      </c>
    </row>
    <row r="788" spans="1:14" x14ac:dyDescent="0.35">
      <c r="A788" t="s">
        <v>1318</v>
      </c>
      <c r="B788" t="s">
        <v>1316</v>
      </c>
      <c r="C788" t="s">
        <v>1005</v>
      </c>
      <c r="D788" t="s">
        <v>25</v>
      </c>
      <c r="E788" t="s">
        <v>36</v>
      </c>
      <c r="F788" t="s">
        <v>27</v>
      </c>
      <c r="G788" t="s">
        <v>85</v>
      </c>
      <c r="H788" t="s">
        <v>29</v>
      </c>
      <c r="I788">
        <v>6</v>
      </c>
      <c r="J788">
        <v>700</v>
      </c>
      <c r="K788">
        <v>0.1</v>
      </c>
      <c r="L788">
        <v>3780</v>
      </c>
      <c r="M788">
        <v>2400</v>
      </c>
      <c r="N788">
        <v>1380</v>
      </c>
    </row>
    <row r="789" spans="1:14" x14ac:dyDescent="0.35">
      <c r="A789" t="s">
        <v>1319</v>
      </c>
      <c r="B789" t="s">
        <v>1316</v>
      </c>
      <c r="C789" t="s">
        <v>455</v>
      </c>
      <c r="D789" t="s">
        <v>17</v>
      </c>
      <c r="E789" t="s">
        <v>32</v>
      </c>
      <c r="F789" t="s">
        <v>19</v>
      </c>
      <c r="G789" t="s">
        <v>56</v>
      </c>
      <c r="H789" t="s">
        <v>125</v>
      </c>
      <c r="I789">
        <v>1</v>
      </c>
      <c r="J789">
        <v>1500</v>
      </c>
      <c r="K789">
        <v>0.05</v>
      </c>
      <c r="L789">
        <v>1425</v>
      </c>
      <c r="M789">
        <v>900</v>
      </c>
      <c r="N789">
        <v>525</v>
      </c>
    </row>
    <row r="790" spans="1:14" x14ac:dyDescent="0.35">
      <c r="A790" t="s">
        <v>1320</v>
      </c>
      <c r="B790" t="s">
        <v>1321</v>
      </c>
      <c r="C790" t="s">
        <v>691</v>
      </c>
      <c r="D790" t="s">
        <v>25</v>
      </c>
      <c r="E790" t="s">
        <v>26</v>
      </c>
      <c r="F790" t="s">
        <v>19</v>
      </c>
      <c r="G790" t="s">
        <v>215</v>
      </c>
      <c r="H790" t="s">
        <v>39</v>
      </c>
      <c r="I790">
        <v>2</v>
      </c>
      <c r="J790">
        <v>600</v>
      </c>
      <c r="K790">
        <v>0</v>
      </c>
      <c r="L790">
        <v>1200</v>
      </c>
      <c r="M790">
        <v>660</v>
      </c>
      <c r="N790">
        <v>540</v>
      </c>
    </row>
    <row r="791" spans="1:14" x14ac:dyDescent="0.35">
      <c r="A791" t="s">
        <v>1322</v>
      </c>
      <c r="B791" t="s">
        <v>1321</v>
      </c>
      <c r="C791" t="s">
        <v>455</v>
      </c>
      <c r="D791" t="s">
        <v>17</v>
      </c>
      <c r="E791" t="s">
        <v>50</v>
      </c>
      <c r="F791" t="s">
        <v>37</v>
      </c>
      <c r="G791" t="s">
        <v>73</v>
      </c>
      <c r="H791" t="s">
        <v>39</v>
      </c>
      <c r="I791">
        <v>5</v>
      </c>
      <c r="J791">
        <v>650</v>
      </c>
      <c r="K791">
        <v>0</v>
      </c>
      <c r="L791">
        <v>3250</v>
      </c>
      <c r="M791">
        <v>1900</v>
      </c>
      <c r="N791">
        <v>1350</v>
      </c>
    </row>
    <row r="792" spans="1:14" x14ac:dyDescent="0.35">
      <c r="A792" t="s">
        <v>1323</v>
      </c>
      <c r="B792" t="s">
        <v>1324</v>
      </c>
      <c r="C792" t="s">
        <v>861</v>
      </c>
      <c r="D792" t="s">
        <v>54</v>
      </c>
      <c r="E792" t="s">
        <v>110</v>
      </c>
      <c r="F792" t="s">
        <v>19</v>
      </c>
      <c r="G792" t="s">
        <v>56</v>
      </c>
      <c r="H792" t="s">
        <v>33</v>
      </c>
      <c r="I792">
        <v>10</v>
      </c>
      <c r="J792">
        <v>280</v>
      </c>
      <c r="K792">
        <v>0.05</v>
      </c>
      <c r="L792">
        <v>2660</v>
      </c>
      <c r="M792">
        <v>1500</v>
      </c>
      <c r="N792">
        <v>1160</v>
      </c>
    </row>
    <row r="793" spans="1:14" x14ac:dyDescent="0.35">
      <c r="A793" t="s">
        <v>1325</v>
      </c>
      <c r="B793" t="s">
        <v>1324</v>
      </c>
      <c r="C793" t="s">
        <v>252</v>
      </c>
      <c r="D793" t="s">
        <v>54</v>
      </c>
      <c r="E793" t="s">
        <v>110</v>
      </c>
      <c r="F793" t="s">
        <v>37</v>
      </c>
      <c r="G793" t="s">
        <v>97</v>
      </c>
      <c r="H793" t="s">
        <v>29</v>
      </c>
      <c r="I793">
        <v>1</v>
      </c>
      <c r="J793">
        <v>280</v>
      </c>
      <c r="K793">
        <v>0.05</v>
      </c>
      <c r="L793">
        <v>266</v>
      </c>
      <c r="M793">
        <v>150</v>
      </c>
      <c r="N793">
        <v>116</v>
      </c>
    </row>
    <row r="794" spans="1:14" x14ac:dyDescent="0.35">
      <c r="A794" t="s">
        <v>1326</v>
      </c>
      <c r="B794" t="s">
        <v>1324</v>
      </c>
      <c r="C794" t="s">
        <v>664</v>
      </c>
      <c r="D794" t="s">
        <v>43</v>
      </c>
      <c r="E794" t="s">
        <v>62</v>
      </c>
      <c r="F794" t="s">
        <v>37</v>
      </c>
      <c r="G794" t="s">
        <v>97</v>
      </c>
      <c r="H794" t="s">
        <v>125</v>
      </c>
      <c r="I794">
        <v>3</v>
      </c>
      <c r="J794">
        <v>500</v>
      </c>
      <c r="K794">
        <v>0</v>
      </c>
      <c r="L794">
        <v>1500</v>
      </c>
      <c r="M794">
        <v>840</v>
      </c>
      <c r="N794">
        <v>660</v>
      </c>
    </row>
    <row r="795" spans="1:14" x14ac:dyDescent="0.35">
      <c r="A795" t="s">
        <v>1327</v>
      </c>
      <c r="B795" t="s">
        <v>1324</v>
      </c>
      <c r="C795" t="s">
        <v>543</v>
      </c>
      <c r="D795" t="s">
        <v>25</v>
      </c>
      <c r="E795" t="s">
        <v>36</v>
      </c>
      <c r="F795" t="s">
        <v>27</v>
      </c>
      <c r="G795" t="s">
        <v>90</v>
      </c>
      <c r="H795" t="s">
        <v>125</v>
      </c>
      <c r="I795">
        <v>3</v>
      </c>
      <c r="J795">
        <v>700</v>
      </c>
      <c r="K795">
        <v>0</v>
      </c>
      <c r="L795">
        <v>2100</v>
      </c>
      <c r="M795">
        <v>1200</v>
      </c>
      <c r="N795">
        <v>900</v>
      </c>
    </row>
    <row r="796" spans="1:14" x14ac:dyDescent="0.35">
      <c r="A796" t="s">
        <v>1328</v>
      </c>
      <c r="B796" t="s">
        <v>1329</v>
      </c>
      <c r="C796" t="s">
        <v>220</v>
      </c>
      <c r="D796" t="s">
        <v>25</v>
      </c>
      <c r="E796" t="s">
        <v>26</v>
      </c>
      <c r="F796" t="s">
        <v>45</v>
      </c>
      <c r="G796" t="s">
        <v>70</v>
      </c>
      <c r="H796" t="s">
        <v>33</v>
      </c>
      <c r="I796">
        <v>2</v>
      </c>
      <c r="J796">
        <v>600</v>
      </c>
      <c r="K796">
        <v>0</v>
      </c>
      <c r="L796">
        <v>1200</v>
      </c>
      <c r="M796">
        <v>660</v>
      </c>
      <c r="N796">
        <v>540</v>
      </c>
    </row>
    <row r="797" spans="1:14" x14ac:dyDescent="0.35">
      <c r="A797" t="s">
        <v>1330</v>
      </c>
      <c r="B797" t="s">
        <v>1329</v>
      </c>
      <c r="C797" t="s">
        <v>805</v>
      </c>
      <c r="D797" t="s">
        <v>17</v>
      </c>
      <c r="E797" t="s">
        <v>124</v>
      </c>
      <c r="F797" t="s">
        <v>37</v>
      </c>
      <c r="G797" t="s">
        <v>97</v>
      </c>
      <c r="H797" t="s">
        <v>21</v>
      </c>
      <c r="I797">
        <v>3</v>
      </c>
      <c r="J797">
        <v>1200</v>
      </c>
      <c r="K797">
        <v>0</v>
      </c>
      <c r="L797">
        <v>3600</v>
      </c>
      <c r="M797">
        <v>2160</v>
      </c>
      <c r="N797">
        <v>1440</v>
      </c>
    </row>
    <row r="798" spans="1:14" x14ac:dyDescent="0.35">
      <c r="A798" t="s">
        <v>1331</v>
      </c>
      <c r="B798" t="s">
        <v>1329</v>
      </c>
      <c r="C798" t="s">
        <v>736</v>
      </c>
      <c r="D798" t="s">
        <v>17</v>
      </c>
      <c r="E798" t="s">
        <v>65</v>
      </c>
      <c r="F798" t="s">
        <v>45</v>
      </c>
      <c r="G798" t="s">
        <v>70</v>
      </c>
      <c r="H798" t="s">
        <v>21</v>
      </c>
      <c r="I798">
        <v>2</v>
      </c>
      <c r="J798">
        <v>2200</v>
      </c>
      <c r="K798">
        <v>0</v>
      </c>
      <c r="L798">
        <v>4400</v>
      </c>
      <c r="M798">
        <v>2800</v>
      </c>
      <c r="N798">
        <v>1600</v>
      </c>
    </row>
    <row r="799" spans="1:14" x14ac:dyDescent="0.35">
      <c r="A799" t="s">
        <v>1332</v>
      </c>
      <c r="B799" t="s">
        <v>1333</v>
      </c>
      <c r="C799" t="s">
        <v>407</v>
      </c>
      <c r="D799" t="s">
        <v>25</v>
      </c>
      <c r="E799" t="s">
        <v>26</v>
      </c>
      <c r="F799" t="s">
        <v>27</v>
      </c>
      <c r="G799" t="s">
        <v>51</v>
      </c>
      <c r="H799" t="s">
        <v>33</v>
      </c>
      <c r="I799">
        <v>4</v>
      </c>
      <c r="J799">
        <v>600</v>
      </c>
      <c r="K799">
        <v>0.1</v>
      </c>
      <c r="L799">
        <v>2160</v>
      </c>
      <c r="M799">
        <v>1320</v>
      </c>
      <c r="N799">
        <v>840</v>
      </c>
    </row>
    <row r="800" spans="1:14" x14ac:dyDescent="0.35">
      <c r="A800" t="s">
        <v>1334</v>
      </c>
      <c r="B800" t="s">
        <v>1333</v>
      </c>
      <c r="C800" t="s">
        <v>423</v>
      </c>
      <c r="D800" t="s">
        <v>17</v>
      </c>
      <c r="E800" t="s">
        <v>50</v>
      </c>
      <c r="F800" t="s">
        <v>37</v>
      </c>
      <c r="G800" t="s">
        <v>140</v>
      </c>
      <c r="H800" t="s">
        <v>125</v>
      </c>
      <c r="I800">
        <v>4</v>
      </c>
      <c r="J800">
        <v>650</v>
      </c>
      <c r="K800">
        <v>0</v>
      </c>
      <c r="L800">
        <v>2600</v>
      </c>
      <c r="M800">
        <v>1520</v>
      </c>
      <c r="N800">
        <v>1080</v>
      </c>
    </row>
    <row r="801" spans="1:14" x14ac:dyDescent="0.35">
      <c r="A801" t="s">
        <v>1335</v>
      </c>
      <c r="B801" t="s">
        <v>1333</v>
      </c>
      <c r="C801" t="s">
        <v>631</v>
      </c>
      <c r="D801" t="s">
        <v>25</v>
      </c>
      <c r="E801" t="s">
        <v>69</v>
      </c>
      <c r="F801" t="s">
        <v>37</v>
      </c>
      <c r="G801" t="s">
        <v>38</v>
      </c>
      <c r="H801" t="s">
        <v>39</v>
      </c>
      <c r="I801">
        <v>5</v>
      </c>
      <c r="J801">
        <v>350</v>
      </c>
      <c r="K801">
        <v>0</v>
      </c>
      <c r="L801">
        <v>1750</v>
      </c>
      <c r="M801">
        <v>900</v>
      </c>
      <c r="N801">
        <v>850</v>
      </c>
    </row>
    <row r="802" spans="1:14" x14ac:dyDescent="0.35">
      <c r="A802" t="s">
        <v>1336</v>
      </c>
      <c r="B802" t="s">
        <v>1333</v>
      </c>
      <c r="C802" t="s">
        <v>494</v>
      </c>
      <c r="D802" t="s">
        <v>25</v>
      </c>
      <c r="E802" t="s">
        <v>36</v>
      </c>
      <c r="F802" t="s">
        <v>27</v>
      </c>
      <c r="G802" t="s">
        <v>28</v>
      </c>
      <c r="H802" t="s">
        <v>21</v>
      </c>
      <c r="I802">
        <v>2</v>
      </c>
      <c r="J802">
        <v>700</v>
      </c>
      <c r="K802">
        <v>0.05</v>
      </c>
      <c r="L802">
        <v>1330</v>
      </c>
      <c r="M802">
        <v>800</v>
      </c>
      <c r="N802">
        <v>530</v>
      </c>
    </row>
    <row r="803" spans="1:14" x14ac:dyDescent="0.35">
      <c r="A803" t="s">
        <v>1337</v>
      </c>
      <c r="B803" t="s">
        <v>1333</v>
      </c>
      <c r="C803" t="s">
        <v>84</v>
      </c>
      <c r="D803" t="s">
        <v>25</v>
      </c>
      <c r="E803" t="s">
        <v>69</v>
      </c>
      <c r="F803" t="s">
        <v>45</v>
      </c>
      <c r="G803" t="s">
        <v>122</v>
      </c>
      <c r="H803" t="s">
        <v>21</v>
      </c>
      <c r="I803">
        <v>2</v>
      </c>
      <c r="J803">
        <v>350</v>
      </c>
      <c r="K803">
        <v>0</v>
      </c>
      <c r="L803">
        <v>700</v>
      </c>
      <c r="M803">
        <v>360</v>
      </c>
      <c r="N803">
        <v>340</v>
      </c>
    </row>
    <row r="804" spans="1:14" x14ac:dyDescent="0.35">
      <c r="A804" t="s">
        <v>1338</v>
      </c>
      <c r="B804" t="s">
        <v>1339</v>
      </c>
      <c r="C804" t="s">
        <v>112</v>
      </c>
      <c r="D804" t="s">
        <v>43</v>
      </c>
      <c r="E804" t="s">
        <v>169</v>
      </c>
      <c r="F804" t="s">
        <v>45</v>
      </c>
      <c r="G804" t="s">
        <v>122</v>
      </c>
      <c r="H804" t="s">
        <v>29</v>
      </c>
      <c r="I804">
        <v>3</v>
      </c>
      <c r="J804">
        <v>350</v>
      </c>
      <c r="K804">
        <v>0.05</v>
      </c>
      <c r="L804">
        <v>997.5</v>
      </c>
      <c r="M804">
        <v>510</v>
      </c>
      <c r="N804">
        <v>487.5</v>
      </c>
    </row>
    <row r="805" spans="1:14" x14ac:dyDescent="0.35">
      <c r="A805" t="s">
        <v>1340</v>
      </c>
      <c r="B805" t="s">
        <v>1339</v>
      </c>
      <c r="C805" t="s">
        <v>701</v>
      </c>
      <c r="D805" t="s">
        <v>54</v>
      </c>
      <c r="E805" t="s">
        <v>103</v>
      </c>
      <c r="F805" t="s">
        <v>27</v>
      </c>
      <c r="G805" t="s">
        <v>90</v>
      </c>
      <c r="H805" t="s">
        <v>21</v>
      </c>
      <c r="I805">
        <v>7</v>
      </c>
      <c r="J805">
        <v>150</v>
      </c>
      <c r="K805">
        <v>0</v>
      </c>
      <c r="L805">
        <v>1050</v>
      </c>
      <c r="M805">
        <v>525</v>
      </c>
      <c r="N805">
        <v>525</v>
      </c>
    </row>
    <row r="806" spans="1:14" x14ac:dyDescent="0.35">
      <c r="A806" t="s">
        <v>1341</v>
      </c>
      <c r="B806" t="s">
        <v>1342</v>
      </c>
      <c r="C806" t="s">
        <v>182</v>
      </c>
      <c r="D806" t="s">
        <v>17</v>
      </c>
      <c r="E806" t="s">
        <v>32</v>
      </c>
      <c r="F806" t="s">
        <v>27</v>
      </c>
      <c r="G806" t="s">
        <v>85</v>
      </c>
      <c r="H806" t="s">
        <v>33</v>
      </c>
      <c r="I806">
        <v>5</v>
      </c>
      <c r="J806">
        <v>1500</v>
      </c>
      <c r="K806">
        <v>0</v>
      </c>
      <c r="L806">
        <v>7500</v>
      </c>
      <c r="M806">
        <v>4500</v>
      </c>
      <c r="N806">
        <v>3000</v>
      </c>
    </row>
    <row r="807" spans="1:14" x14ac:dyDescent="0.35">
      <c r="A807" t="s">
        <v>1343</v>
      </c>
      <c r="B807" t="s">
        <v>1344</v>
      </c>
      <c r="C807" t="s">
        <v>407</v>
      </c>
      <c r="D807" t="s">
        <v>54</v>
      </c>
      <c r="E807" t="s">
        <v>103</v>
      </c>
      <c r="F807" t="s">
        <v>37</v>
      </c>
      <c r="G807" t="s">
        <v>97</v>
      </c>
      <c r="H807" t="s">
        <v>29</v>
      </c>
      <c r="I807">
        <v>10</v>
      </c>
      <c r="J807">
        <v>150</v>
      </c>
      <c r="K807">
        <v>0</v>
      </c>
      <c r="L807">
        <v>1500</v>
      </c>
      <c r="M807">
        <v>750</v>
      </c>
      <c r="N807">
        <v>750</v>
      </c>
    </row>
    <row r="808" spans="1:14" x14ac:dyDescent="0.35">
      <c r="A808" t="s">
        <v>1345</v>
      </c>
      <c r="B808" t="s">
        <v>1344</v>
      </c>
      <c r="C808" t="s">
        <v>35</v>
      </c>
      <c r="D808" t="s">
        <v>25</v>
      </c>
      <c r="E808" t="s">
        <v>69</v>
      </c>
      <c r="F808" t="s">
        <v>37</v>
      </c>
      <c r="G808" t="s">
        <v>73</v>
      </c>
      <c r="H808" t="s">
        <v>29</v>
      </c>
      <c r="I808">
        <v>3</v>
      </c>
      <c r="J808">
        <v>350</v>
      </c>
      <c r="K808">
        <v>0.05</v>
      </c>
      <c r="L808">
        <v>997.5</v>
      </c>
      <c r="M808">
        <v>540</v>
      </c>
      <c r="N808">
        <v>457.5</v>
      </c>
    </row>
    <row r="809" spans="1:14" x14ac:dyDescent="0.35">
      <c r="A809" t="s">
        <v>1346</v>
      </c>
      <c r="B809" t="s">
        <v>1347</v>
      </c>
      <c r="C809" t="s">
        <v>68</v>
      </c>
      <c r="D809" t="s">
        <v>54</v>
      </c>
      <c r="E809" t="s">
        <v>103</v>
      </c>
      <c r="F809" t="s">
        <v>45</v>
      </c>
      <c r="G809" t="s">
        <v>104</v>
      </c>
      <c r="H809" t="s">
        <v>33</v>
      </c>
      <c r="I809">
        <v>4</v>
      </c>
      <c r="J809">
        <v>150</v>
      </c>
      <c r="K809">
        <v>0</v>
      </c>
      <c r="L809">
        <v>600</v>
      </c>
      <c r="M809">
        <v>300</v>
      </c>
      <c r="N809">
        <v>300</v>
      </c>
    </row>
    <row r="810" spans="1:14" x14ac:dyDescent="0.35">
      <c r="A810" t="s">
        <v>1348</v>
      </c>
      <c r="B810" t="s">
        <v>1347</v>
      </c>
      <c r="C810" t="s">
        <v>352</v>
      </c>
      <c r="D810" t="s">
        <v>25</v>
      </c>
      <c r="E810" t="s">
        <v>80</v>
      </c>
      <c r="F810" t="s">
        <v>37</v>
      </c>
      <c r="G810" t="s">
        <v>38</v>
      </c>
      <c r="H810" t="s">
        <v>125</v>
      </c>
      <c r="I810">
        <v>2</v>
      </c>
      <c r="J810">
        <v>950</v>
      </c>
      <c r="K810">
        <v>0</v>
      </c>
      <c r="L810">
        <v>1900</v>
      </c>
      <c r="M810">
        <v>1120</v>
      </c>
      <c r="N810">
        <v>780</v>
      </c>
    </row>
    <row r="811" spans="1:14" x14ac:dyDescent="0.35">
      <c r="A811" t="s">
        <v>1349</v>
      </c>
      <c r="B811" t="s">
        <v>1350</v>
      </c>
      <c r="C811" t="s">
        <v>1181</v>
      </c>
      <c r="D811" t="s">
        <v>43</v>
      </c>
      <c r="E811" t="s">
        <v>250</v>
      </c>
      <c r="F811" t="s">
        <v>27</v>
      </c>
      <c r="G811" t="s">
        <v>28</v>
      </c>
      <c r="H811" t="s">
        <v>39</v>
      </c>
      <c r="I811">
        <v>2</v>
      </c>
      <c r="J811">
        <v>900</v>
      </c>
      <c r="K811">
        <v>0.1</v>
      </c>
      <c r="L811">
        <v>1620</v>
      </c>
      <c r="M811">
        <v>1040</v>
      </c>
      <c r="N811">
        <v>580</v>
      </c>
    </row>
    <row r="812" spans="1:14" x14ac:dyDescent="0.35">
      <c r="A812" t="s">
        <v>1351</v>
      </c>
      <c r="B812" t="s">
        <v>1350</v>
      </c>
      <c r="C812" t="s">
        <v>211</v>
      </c>
      <c r="D812" t="s">
        <v>43</v>
      </c>
      <c r="E812" t="s">
        <v>250</v>
      </c>
      <c r="F812" t="s">
        <v>45</v>
      </c>
      <c r="G812" t="s">
        <v>104</v>
      </c>
      <c r="H812" t="s">
        <v>21</v>
      </c>
      <c r="I812">
        <v>3</v>
      </c>
      <c r="J812">
        <v>900</v>
      </c>
      <c r="K812">
        <v>0.1</v>
      </c>
      <c r="L812">
        <v>2430</v>
      </c>
      <c r="M812">
        <v>1560</v>
      </c>
      <c r="N812">
        <v>870</v>
      </c>
    </row>
    <row r="813" spans="1:14" x14ac:dyDescent="0.35">
      <c r="A813" t="s">
        <v>1352</v>
      </c>
      <c r="B813" t="s">
        <v>1353</v>
      </c>
      <c r="C813" t="s">
        <v>835</v>
      </c>
      <c r="D813" t="s">
        <v>43</v>
      </c>
      <c r="E813" t="s">
        <v>44</v>
      </c>
      <c r="F813" t="s">
        <v>27</v>
      </c>
      <c r="G813" t="s">
        <v>90</v>
      </c>
      <c r="H813" t="s">
        <v>33</v>
      </c>
      <c r="I813">
        <v>2</v>
      </c>
      <c r="J813">
        <v>2200</v>
      </c>
      <c r="K813">
        <v>0.05</v>
      </c>
      <c r="L813">
        <v>4180</v>
      </c>
      <c r="M813">
        <v>2900</v>
      </c>
      <c r="N813">
        <v>1280</v>
      </c>
    </row>
    <row r="814" spans="1:14" x14ac:dyDescent="0.35">
      <c r="A814" t="s">
        <v>1354</v>
      </c>
      <c r="B814" t="s">
        <v>1353</v>
      </c>
      <c r="C814" t="s">
        <v>691</v>
      </c>
      <c r="D814" t="s">
        <v>17</v>
      </c>
      <c r="E814" t="s">
        <v>65</v>
      </c>
      <c r="F814" t="s">
        <v>45</v>
      </c>
      <c r="G814" t="s">
        <v>46</v>
      </c>
      <c r="H814" t="s">
        <v>21</v>
      </c>
      <c r="I814">
        <v>8</v>
      </c>
      <c r="J814">
        <v>2200</v>
      </c>
      <c r="K814">
        <v>0</v>
      </c>
      <c r="L814">
        <v>17600</v>
      </c>
      <c r="M814">
        <v>11200</v>
      </c>
      <c r="N814">
        <v>6400</v>
      </c>
    </row>
    <row r="815" spans="1:14" x14ac:dyDescent="0.35">
      <c r="A815" t="s">
        <v>1355</v>
      </c>
      <c r="B815" t="s">
        <v>1356</v>
      </c>
      <c r="C815" t="s">
        <v>528</v>
      </c>
      <c r="D815" t="s">
        <v>54</v>
      </c>
      <c r="E815" t="s">
        <v>116</v>
      </c>
      <c r="F815" t="s">
        <v>45</v>
      </c>
      <c r="G815" t="s">
        <v>122</v>
      </c>
      <c r="H815" t="s">
        <v>21</v>
      </c>
      <c r="I815">
        <v>4</v>
      </c>
      <c r="J815">
        <v>450</v>
      </c>
      <c r="K815">
        <v>0</v>
      </c>
      <c r="L815">
        <v>1800</v>
      </c>
      <c r="M815">
        <v>1000</v>
      </c>
      <c r="N815">
        <v>800</v>
      </c>
    </row>
    <row r="816" spans="1:14" x14ac:dyDescent="0.35">
      <c r="A816" t="s">
        <v>1357</v>
      </c>
      <c r="B816" t="s">
        <v>1356</v>
      </c>
      <c r="C816" t="s">
        <v>452</v>
      </c>
      <c r="D816" t="s">
        <v>25</v>
      </c>
      <c r="E816" t="s">
        <v>69</v>
      </c>
      <c r="F816" t="s">
        <v>37</v>
      </c>
      <c r="G816" t="s">
        <v>73</v>
      </c>
      <c r="H816" t="s">
        <v>39</v>
      </c>
      <c r="I816">
        <v>5</v>
      </c>
      <c r="J816">
        <v>350</v>
      </c>
      <c r="K816">
        <v>0</v>
      </c>
      <c r="L816">
        <v>1750</v>
      </c>
      <c r="M816">
        <v>900</v>
      </c>
      <c r="N816">
        <v>850</v>
      </c>
    </row>
    <row r="817" spans="1:14" x14ac:dyDescent="0.35">
      <c r="A817" t="s">
        <v>1358</v>
      </c>
      <c r="B817" t="s">
        <v>1359</v>
      </c>
      <c r="C817" t="s">
        <v>1221</v>
      </c>
      <c r="D817" t="s">
        <v>25</v>
      </c>
      <c r="E817" t="s">
        <v>89</v>
      </c>
      <c r="F817" t="s">
        <v>27</v>
      </c>
      <c r="G817" t="s">
        <v>51</v>
      </c>
      <c r="H817" t="s">
        <v>47</v>
      </c>
      <c r="I817">
        <v>9</v>
      </c>
      <c r="J817">
        <v>550</v>
      </c>
      <c r="K817">
        <v>0</v>
      </c>
      <c r="L817">
        <v>4950</v>
      </c>
      <c r="M817">
        <v>2700</v>
      </c>
      <c r="N817">
        <v>2250</v>
      </c>
    </row>
    <row r="818" spans="1:14" x14ac:dyDescent="0.35">
      <c r="A818" t="s">
        <v>1360</v>
      </c>
      <c r="B818" t="s">
        <v>1359</v>
      </c>
      <c r="C818" t="s">
        <v>296</v>
      </c>
      <c r="D818" t="s">
        <v>17</v>
      </c>
      <c r="E818" t="s">
        <v>124</v>
      </c>
      <c r="F818" t="s">
        <v>45</v>
      </c>
      <c r="G818" t="s">
        <v>122</v>
      </c>
      <c r="H818" t="s">
        <v>21</v>
      </c>
      <c r="I818">
        <v>6</v>
      </c>
      <c r="J818">
        <v>1200</v>
      </c>
      <c r="K818">
        <v>0</v>
      </c>
      <c r="L818">
        <v>7200</v>
      </c>
      <c r="M818">
        <v>4320</v>
      </c>
      <c r="N818">
        <v>2880</v>
      </c>
    </row>
    <row r="819" spans="1:14" x14ac:dyDescent="0.35">
      <c r="A819" t="s">
        <v>1361</v>
      </c>
      <c r="B819" t="s">
        <v>1359</v>
      </c>
      <c r="C819" t="s">
        <v>543</v>
      </c>
      <c r="D819" t="s">
        <v>17</v>
      </c>
      <c r="E819" t="s">
        <v>65</v>
      </c>
      <c r="F819" t="s">
        <v>45</v>
      </c>
      <c r="G819" t="s">
        <v>46</v>
      </c>
      <c r="H819" t="s">
        <v>21</v>
      </c>
      <c r="I819">
        <v>2</v>
      </c>
      <c r="J819">
        <v>2200</v>
      </c>
      <c r="K819">
        <v>0.05</v>
      </c>
      <c r="L819">
        <v>4180</v>
      </c>
      <c r="M819">
        <v>2800</v>
      </c>
      <c r="N819">
        <v>1380</v>
      </c>
    </row>
    <row r="820" spans="1:14" x14ac:dyDescent="0.35">
      <c r="A820" t="s">
        <v>1362</v>
      </c>
      <c r="B820" t="s">
        <v>1363</v>
      </c>
      <c r="C820" t="s">
        <v>99</v>
      </c>
      <c r="D820" t="s">
        <v>43</v>
      </c>
      <c r="E820" t="s">
        <v>143</v>
      </c>
      <c r="F820" t="s">
        <v>37</v>
      </c>
      <c r="G820" t="s">
        <v>38</v>
      </c>
      <c r="H820" t="s">
        <v>39</v>
      </c>
      <c r="I820">
        <v>7</v>
      </c>
      <c r="J820">
        <v>650</v>
      </c>
      <c r="K820">
        <v>0.05</v>
      </c>
      <c r="L820">
        <v>4322.5</v>
      </c>
      <c r="M820">
        <v>2450</v>
      </c>
      <c r="N820">
        <v>1872.5</v>
      </c>
    </row>
    <row r="821" spans="1:14" x14ac:dyDescent="0.35">
      <c r="A821" t="s">
        <v>1364</v>
      </c>
      <c r="B821" t="s">
        <v>1363</v>
      </c>
      <c r="C821" t="s">
        <v>217</v>
      </c>
      <c r="D821" t="s">
        <v>25</v>
      </c>
      <c r="E821" t="s">
        <v>89</v>
      </c>
      <c r="F821" t="s">
        <v>37</v>
      </c>
      <c r="G821" t="s">
        <v>97</v>
      </c>
      <c r="H821" t="s">
        <v>33</v>
      </c>
      <c r="I821">
        <v>4</v>
      </c>
      <c r="J821">
        <v>550</v>
      </c>
      <c r="K821">
        <v>0</v>
      </c>
      <c r="L821">
        <v>2200</v>
      </c>
      <c r="M821">
        <v>1200</v>
      </c>
      <c r="N821">
        <v>1000</v>
      </c>
    </row>
    <row r="822" spans="1:14" x14ac:dyDescent="0.35">
      <c r="A822" t="s">
        <v>1365</v>
      </c>
      <c r="B822" t="s">
        <v>1366</v>
      </c>
      <c r="C822" t="s">
        <v>264</v>
      </c>
      <c r="D822" t="s">
        <v>43</v>
      </c>
      <c r="E822" t="s">
        <v>250</v>
      </c>
      <c r="F822" t="s">
        <v>37</v>
      </c>
      <c r="G822" t="s">
        <v>97</v>
      </c>
      <c r="H822" t="s">
        <v>29</v>
      </c>
      <c r="I822">
        <v>10</v>
      </c>
      <c r="J822">
        <v>900</v>
      </c>
      <c r="K822">
        <v>0.05</v>
      </c>
      <c r="L822">
        <v>8550</v>
      </c>
      <c r="M822">
        <v>5200</v>
      </c>
      <c r="N822">
        <v>3350</v>
      </c>
    </row>
    <row r="823" spans="1:14" x14ac:dyDescent="0.35">
      <c r="A823" t="s">
        <v>1367</v>
      </c>
      <c r="B823" t="s">
        <v>1368</v>
      </c>
      <c r="C823" t="s">
        <v>145</v>
      </c>
      <c r="D823" t="s">
        <v>54</v>
      </c>
      <c r="E823" t="s">
        <v>116</v>
      </c>
      <c r="F823" t="s">
        <v>27</v>
      </c>
      <c r="G823" t="s">
        <v>90</v>
      </c>
      <c r="H823" t="s">
        <v>29</v>
      </c>
      <c r="I823">
        <v>5</v>
      </c>
      <c r="J823">
        <v>450</v>
      </c>
      <c r="K823">
        <v>0.1</v>
      </c>
      <c r="L823">
        <v>2025</v>
      </c>
      <c r="M823">
        <v>1250</v>
      </c>
      <c r="N823">
        <v>775</v>
      </c>
    </row>
    <row r="824" spans="1:14" x14ac:dyDescent="0.35">
      <c r="A824" t="s">
        <v>1369</v>
      </c>
      <c r="B824" t="s">
        <v>1370</v>
      </c>
      <c r="C824" t="s">
        <v>662</v>
      </c>
      <c r="D824" t="s">
        <v>43</v>
      </c>
      <c r="E824" t="s">
        <v>44</v>
      </c>
      <c r="F824" t="s">
        <v>19</v>
      </c>
      <c r="G824" t="s">
        <v>20</v>
      </c>
      <c r="H824" t="s">
        <v>33</v>
      </c>
      <c r="I824">
        <v>1</v>
      </c>
      <c r="J824">
        <v>2200</v>
      </c>
      <c r="K824">
        <v>0.1</v>
      </c>
      <c r="L824">
        <v>1980</v>
      </c>
      <c r="M824">
        <v>1450</v>
      </c>
      <c r="N824">
        <v>530</v>
      </c>
    </row>
    <row r="825" spans="1:14" x14ac:dyDescent="0.35">
      <c r="A825" t="s">
        <v>1371</v>
      </c>
      <c r="B825" t="s">
        <v>1370</v>
      </c>
      <c r="C825" t="s">
        <v>643</v>
      </c>
      <c r="D825" t="s">
        <v>25</v>
      </c>
      <c r="E825" t="s">
        <v>89</v>
      </c>
      <c r="F825" t="s">
        <v>27</v>
      </c>
      <c r="G825" t="s">
        <v>28</v>
      </c>
      <c r="H825" t="s">
        <v>29</v>
      </c>
      <c r="I825">
        <v>4</v>
      </c>
      <c r="J825">
        <v>550</v>
      </c>
      <c r="K825">
        <v>0</v>
      </c>
      <c r="L825">
        <v>2200</v>
      </c>
      <c r="M825">
        <v>1200</v>
      </c>
      <c r="N825">
        <v>1000</v>
      </c>
    </row>
    <row r="826" spans="1:14" x14ac:dyDescent="0.35">
      <c r="A826" t="s">
        <v>1372</v>
      </c>
      <c r="B826" t="s">
        <v>1370</v>
      </c>
      <c r="C826" t="s">
        <v>309</v>
      </c>
      <c r="D826" t="s">
        <v>43</v>
      </c>
      <c r="E826" t="s">
        <v>62</v>
      </c>
      <c r="F826" t="s">
        <v>27</v>
      </c>
      <c r="G826" t="s">
        <v>51</v>
      </c>
      <c r="H826" t="s">
        <v>29</v>
      </c>
      <c r="I826">
        <v>4</v>
      </c>
      <c r="J826">
        <v>500</v>
      </c>
      <c r="K826">
        <v>0.1</v>
      </c>
      <c r="L826">
        <v>1800</v>
      </c>
      <c r="M826">
        <v>1120</v>
      </c>
      <c r="N826">
        <v>680</v>
      </c>
    </row>
    <row r="827" spans="1:14" x14ac:dyDescent="0.35">
      <c r="A827" t="s">
        <v>1373</v>
      </c>
      <c r="B827" t="s">
        <v>1374</v>
      </c>
      <c r="C827" t="s">
        <v>711</v>
      </c>
      <c r="D827" t="s">
        <v>25</v>
      </c>
      <c r="E827" t="s">
        <v>26</v>
      </c>
      <c r="F827" t="s">
        <v>27</v>
      </c>
      <c r="G827" t="s">
        <v>90</v>
      </c>
      <c r="H827" t="s">
        <v>39</v>
      </c>
      <c r="I827">
        <v>10</v>
      </c>
      <c r="J827">
        <v>600</v>
      </c>
      <c r="K827">
        <v>0</v>
      </c>
      <c r="L827">
        <v>6000</v>
      </c>
      <c r="M827">
        <v>3300</v>
      </c>
      <c r="N827">
        <v>2700</v>
      </c>
    </row>
    <row r="828" spans="1:14" x14ac:dyDescent="0.35">
      <c r="A828" t="s">
        <v>1375</v>
      </c>
      <c r="B828" t="s">
        <v>1374</v>
      </c>
      <c r="C828" t="s">
        <v>367</v>
      </c>
      <c r="D828" t="s">
        <v>43</v>
      </c>
      <c r="E828" t="s">
        <v>250</v>
      </c>
      <c r="F828" t="s">
        <v>45</v>
      </c>
      <c r="G828" t="s">
        <v>46</v>
      </c>
      <c r="H828" t="s">
        <v>47</v>
      </c>
      <c r="I828">
        <v>9</v>
      </c>
      <c r="J828">
        <v>900</v>
      </c>
      <c r="K828">
        <v>0.05</v>
      </c>
      <c r="L828">
        <v>7695</v>
      </c>
      <c r="M828">
        <v>4680</v>
      </c>
      <c r="N828">
        <v>3015</v>
      </c>
    </row>
    <row r="829" spans="1:14" x14ac:dyDescent="0.35">
      <c r="A829" t="s">
        <v>1376</v>
      </c>
      <c r="B829" t="s">
        <v>1374</v>
      </c>
      <c r="C829" t="s">
        <v>264</v>
      </c>
      <c r="D829" t="s">
        <v>25</v>
      </c>
      <c r="E829" t="s">
        <v>89</v>
      </c>
      <c r="F829" t="s">
        <v>45</v>
      </c>
      <c r="G829" t="s">
        <v>122</v>
      </c>
      <c r="H829" t="s">
        <v>47</v>
      </c>
      <c r="I829">
        <v>8</v>
      </c>
      <c r="J829">
        <v>550</v>
      </c>
      <c r="K829">
        <v>0</v>
      </c>
      <c r="L829">
        <v>4400</v>
      </c>
      <c r="M829">
        <v>2400</v>
      </c>
      <c r="N829">
        <v>2000</v>
      </c>
    </row>
    <row r="830" spans="1:14" x14ac:dyDescent="0.35">
      <c r="A830" t="s">
        <v>1377</v>
      </c>
      <c r="B830" t="s">
        <v>1378</v>
      </c>
      <c r="C830" t="s">
        <v>662</v>
      </c>
      <c r="D830" t="s">
        <v>54</v>
      </c>
      <c r="E830" t="s">
        <v>110</v>
      </c>
      <c r="F830" t="s">
        <v>27</v>
      </c>
      <c r="G830" t="s">
        <v>51</v>
      </c>
      <c r="H830" t="s">
        <v>125</v>
      </c>
      <c r="I830">
        <v>3</v>
      </c>
      <c r="J830">
        <v>280</v>
      </c>
      <c r="K830">
        <v>0.05</v>
      </c>
      <c r="L830">
        <v>798</v>
      </c>
      <c r="M830">
        <v>450</v>
      </c>
      <c r="N830">
        <v>348</v>
      </c>
    </row>
    <row r="831" spans="1:14" x14ac:dyDescent="0.35">
      <c r="A831" t="s">
        <v>1379</v>
      </c>
      <c r="B831" t="s">
        <v>1378</v>
      </c>
      <c r="C831" t="s">
        <v>464</v>
      </c>
      <c r="D831" t="s">
        <v>43</v>
      </c>
      <c r="E831" t="s">
        <v>143</v>
      </c>
      <c r="F831" t="s">
        <v>45</v>
      </c>
      <c r="G831" t="s">
        <v>46</v>
      </c>
      <c r="H831" t="s">
        <v>47</v>
      </c>
      <c r="I831">
        <v>3</v>
      </c>
      <c r="J831">
        <v>650</v>
      </c>
      <c r="K831">
        <v>0.1</v>
      </c>
      <c r="L831">
        <v>1755</v>
      </c>
      <c r="M831">
        <v>1050</v>
      </c>
      <c r="N831">
        <v>705</v>
      </c>
    </row>
    <row r="832" spans="1:14" x14ac:dyDescent="0.35">
      <c r="A832" t="s">
        <v>1380</v>
      </c>
      <c r="B832" t="s">
        <v>1378</v>
      </c>
      <c r="C832" t="s">
        <v>683</v>
      </c>
      <c r="D832" t="s">
        <v>25</v>
      </c>
      <c r="E832" t="s">
        <v>69</v>
      </c>
      <c r="F832" t="s">
        <v>37</v>
      </c>
      <c r="G832" t="s">
        <v>38</v>
      </c>
      <c r="H832" t="s">
        <v>47</v>
      </c>
      <c r="I832">
        <v>4</v>
      </c>
      <c r="J832">
        <v>350</v>
      </c>
      <c r="K832">
        <v>0.15</v>
      </c>
      <c r="L832">
        <v>1190</v>
      </c>
      <c r="M832">
        <v>720</v>
      </c>
      <c r="N832">
        <v>470</v>
      </c>
    </row>
    <row r="833" spans="1:14" x14ac:dyDescent="0.35">
      <c r="A833" t="s">
        <v>1381</v>
      </c>
      <c r="B833" t="s">
        <v>1378</v>
      </c>
      <c r="C833" t="s">
        <v>229</v>
      </c>
      <c r="D833" t="s">
        <v>54</v>
      </c>
      <c r="E833" t="s">
        <v>103</v>
      </c>
      <c r="F833" t="s">
        <v>19</v>
      </c>
      <c r="G833" t="s">
        <v>113</v>
      </c>
      <c r="H833" t="s">
        <v>125</v>
      </c>
      <c r="I833">
        <v>1</v>
      </c>
      <c r="J833">
        <v>150</v>
      </c>
      <c r="K833">
        <v>0.05</v>
      </c>
      <c r="L833">
        <v>142.5</v>
      </c>
      <c r="M833">
        <v>75</v>
      </c>
      <c r="N833">
        <v>67.5</v>
      </c>
    </row>
    <row r="834" spans="1:14" x14ac:dyDescent="0.35">
      <c r="A834" t="s">
        <v>1382</v>
      </c>
      <c r="B834" t="s">
        <v>1383</v>
      </c>
      <c r="C834" t="s">
        <v>318</v>
      </c>
      <c r="D834" t="s">
        <v>43</v>
      </c>
      <c r="E834" t="s">
        <v>169</v>
      </c>
      <c r="F834" t="s">
        <v>27</v>
      </c>
      <c r="G834" t="s">
        <v>90</v>
      </c>
      <c r="H834" t="s">
        <v>33</v>
      </c>
      <c r="I834">
        <v>5</v>
      </c>
      <c r="J834">
        <v>350</v>
      </c>
      <c r="K834">
        <v>0</v>
      </c>
      <c r="L834">
        <v>1750</v>
      </c>
      <c r="M834">
        <v>850</v>
      </c>
      <c r="N834">
        <v>900</v>
      </c>
    </row>
    <row r="835" spans="1:14" x14ac:dyDescent="0.35">
      <c r="A835" t="s">
        <v>1384</v>
      </c>
      <c r="B835" t="s">
        <v>1383</v>
      </c>
      <c r="C835" t="s">
        <v>31</v>
      </c>
      <c r="D835" t="s">
        <v>25</v>
      </c>
      <c r="E835" t="s">
        <v>89</v>
      </c>
      <c r="F835" t="s">
        <v>45</v>
      </c>
      <c r="G835" t="s">
        <v>70</v>
      </c>
      <c r="H835" t="s">
        <v>125</v>
      </c>
      <c r="I835">
        <v>10</v>
      </c>
      <c r="J835">
        <v>550</v>
      </c>
      <c r="K835">
        <v>0</v>
      </c>
      <c r="L835">
        <v>5500</v>
      </c>
      <c r="M835">
        <v>3000</v>
      </c>
      <c r="N835">
        <v>2500</v>
      </c>
    </row>
    <row r="836" spans="1:14" x14ac:dyDescent="0.35">
      <c r="A836" t="s">
        <v>1385</v>
      </c>
      <c r="B836" t="s">
        <v>1383</v>
      </c>
      <c r="C836" t="s">
        <v>723</v>
      </c>
      <c r="D836" t="s">
        <v>17</v>
      </c>
      <c r="E836" t="s">
        <v>32</v>
      </c>
      <c r="F836" t="s">
        <v>19</v>
      </c>
      <c r="G836" t="s">
        <v>56</v>
      </c>
      <c r="H836" t="s">
        <v>47</v>
      </c>
      <c r="I836">
        <v>8</v>
      </c>
      <c r="J836">
        <v>1500</v>
      </c>
      <c r="K836">
        <v>0.05</v>
      </c>
      <c r="L836">
        <v>11400</v>
      </c>
      <c r="M836">
        <v>7200</v>
      </c>
      <c r="N836">
        <v>4200</v>
      </c>
    </row>
    <row r="837" spans="1:14" x14ac:dyDescent="0.35">
      <c r="A837" t="s">
        <v>1386</v>
      </c>
      <c r="B837" t="s">
        <v>1387</v>
      </c>
      <c r="C837" t="s">
        <v>591</v>
      </c>
      <c r="D837" t="s">
        <v>43</v>
      </c>
      <c r="E837" t="s">
        <v>169</v>
      </c>
      <c r="F837" t="s">
        <v>45</v>
      </c>
      <c r="G837" t="s">
        <v>46</v>
      </c>
      <c r="H837" t="s">
        <v>125</v>
      </c>
      <c r="I837">
        <v>8</v>
      </c>
      <c r="J837">
        <v>350</v>
      </c>
      <c r="K837">
        <v>0.1</v>
      </c>
      <c r="L837">
        <v>2520</v>
      </c>
      <c r="M837">
        <v>1360</v>
      </c>
      <c r="N837">
        <v>1160</v>
      </c>
    </row>
    <row r="838" spans="1:14" x14ac:dyDescent="0.35">
      <c r="A838" t="s">
        <v>1388</v>
      </c>
      <c r="B838" t="s">
        <v>1389</v>
      </c>
      <c r="C838" t="s">
        <v>736</v>
      </c>
      <c r="D838" t="s">
        <v>17</v>
      </c>
      <c r="E838" t="s">
        <v>50</v>
      </c>
      <c r="F838" t="s">
        <v>27</v>
      </c>
      <c r="G838" t="s">
        <v>85</v>
      </c>
      <c r="H838" t="s">
        <v>33</v>
      </c>
      <c r="I838">
        <v>5</v>
      </c>
      <c r="J838">
        <v>650</v>
      </c>
      <c r="K838">
        <v>0.1</v>
      </c>
      <c r="L838">
        <v>2925</v>
      </c>
      <c r="M838">
        <v>1900</v>
      </c>
      <c r="N838">
        <v>1025</v>
      </c>
    </row>
    <row r="839" spans="1:14" x14ac:dyDescent="0.35">
      <c r="A839" t="s">
        <v>1390</v>
      </c>
      <c r="B839" t="s">
        <v>1391</v>
      </c>
      <c r="C839" t="s">
        <v>653</v>
      </c>
      <c r="D839" t="s">
        <v>54</v>
      </c>
      <c r="E839" t="s">
        <v>110</v>
      </c>
      <c r="F839" t="s">
        <v>37</v>
      </c>
      <c r="G839" t="s">
        <v>140</v>
      </c>
      <c r="H839" t="s">
        <v>29</v>
      </c>
      <c r="I839">
        <v>6</v>
      </c>
      <c r="J839">
        <v>280</v>
      </c>
      <c r="K839">
        <v>0</v>
      </c>
      <c r="L839">
        <v>1680</v>
      </c>
      <c r="M839">
        <v>900</v>
      </c>
      <c r="N839">
        <v>780</v>
      </c>
    </row>
    <row r="840" spans="1:14" x14ac:dyDescent="0.35">
      <c r="A840" t="s">
        <v>1392</v>
      </c>
      <c r="B840" t="s">
        <v>1391</v>
      </c>
      <c r="C840" t="s">
        <v>367</v>
      </c>
      <c r="D840" t="s">
        <v>54</v>
      </c>
      <c r="E840" t="s">
        <v>103</v>
      </c>
      <c r="F840" t="s">
        <v>19</v>
      </c>
      <c r="G840" t="s">
        <v>113</v>
      </c>
      <c r="H840" t="s">
        <v>47</v>
      </c>
      <c r="I840">
        <v>7</v>
      </c>
      <c r="J840">
        <v>150</v>
      </c>
      <c r="K840">
        <v>0.05</v>
      </c>
      <c r="L840">
        <v>997.5</v>
      </c>
      <c r="M840">
        <v>525</v>
      </c>
      <c r="N840">
        <v>472.5</v>
      </c>
    </row>
    <row r="841" spans="1:14" x14ac:dyDescent="0.35">
      <c r="A841" t="s">
        <v>1393</v>
      </c>
      <c r="B841" t="s">
        <v>1391</v>
      </c>
      <c r="C841" t="s">
        <v>457</v>
      </c>
      <c r="D841" t="s">
        <v>25</v>
      </c>
      <c r="E841" t="s">
        <v>80</v>
      </c>
      <c r="F841" t="s">
        <v>19</v>
      </c>
      <c r="G841" t="s">
        <v>20</v>
      </c>
      <c r="H841" t="s">
        <v>39</v>
      </c>
      <c r="I841">
        <v>7</v>
      </c>
      <c r="J841">
        <v>950</v>
      </c>
      <c r="K841">
        <v>0</v>
      </c>
      <c r="L841">
        <v>6650</v>
      </c>
      <c r="M841">
        <v>3920</v>
      </c>
      <c r="N841">
        <v>2730</v>
      </c>
    </row>
    <row r="842" spans="1:14" x14ac:dyDescent="0.35">
      <c r="A842" t="s">
        <v>1394</v>
      </c>
      <c r="B842" t="s">
        <v>1391</v>
      </c>
      <c r="C842" t="s">
        <v>637</v>
      </c>
      <c r="D842" t="s">
        <v>43</v>
      </c>
      <c r="E842" t="s">
        <v>62</v>
      </c>
      <c r="F842" t="s">
        <v>27</v>
      </c>
      <c r="G842" t="s">
        <v>90</v>
      </c>
      <c r="H842" t="s">
        <v>125</v>
      </c>
      <c r="I842">
        <v>7</v>
      </c>
      <c r="J842">
        <v>500</v>
      </c>
      <c r="K842">
        <v>0</v>
      </c>
      <c r="L842">
        <v>3500</v>
      </c>
      <c r="M842">
        <v>1960</v>
      </c>
      <c r="N842">
        <v>1540</v>
      </c>
    </row>
    <row r="843" spans="1:14" x14ac:dyDescent="0.35">
      <c r="A843" t="s">
        <v>1395</v>
      </c>
      <c r="B843" t="s">
        <v>1391</v>
      </c>
      <c r="C843" t="s">
        <v>185</v>
      </c>
      <c r="D843" t="s">
        <v>43</v>
      </c>
      <c r="E843" t="s">
        <v>169</v>
      </c>
      <c r="F843" t="s">
        <v>19</v>
      </c>
      <c r="G843" t="s">
        <v>113</v>
      </c>
      <c r="H843" t="s">
        <v>33</v>
      </c>
      <c r="I843">
        <v>2</v>
      </c>
      <c r="J843">
        <v>350</v>
      </c>
      <c r="K843">
        <v>0</v>
      </c>
      <c r="L843">
        <v>700</v>
      </c>
      <c r="M843">
        <v>340</v>
      </c>
      <c r="N843">
        <v>360</v>
      </c>
    </row>
    <row r="844" spans="1:14" x14ac:dyDescent="0.35">
      <c r="A844" t="s">
        <v>1396</v>
      </c>
      <c r="B844" t="s">
        <v>1397</v>
      </c>
      <c r="C844" t="s">
        <v>477</v>
      </c>
      <c r="D844" t="s">
        <v>25</v>
      </c>
      <c r="E844" t="s">
        <v>89</v>
      </c>
      <c r="F844" t="s">
        <v>37</v>
      </c>
      <c r="G844" t="s">
        <v>73</v>
      </c>
      <c r="H844" t="s">
        <v>125</v>
      </c>
      <c r="I844">
        <v>1</v>
      </c>
      <c r="J844">
        <v>550</v>
      </c>
      <c r="K844">
        <v>0.1</v>
      </c>
      <c r="L844">
        <v>495</v>
      </c>
      <c r="M844">
        <v>300</v>
      </c>
      <c r="N844">
        <v>195</v>
      </c>
    </row>
    <row r="845" spans="1:14" x14ac:dyDescent="0.35">
      <c r="A845" t="s">
        <v>1398</v>
      </c>
      <c r="B845" t="s">
        <v>1397</v>
      </c>
      <c r="C845" t="s">
        <v>185</v>
      </c>
      <c r="D845" t="s">
        <v>17</v>
      </c>
      <c r="E845" t="s">
        <v>65</v>
      </c>
      <c r="F845" t="s">
        <v>45</v>
      </c>
      <c r="G845" t="s">
        <v>104</v>
      </c>
      <c r="H845" t="s">
        <v>47</v>
      </c>
      <c r="I845">
        <v>3</v>
      </c>
      <c r="J845">
        <v>2200</v>
      </c>
      <c r="K845">
        <v>0.05</v>
      </c>
      <c r="L845">
        <v>6270</v>
      </c>
      <c r="M845">
        <v>4200</v>
      </c>
      <c r="N845">
        <v>2070</v>
      </c>
    </row>
    <row r="846" spans="1:14" x14ac:dyDescent="0.35">
      <c r="A846" t="s">
        <v>1399</v>
      </c>
      <c r="B846" t="s">
        <v>1397</v>
      </c>
      <c r="C846" t="s">
        <v>296</v>
      </c>
      <c r="D846" t="s">
        <v>54</v>
      </c>
      <c r="E846" t="s">
        <v>116</v>
      </c>
      <c r="F846" t="s">
        <v>19</v>
      </c>
      <c r="G846" t="s">
        <v>56</v>
      </c>
      <c r="H846" t="s">
        <v>29</v>
      </c>
      <c r="I846">
        <v>3</v>
      </c>
      <c r="J846">
        <v>450</v>
      </c>
      <c r="K846">
        <v>0</v>
      </c>
      <c r="L846">
        <v>1350</v>
      </c>
      <c r="M846">
        <v>750</v>
      </c>
      <c r="N846">
        <v>600</v>
      </c>
    </row>
    <row r="847" spans="1:14" x14ac:dyDescent="0.35">
      <c r="A847" t="s">
        <v>1400</v>
      </c>
      <c r="B847" t="s">
        <v>1397</v>
      </c>
      <c r="C847" t="s">
        <v>375</v>
      </c>
      <c r="D847" t="s">
        <v>54</v>
      </c>
      <c r="E847" t="s">
        <v>110</v>
      </c>
      <c r="F847" t="s">
        <v>37</v>
      </c>
      <c r="G847" t="s">
        <v>73</v>
      </c>
      <c r="H847" t="s">
        <v>125</v>
      </c>
      <c r="I847">
        <v>1</v>
      </c>
      <c r="J847">
        <v>280</v>
      </c>
      <c r="K847">
        <v>0.05</v>
      </c>
      <c r="L847">
        <v>266</v>
      </c>
      <c r="M847">
        <v>150</v>
      </c>
      <c r="N847">
        <v>116</v>
      </c>
    </row>
    <row r="848" spans="1:14" x14ac:dyDescent="0.35">
      <c r="A848" t="s">
        <v>1401</v>
      </c>
      <c r="B848" t="s">
        <v>1397</v>
      </c>
      <c r="C848" t="s">
        <v>846</v>
      </c>
      <c r="D848" t="s">
        <v>17</v>
      </c>
      <c r="E848" t="s">
        <v>32</v>
      </c>
      <c r="F848" t="s">
        <v>27</v>
      </c>
      <c r="G848" t="s">
        <v>51</v>
      </c>
      <c r="H848" t="s">
        <v>47</v>
      </c>
      <c r="I848">
        <v>9</v>
      </c>
      <c r="J848">
        <v>1500</v>
      </c>
      <c r="K848">
        <v>0.1</v>
      </c>
      <c r="L848">
        <v>12150</v>
      </c>
      <c r="M848">
        <v>8100</v>
      </c>
      <c r="N848">
        <v>4050</v>
      </c>
    </row>
    <row r="849" spans="1:14" x14ac:dyDescent="0.35">
      <c r="A849" t="s">
        <v>1402</v>
      </c>
      <c r="B849" t="s">
        <v>1397</v>
      </c>
      <c r="C849" t="s">
        <v>96</v>
      </c>
      <c r="D849" t="s">
        <v>54</v>
      </c>
      <c r="E849" t="s">
        <v>55</v>
      </c>
      <c r="F849" t="s">
        <v>45</v>
      </c>
      <c r="G849" t="s">
        <v>104</v>
      </c>
      <c r="H849" t="s">
        <v>125</v>
      </c>
      <c r="I849">
        <v>3</v>
      </c>
      <c r="J849">
        <v>180</v>
      </c>
      <c r="K849">
        <v>0.05</v>
      </c>
      <c r="L849">
        <v>513</v>
      </c>
      <c r="M849">
        <v>270</v>
      </c>
      <c r="N849">
        <v>243</v>
      </c>
    </row>
    <row r="850" spans="1:14" x14ac:dyDescent="0.35">
      <c r="A850" t="s">
        <v>1403</v>
      </c>
      <c r="B850" t="s">
        <v>1404</v>
      </c>
      <c r="C850" t="s">
        <v>93</v>
      </c>
      <c r="D850" t="s">
        <v>43</v>
      </c>
      <c r="E850" t="s">
        <v>143</v>
      </c>
      <c r="F850" t="s">
        <v>45</v>
      </c>
      <c r="G850" t="s">
        <v>122</v>
      </c>
      <c r="H850" t="s">
        <v>33</v>
      </c>
      <c r="I850">
        <v>10</v>
      </c>
      <c r="J850">
        <v>650</v>
      </c>
      <c r="K850">
        <v>0</v>
      </c>
      <c r="L850">
        <v>6500</v>
      </c>
      <c r="M850">
        <v>3500</v>
      </c>
      <c r="N850">
        <v>3000</v>
      </c>
    </row>
    <row r="851" spans="1:14" x14ac:dyDescent="0.35">
      <c r="A851" t="s">
        <v>1405</v>
      </c>
      <c r="B851" t="s">
        <v>1406</v>
      </c>
      <c r="C851" t="s">
        <v>64</v>
      </c>
      <c r="D851" t="s">
        <v>43</v>
      </c>
      <c r="E851" t="s">
        <v>44</v>
      </c>
      <c r="F851" t="s">
        <v>37</v>
      </c>
      <c r="G851" t="s">
        <v>38</v>
      </c>
      <c r="H851" t="s">
        <v>29</v>
      </c>
      <c r="I851">
        <v>4</v>
      </c>
      <c r="J851">
        <v>2200</v>
      </c>
      <c r="K851">
        <v>0</v>
      </c>
      <c r="L851">
        <v>8800</v>
      </c>
      <c r="M851">
        <v>5800</v>
      </c>
      <c r="N851">
        <v>3000</v>
      </c>
    </row>
    <row r="852" spans="1:14" x14ac:dyDescent="0.35">
      <c r="A852" t="s">
        <v>1407</v>
      </c>
      <c r="B852" t="s">
        <v>1406</v>
      </c>
      <c r="C852" t="s">
        <v>194</v>
      </c>
      <c r="D852" t="s">
        <v>25</v>
      </c>
      <c r="E852" t="s">
        <v>89</v>
      </c>
      <c r="F852" t="s">
        <v>45</v>
      </c>
      <c r="G852" t="s">
        <v>122</v>
      </c>
      <c r="H852" t="s">
        <v>33</v>
      </c>
      <c r="I852">
        <v>10</v>
      </c>
      <c r="J852">
        <v>550</v>
      </c>
      <c r="K852">
        <v>0.05</v>
      </c>
      <c r="L852">
        <v>5225</v>
      </c>
      <c r="M852">
        <v>3000</v>
      </c>
      <c r="N852">
        <v>2225</v>
      </c>
    </row>
    <row r="853" spans="1:14" x14ac:dyDescent="0.35">
      <c r="A853" t="s">
        <v>1408</v>
      </c>
      <c r="B853" t="s">
        <v>1409</v>
      </c>
      <c r="C853" t="s">
        <v>318</v>
      </c>
      <c r="D853" t="s">
        <v>54</v>
      </c>
      <c r="E853" t="s">
        <v>107</v>
      </c>
      <c r="F853" t="s">
        <v>19</v>
      </c>
      <c r="G853" t="s">
        <v>56</v>
      </c>
      <c r="H853" t="s">
        <v>29</v>
      </c>
      <c r="I853">
        <v>1</v>
      </c>
      <c r="J853">
        <v>120</v>
      </c>
      <c r="K853">
        <v>0</v>
      </c>
      <c r="L853">
        <v>120</v>
      </c>
      <c r="M853">
        <v>55</v>
      </c>
      <c r="N853">
        <v>65</v>
      </c>
    </row>
    <row r="854" spans="1:14" x14ac:dyDescent="0.35">
      <c r="A854" t="s">
        <v>1410</v>
      </c>
      <c r="B854" t="s">
        <v>1409</v>
      </c>
      <c r="C854" t="s">
        <v>464</v>
      </c>
      <c r="D854" t="s">
        <v>54</v>
      </c>
      <c r="E854" t="s">
        <v>103</v>
      </c>
      <c r="F854" t="s">
        <v>37</v>
      </c>
      <c r="G854" t="s">
        <v>73</v>
      </c>
      <c r="H854" t="s">
        <v>39</v>
      </c>
      <c r="I854">
        <v>9</v>
      </c>
      <c r="J854">
        <v>150</v>
      </c>
      <c r="K854">
        <v>0.05</v>
      </c>
      <c r="L854">
        <v>1282.5</v>
      </c>
      <c r="M854">
        <v>675</v>
      </c>
      <c r="N854">
        <v>607.5</v>
      </c>
    </row>
    <row r="855" spans="1:14" x14ac:dyDescent="0.35">
      <c r="A855" t="s">
        <v>1411</v>
      </c>
      <c r="B855" t="s">
        <v>1412</v>
      </c>
      <c r="C855" t="s">
        <v>134</v>
      </c>
      <c r="D855" t="s">
        <v>43</v>
      </c>
      <c r="E855" t="s">
        <v>169</v>
      </c>
      <c r="F855" t="s">
        <v>19</v>
      </c>
      <c r="G855" t="s">
        <v>56</v>
      </c>
      <c r="H855" t="s">
        <v>33</v>
      </c>
      <c r="I855">
        <v>4</v>
      </c>
      <c r="J855">
        <v>350</v>
      </c>
      <c r="K855">
        <v>0.05</v>
      </c>
      <c r="L855">
        <v>1330</v>
      </c>
      <c r="M855">
        <v>680</v>
      </c>
      <c r="N855">
        <v>650</v>
      </c>
    </row>
    <row r="856" spans="1:14" x14ac:dyDescent="0.35">
      <c r="A856" t="s">
        <v>1413</v>
      </c>
      <c r="B856" t="s">
        <v>1412</v>
      </c>
      <c r="C856" t="s">
        <v>189</v>
      </c>
      <c r="D856" t="s">
        <v>25</v>
      </c>
      <c r="E856" t="s">
        <v>36</v>
      </c>
      <c r="F856" t="s">
        <v>37</v>
      </c>
      <c r="G856" t="s">
        <v>73</v>
      </c>
      <c r="H856" t="s">
        <v>21</v>
      </c>
      <c r="I856">
        <v>2</v>
      </c>
      <c r="J856">
        <v>700</v>
      </c>
      <c r="K856">
        <v>0.05</v>
      </c>
      <c r="L856">
        <v>1330</v>
      </c>
      <c r="M856">
        <v>800</v>
      </c>
      <c r="N856">
        <v>530</v>
      </c>
    </row>
    <row r="857" spans="1:14" x14ac:dyDescent="0.35">
      <c r="A857" t="s">
        <v>1414</v>
      </c>
      <c r="B857" t="s">
        <v>1415</v>
      </c>
      <c r="C857" t="s">
        <v>350</v>
      </c>
      <c r="D857" t="s">
        <v>17</v>
      </c>
      <c r="E857" t="s">
        <v>65</v>
      </c>
      <c r="F857" t="s">
        <v>37</v>
      </c>
      <c r="G857" t="s">
        <v>140</v>
      </c>
      <c r="H857" t="s">
        <v>125</v>
      </c>
      <c r="I857">
        <v>1</v>
      </c>
      <c r="J857">
        <v>2200</v>
      </c>
      <c r="K857">
        <v>0.05</v>
      </c>
      <c r="L857">
        <v>2090</v>
      </c>
      <c r="M857">
        <v>1400</v>
      </c>
      <c r="N857">
        <v>690</v>
      </c>
    </row>
    <row r="858" spans="1:14" x14ac:dyDescent="0.35">
      <c r="A858" t="s">
        <v>1416</v>
      </c>
      <c r="B858" t="s">
        <v>1415</v>
      </c>
      <c r="C858" t="s">
        <v>248</v>
      </c>
      <c r="D858" t="s">
        <v>54</v>
      </c>
      <c r="E858" t="s">
        <v>116</v>
      </c>
      <c r="F858" t="s">
        <v>27</v>
      </c>
      <c r="G858" t="s">
        <v>28</v>
      </c>
      <c r="H858" t="s">
        <v>39</v>
      </c>
      <c r="I858">
        <v>8</v>
      </c>
      <c r="J858">
        <v>450</v>
      </c>
      <c r="K858">
        <v>0</v>
      </c>
      <c r="L858">
        <v>3600</v>
      </c>
      <c r="M858">
        <v>2000</v>
      </c>
      <c r="N858">
        <v>1600</v>
      </c>
    </row>
    <row r="859" spans="1:14" x14ac:dyDescent="0.35">
      <c r="A859" t="s">
        <v>1417</v>
      </c>
      <c r="B859" t="s">
        <v>1418</v>
      </c>
      <c r="C859" t="s">
        <v>390</v>
      </c>
      <c r="D859" t="s">
        <v>17</v>
      </c>
      <c r="E859" t="s">
        <v>65</v>
      </c>
      <c r="F859" t="s">
        <v>45</v>
      </c>
      <c r="G859" t="s">
        <v>104</v>
      </c>
      <c r="H859" t="s">
        <v>125</v>
      </c>
      <c r="I859">
        <v>8</v>
      </c>
      <c r="J859">
        <v>2200</v>
      </c>
      <c r="K859">
        <v>0.1</v>
      </c>
      <c r="L859">
        <v>15840</v>
      </c>
      <c r="M859">
        <v>11200</v>
      </c>
      <c r="N859">
        <v>4640</v>
      </c>
    </row>
    <row r="860" spans="1:14" x14ac:dyDescent="0.35">
      <c r="A860" t="s">
        <v>1419</v>
      </c>
      <c r="B860" t="s">
        <v>1418</v>
      </c>
      <c r="C860" t="s">
        <v>711</v>
      </c>
      <c r="D860" t="s">
        <v>43</v>
      </c>
      <c r="E860" t="s">
        <v>62</v>
      </c>
      <c r="F860" t="s">
        <v>45</v>
      </c>
      <c r="G860" t="s">
        <v>70</v>
      </c>
      <c r="H860" t="s">
        <v>47</v>
      </c>
      <c r="I860">
        <v>4</v>
      </c>
      <c r="J860">
        <v>500</v>
      </c>
      <c r="K860">
        <v>0</v>
      </c>
      <c r="L860">
        <v>2000</v>
      </c>
      <c r="M860">
        <v>1120</v>
      </c>
      <c r="N860">
        <v>880</v>
      </c>
    </row>
    <row r="861" spans="1:14" x14ac:dyDescent="0.35">
      <c r="A861" t="s">
        <v>1420</v>
      </c>
      <c r="B861" t="s">
        <v>1418</v>
      </c>
      <c r="C861" t="s">
        <v>64</v>
      </c>
      <c r="D861" t="s">
        <v>43</v>
      </c>
      <c r="E861" t="s">
        <v>250</v>
      </c>
      <c r="F861" t="s">
        <v>19</v>
      </c>
      <c r="G861" t="s">
        <v>113</v>
      </c>
      <c r="H861" t="s">
        <v>47</v>
      </c>
      <c r="I861">
        <v>5</v>
      </c>
      <c r="J861">
        <v>900</v>
      </c>
      <c r="K861">
        <v>0</v>
      </c>
      <c r="L861">
        <v>4500</v>
      </c>
      <c r="M861">
        <v>2600</v>
      </c>
      <c r="N861">
        <v>1900</v>
      </c>
    </row>
    <row r="862" spans="1:14" x14ac:dyDescent="0.35">
      <c r="A862" t="s">
        <v>1421</v>
      </c>
      <c r="B862" t="s">
        <v>1418</v>
      </c>
      <c r="C862" t="s">
        <v>198</v>
      </c>
      <c r="D862" t="s">
        <v>17</v>
      </c>
      <c r="E862" t="s">
        <v>50</v>
      </c>
      <c r="F862" t="s">
        <v>45</v>
      </c>
      <c r="G862" t="s">
        <v>70</v>
      </c>
      <c r="H862" t="s">
        <v>47</v>
      </c>
      <c r="I862">
        <v>9</v>
      </c>
      <c r="J862">
        <v>650</v>
      </c>
      <c r="K862">
        <v>0.05</v>
      </c>
      <c r="L862">
        <v>5557.5</v>
      </c>
      <c r="M862">
        <v>3420</v>
      </c>
      <c r="N862">
        <v>2137.5</v>
      </c>
    </row>
    <row r="863" spans="1:14" x14ac:dyDescent="0.35">
      <c r="A863" t="s">
        <v>1422</v>
      </c>
      <c r="B863" t="s">
        <v>1418</v>
      </c>
      <c r="C863" t="s">
        <v>138</v>
      </c>
      <c r="D863" t="s">
        <v>17</v>
      </c>
      <c r="E863" t="s">
        <v>124</v>
      </c>
      <c r="F863" t="s">
        <v>27</v>
      </c>
      <c r="G863" t="s">
        <v>90</v>
      </c>
      <c r="H863" t="s">
        <v>21</v>
      </c>
      <c r="I863">
        <v>6</v>
      </c>
      <c r="J863">
        <v>1200</v>
      </c>
      <c r="K863">
        <v>0</v>
      </c>
      <c r="L863">
        <v>7200</v>
      </c>
      <c r="M863">
        <v>4320</v>
      </c>
      <c r="N863">
        <v>2880</v>
      </c>
    </row>
    <row r="864" spans="1:14" x14ac:dyDescent="0.35">
      <c r="A864" t="s">
        <v>1423</v>
      </c>
      <c r="B864" t="s">
        <v>1424</v>
      </c>
      <c r="C864" t="s">
        <v>670</v>
      </c>
      <c r="D864" t="s">
        <v>25</v>
      </c>
      <c r="E864" t="s">
        <v>36</v>
      </c>
      <c r="F864" t="s">
        <v>27</v>
      </c>
      <c r="G864" t="s">
        <v>51</v>
      </c>
      <c r="H864" t="s">
        <v>47</v>
      </c>
      <c r="I864">
        <v>10</v>
      </c>
      <c r="J864">
        <v>700</v>
      </c>
      <c r="K864">
        <v>0</v>
      </c>
      <c r="L864">
        <v>7000</v>
      </c>
      <c r="M864">
        <v>4000</v>
      </c>
      <c r="N864">
        <v>3000</v>
      </c>
    </row>
    <row r="865" spans="1:14" x14ac:dyDescent="0.35">
      <c r="A865" t="s">
        <v>1425</v>
      </c>
      <c r="B865" t="s">
        <v>1426</v>
      </c>
      <c r="C865" t="s">
        <v>335</v>
      </c>
      <c r="D865" t="s">
        <v>43</v>
      </c>
      <c r="E865" t="s">
        <v>169</v>
      </c>
      <c r="F865" t="s">
        <v>45</v>
      </c>
      <c r="G865" t="s">
        <v>104</v>
      </c>
      <c r="H865" t="s">
        <v>125</v>
      </c>
      <c r="I865">
        <v>3</v>
      </c>
      <c r="J865">
        <v>350</v>
      </c>
      <c r="K865">
        <v>0</v>
      </c>
      <c r="L865">
        <v>1050</v>
      </c>
      <c r="M865">
        <v>510</v>
      </c>
      <c r="N865">
        <v>540</v>
      </c>
    </row>
    <row r="866" spans="1:14" x14ac:dyDescent="0.35">
      <c r="A866" t="s">
        <v>1427</v>
      </c>
      <c r="B866" t="s">
        <v>1426</v>
      </c>
      <c r="C866" t="s">
        <v>477</v>
      </c>
      <c r="D866" t="s">
        <v>54</v>
      </c>
      <c r="E866" t="s">
        <v>116</v>
      </c>
      <c r="F866" t="s">
        <v>19</v>
      </c>
      <c r="G866" t="s">
        <v>20</v>
      </c>
      <c r="H866" t="s">
        <v>33</v>
      </c>
      <c r="I866">
        <v>6</v>
      </c>
      <c r="J866">
        <v>450</v>
      </c>
      <c r="K866">
        <v>0</v>
      </c>
      <c r="L866">
        <v>2700</v>
      </c>
      <c r="M866">
        <v>1500</v>
      </c>
      <c r="N866">
        <v>1200</v>
      </c>
    </row>
    <row r="867" spans="1:14" x14ac:dyDescent="0.35">
      <c r="A867" t="s">
        <v>1428</v>
      </c>
      <c r="B867" t="s">
        <v>1426</v>
      </c>
      <c r="C867" t="s">
        <v>809</v>
      </c>
      <c r="D867" t="s">
        <v>25</v>
      </c>
      <c r="E867" t="s">
        <v>69</v>
      </c>
      <c r="F867" t="s">
        <v>19</v>
      </c>
      <c r="G867" t="s">
        <v>113</v>
      </c>
      <c r="H867" t="s">
        <v>47</v>
      </c>
      <c r="I867">
        <v>4</v>
      </c>
      <c r="J867">
        <v>350</v>
      </c>
      <c r="K867">
        <v>0.15</v>
      </c>
      <c r="L867">
        <v>1190</v>
      </c>
      <c r="M867">
        <v>720</v>
      </c>
      <c r="N867">
        <v>470</v>
      </c>
    </row>
    <row r="868" spans="1:14" x14ac:dyDescent="0.35">
      <c r="A868" t="s">
        <v>1429</v>
      </c>
      <c r="B868" t="s">
        <v>1430</v>
      </c>
      <c r="C868" t="s">
        <v>272</v>
      </c>
      <c r="D868" t="s">
        <v>25</v>
      </c>
      <c r="E868" t="s">
        <v>80</v>
      </c>
      <c r="F868" t="s">
        <v>27</v>
      </c>
      <c r="G868" t="s">
        <v>28</v>
      </c>
      <c r="H868" t="s">
        <v>39</v>
      </c>
      <c r="I868">
        <v>6</v>
      </c>
      <c r="J868">
        <v>950</v>
      </c>
      <c r="K868">
        <v>0</v>
      </c>
      <c r="L868">
        <v>5700</v>
      </c>
      <c r="M868">
        <v>3360</v>
      </c>
      <c r="N868">
        <v>2340</v>
      </c>
    </row>
    <row r="869" spans="1:14" x14ac:dyDescent="0.35">
      <c r="A869" t="s">
        <v>1431</v>
      </c>
      <c r="B869" t="s">
        <v>1430</v>
      </c>
      <c r="C869" t="s">
        <v>145</v>
      </c>
      <c r="D869" t="s">
        <v>17</v>
      </c>
      <c r="E869" t="s">
        <v>65</v>
      </c>
      <c r="F869" t="s">
        <v>37</v>
      </c>
      <c r="G869" t="s">
        <v>97</v>
      </c>
      <c r="H869" t="s">
        <v>47</v>
      </c>
      <c r="I869">
        <v>9</v>
      </c>
      <c r="J869">
        <v>2200</v>
      </c>
      <c r="K869">
        <v>0.1</v>
      </c>
      <c r="L869">
        <v>17820</v>
      </c>
      <c r="M869">
        <v>12600</v>
      </c>
      <c r="N869">
        <v>5220</v>
      </c>
    </row>
    <row r="870" spans="1:14" x14ac:dyDescent="0.35">
      <c r="A870" t="s">
        <v>1432</v>
      </c>
      <c r="B870" t="s">
        <v>1430</v>
      </c>
      <c r="C870" t="s">
        <v>528</v>
      </c>
      <c r="D870" t="s">
        <v>17</v>
      </c>
      <c r="E870" t="s">
        <v>18</v>
      </c>
      <c r="F870" t="s">
        <v>37</v>
      </c>
      <c r="G870" t="s">
        <v>38</v>
      </c>
      <c r="H870" t="s">
        <v>29</v>
      </c>
      <c r="I870">
        <v>7</v>
      </c>
      <c r="J870">
        <v>1800</v>
      </c>
      <c r="K870">
        <v>0.05</v>
      </c>
      <c r="L870">
        <v>11970</v>
      </c>
      <c r="M870">
        <v>7700</v>
      </c>
      <c r="N870">
        <v>4270</v>
      </c>
    </row>
    <row r="871" spans="1:14" x14ac:dyDescent="0.35">
      <c r="A871" t="s">
        <v>1433</v>
      </c>
      <c r="B871" t="s">
        <v>1434</v>
      </c>
      <c r="C871" t="s">
        <v>464</v>
      </c>
      <c r="D871" t="s">
        <v>17</v>
      </c>
      <c r="E871" t="s">
        <v>65</v>
      </c>
      <c r="F871" t="s">
        <v>45</v>
      </c>
      <c r="G871" t="s">
        <v>46</v>
      </c>
      <c r="H871" t="s">
        <v>125</v>
      </c>
      <c r="I871">
        <v>2</v>
      </c>
      <c r="J871">
        <v>2200</v>
      </c>
      <c r="K871">
        <v>0</v>
      </c>
      <c r="L871">
        <v>4400</v>
      </c>
      <c r="M871">
        <v>2800</v>
      </c>
      <c r="N871">
        <v>1600</v>
      </c>
    </row>
    <row r="872" spans="1:14" x14ac:dyDescent="0.35">
      <c r="A872" t="s">
        <v>1435</v>
      </c>
      <c r="B872" t="s">
        <v>1434</v>
      </c>
      <c r="C872" t="s">
        <v>423</v>
      </c>
      <c r="D872" t="s">
        <v>25</v>
      </c>
      <c r="E872" t="s">
        <v>26</v>
      </c>
      <c r="F872" t="s">
        <v>19</v>
      </c>
      <c r="G872" t="s">
        <v>215</v>
      </c>
      <c r="H872" t="s">
        <v>33</v>
      </c>
      <c r="I872">
        <v>9</v>
      </c>
      <c r="J872">
        <v>600</v>
      </c>
      <c r="K872">
        <v>0.15</v>
      </c>
      <c r="L872">
        <v>4590</v>
      </c>
      <c r="M872">
        <v>2970</v>
      </c>
      <c r="N872">
        <v>1620</v>
      </c>
    </row>
    <row r="873" spans="1:14" x14ac:dyDescent="0.35">
      <c r="A873" t="s">
        <v>1436</v>
      </c>
      <c r="B873" t="s">
        <v>1434</v>
      </c>
      <c r="C873" t="s">
        <v>736</v>
      </c>
      <c r="D873" t="s">
        <v>17</v>
      </c>
      <c r="E873" t="s">
        <v>124</v>
      </c>
      <c r="F873" t="s">
        <v>19</v>
      </c>
      <c r="G873" t="s">
        <v>215</v>
      </c>
      <c r="H873" t="s">
        <v>39</v>
      </c>
      <c r="I873">
        <v>7</v>
      </c>
      <c r="J873">
        <v>1200</v>
      </c>
      <c r="K873">
        <v>0</v>
      </c>
      <c r="L873">
        <v>8400</v>
      </c>
      <c r="M873">
        <v>5040</v>
      </c>
      <c r="N873">
        <v>3360</v>
      </c>
    </row>
    <row r="874" spans="1:14" x14ac:dyDescent="0.35">
      <c r="A874" t="s">
        <v>1437</v>
      </c>
      <c r="B874" t="s">
        <v>1434</v>
      </c>
      <c r="C874" t="s">
        <v>192</v>
      </c>
      <c r="D874" t="s">
        <v>43</v>
      </c>
      <c r="E874" t="s">
        <v>44</v>
      </c>
      <c r="F874" t="s">
        <v>45</v>
      </c>
      <c r="G874" t="s">
        <v>104</v>
      </c>
      <c r="H874" t="s">
        <v>39</v>
      </c>
      <c r="I874">
        <v>4</v>
      </c>
      <c r="J874">
        <v>2200</v>
      </c>
      <c r="K874">
        <v>0</v>
      </c>
      <c r="L874">
        <v>8800</v>
      </c>
      <c r="M874">
        <v>5800</v>
      </c>
      <c r="N874">
        <v>3000</v>
      </c>
    </row>
    <row r="875" spans="1:14" x14ac:dyDescent="0.35">
      <c r="A875" t="s">
        <v>1438</v>
      </c>
      <c r="B875" t="s">
        <v>1434</v>
      </c>
      <c r="C875" t="s">
        <v>715</v>
      </c>
      <c r="D875" t="s">
        <v>17</v>
      </c>
      <c r="E875" t="s">
        <v>32</v>
      </c>
      <c r="F875" t="s">
        <v>45</v>
      </c>
      <c r="G875" t="s">
        <v>104</v>
      </c>
      <c r="H875" t="s">
        <v>29</v>
      </c>
      <c r="I875">
        <v>2</v>
      </c>
      <c r="J875">
        <v>1500</v>
      </c>
      <c r="K875">
        <v>0.15</v>
      </c>
      <c r="L875">
        <v>2550</v>
      </c>
      <c r="M875">
        <v>1800</v>
      </c>
      <c r="N875">
        <v>750</v>
      </c>
    </row>
    <row r="876" spans="1:14" x14ac:dyDescent="0.35">
      <c r="A876" t="s">
        <v>1439</v>
      </c>
      <c r="B876" t="s">
        <v>1434</v>
      </c>
      <c r="C876" t="s">
        <v>313</v>
      </c>
      <c r="D876" t="s">
        <v>54</v>
      </c>
      <c r="E876" t="s">
        <v>116</v>
      </c>
      <c r="F876" t="s">
        <v>45</v>
      </c>
      <c r="G876" t="s">
        <v>122</v>
      </c>
      <c r="H876" t="s">
        <v>21</v>
      </c>
      <c r="I876">
        <v>6</v>
      </c>
      <c r="J876">
        <v>450</v>
      </c>
      <c r="K876">
        <v>0</v>
      </c>
      <c r="L876">
        <v>2700</v>
      </c>
      <c r="M876">
        <v>1500</v>
      </c>
      <c r="N876">
        <v>1200</v>
      </c>
    </row>
    <row r="877" spans="1:14" x14ac:dyDescent="0.35">
      <c r="A877" t="s">
        <v>1440</v>
      </c>
      <c r="B877" t="s">
        <v>1441</v>
      </c>
      <c r="C877" t="s">
        <v>35</v>
      </c>
      <c r="D877" t="s">
        <v>25</v>
      </c>
      <c r="E877" t="s">
        <v>69</v>
      </c>
      <c r="F877" t="s">
        <v>19</v>
      </c>
      <c r="G877" t="s">
        <v>113</v>
      </c>
      <c r="H877" t="s">
        <v>29</v>
      </c>
      <c r="I877">
        <v>8</v>
      </c>
      <c r="J877">
        <v>350</v>
      </c>
      <c r="K877">
        <v>0.05</v>
      </c>
      <c r="L877">
        <v>2660</v>
      </c>
      <c r="M877">
        <v>1440</v>
      </c>
      <c r="N877">
        <v>1220</v>
      </c>
    </row>
    <row r="878" spans="1:14" x14ac:dyDescent="0.35">
      <c r="A878" t="s">
        <v>1442</v>
      </c>
      <c r="B878" t="s">
        <v>1441</v>
      </c>
      <c r="C878" t="s">
        <v>800</v>
      </c>
      <c r="D878" t="s">
        <v>54</v>
      </c>
      <c r="E878" t="s">
        <v>116</v>
      </c>
      <c r="F878" t="s">
        <v>45</v>
      </c>
      <c r="G878" t="s">
        <v>104</v>
      </c>
      <c r="H878" t="s">
        <v>21</v>
      </c>
      <c r="I878">
        <v>1</v>
      </c>
      <c r="J878">
        <v>450</v>
      </c>
      <c r="K878">
        <v>0.05</v>
      </c>
      <c r="L878">
        <v>427.5</v>
      </c>
      <c r="M878">
        <v>250</v>
      </c>
      <c r="N878">
        <v>177.5</v>
      </c>
    </row>
    <row r="879" spans="1:14" x14ac:dyDescent="0.35">
      <c r="A879" t="s">
        <v>1443</v>
      </c>
      <c r="B879" t="s">
        <v>1441</v>
      </c>
      <c r="C879" t="s">
        <v>82</v>
      </c>
      <c r="D879" t="s">
        <v>43</v>
      </c>
      <c r="E879" t="s">
        <v>143</v>
      </c>
      <c r="F879" t="s">
        <v>19</v>
      </c>
      <c r="G879" t="s">
        <v>113</v>
      </c>
      <c r="H879" t="s">
        <v>33</v>
      </c>
      <c r="I879">
        <v>4</v>
      </c>
      <c r="J879">
        <v>650</v>
      </c>
      <c r="K879">
        <v>0.05</v>
      </c>
      <c r="L879">
        <v>2470</v>
      </c>
      <c r="M879">
        <v>1400</v>
      </c>
      <c r="N879">
        <v>1070</v>
      </c>
    </row>
    <row r="880" spans="1:14" x14ac:dyDescent="0.35">
      <c r="A880" t="s">
        <v>1444</v>
      </c>
      <c r="B880" t="s">
        <v>1441</v>
      </c>
      <c r="C880" t="s">
        <v>566</v>
      </c>
      <c r="D880" t="s">
        <v>17</v>
      </c>
      <c r="E880" t="s">
        <v>50</v>
      </c>
      <c r="F880" t="s">
        <v>27</v>
      </c>
      <c r="G880" t="s">
        <v>90</v>
      </c>
      <c r="H880" t="s">
        <v>39</v>
      </c>
      <c r="I880">
        <v>7</v>
      </c>
      <c r="J880">
        <v>650</v>
      </c>
      <c r="K880">
        <v>0.1</v>
      </c>
      <c r="L880">
        <v>4095</v>
      </c>
      <c r="M880">
        <v>2660</v>
      </c>
      <c r="N880">
        <v>1435</v>
      </c>
    </row>
    <row r="881" spans="1:14" x14ac:dyDescent="0.35">
      <c r="A881" t="s">
        <v>1445</v>
      </c>
      <c r="B881" t="s">
        <v>1446</v>
      </c>
      <c r="C881" t="s">
        <v>209</v>
      </c>
      <c r="D881" t="s">
        <v>43</v>
      </c>
      <c r="E881" t="s">
        <v>62</v>
      </c>
      <c r="F881" t="s">
        <v>37</v>
      </c>
      <c r="G881" t="s">
        <v>73</v>
      </c>
      <c r="H881" t="s">
        <v>21</v>
      </c>
      <c r="I881">
        <v>4</v>
      </c>
      <c r="J881">
        <v>500</v>
      </c>
      <c r="K881">
        <v>0</v>
      </c>
      <c r="L881">
        <v>2000</v>
      </c>
      <c r="M881">
        <v>1120</v>
      </c>
      <c r="N881">
        <v>880</v>
      </c>
    </row>
    <row r="882" spans="1:14" x14ac:dyDescent="0.35">
      <c r="A882" t="s">
        <v>1447</v>
      </c>
      <c r="B882" t="s">
        <v>1446</v>
      </c>
      <c r="C882" t="s">
        <v>165</v>
      </c>
      <c r="D882" t="s">
        <v>17</v>
      </c>
      <c r="E882" t="s">
        <v>18</v>
      </c>
      <c r="F882" t="s">
        <v>27</v>
      </c>
      <c r="G882" t="s">
        <v>85</v>
      </c>
      <c r="H882" t="s">
        <v>33</v>
      </c>
      <c r="I882">
        <v>7</v>
      </c>
      <c r="J882">
        <v>1800</v>
      </c>
      <c r="K882">
        <v>0</v>
      </c>
      <c r="L882">
        <v>12600</v>
      </c>
      <c r="M882">
        <v>7700</v>
      </c>
      <c r="N882">
        <v>4900</v>
      </c>
    </row>
    <row r="883" spans="1:14" x14ac:dyDescent="0.35">
      <c r="A883" t="s">
        <v>1448</v>
      </c>
      <c r="B883" t="s">
        <v>1446</v>
      </c>
      <c r="C883" t="s">
        <v>220</v>
      </c>
      <c r="D883" t="s">
        <v>25</v>
      </c>
      <c r="E883" t="s">
        <v>26</v>
      </c>
      <c r="F883" t="s">
        <v>27</v>
      </c>
      <c r="G883" t="s">
        <v>85</v>
      </c>
      <c r="H883" t="s">
        <v>47</v>
      </c>
      <c r="I883">
        <v>6</v>
      </c>
      <c r="J883">
        <v>600</v>
      </c>
      <c r="K883">
        <v>0</v>
      </c>
      <c r="L883">
        <v>3600</v>
      </c>
      <c r="M883">
        <v>1980</v>
      </c>
      <c r="N883">
        <v>1620</v>
      </c>
    </row>
    <row r="884" spans="1:14" x14ac:dyDescent="0.35">
      <c r="A884" t="s">
        <v>1449</v>
      </c>
      <c r="B884" t="s">
        <v>1446</v>
      </c>
      <c r="C884" t="s">
        <v>464</v>
      </c>
      <c r="D884" t="s">
        <v>17</v>
      </c>
      <c r="E884" t="s">
        <v>18</v>
      </c>
      <c r="F884" t="s">
        <v>37</v>
      </c>
      <c r="G884" t="s">
        <v>38</v>
      </c>
      <c r="H884" t="s">
        <v>39</v>
      </c>
      <c r="I884">
        <v>3</v>
      </c>
      <c r="J884">
        <v>1800</v>
      </c>
      <c r="K884">
        <v>0.1</v>
      </c>
      <c r="L884">
        <v>4860</v>
      </c>
      <c r="M884">
        <v>3300</v>
      </c>
      <c r="N884">
        <v>1560</v>
      </c>
    </row>
    <row r="885" spans="1:14" x14ac:dyDescent="0.35">
      <c r="A885" t="s">
        <v>1450</v>
      </c>
      <c r="B885" t="s">
        <v>1451</v>
      </c>
      <c r="C885" t="s">
        <v>575</v>
      </c>
      <c r="D885" t="s">
        <v>17</v>
      </c>
      <c r="E885" t="s">
        <v>50</v>
      </c>
      <c r="F885" t="s">
        <v>19</v>
      </c>
      <c r="G885" t="s">
        <v>113</v>
      </c>
      <c r="H885" t="s">
        <v>29</v>
      </c>
      <c r="I885">
        <v>1</v>
      </c>
      <c r="J885">
        <v>650</v>
      </c>
      <c r="K885">
        <v>0</v>
      </c>
      <c r="L885">
        <v>650</v>
      </c>
      <c r="M885">
        <v>380</v>
      </c>
      <c r="N885">
        <v>270</v>
      </c>
    </row>
    <row r="886" spans="1:14" x14ac:dyDescent="0.35">
      <c r="A886" t="s">
        <v>1452</v>
      </c>
      <c r="B886" t="s">
        <v>1451</v>
      </c>
      <c r="C886" t="s">
        <v>800</v>
      </c>
      <c r="D886" t="s">
        <v>17</v>
      </c>
      <c r="E886" t="s">
        <v>50</v>
      </c>
      <c r="F886" t="s">
        <v>45</v>
      </c>
      <c r="G886" t="s">
        <v>70</v>
      </c>
      <c r="H886" t="s">
        <v>21</v>
      </c>
      <c r="I886">
        <v>1</v>
      </c>
      <c r="J886">
        <v>650</v>
      </c>
      <c r="K886">
        <v>0.15</v>
      </c>
      <c r="L886">
        <v>552.5</v>
      </c>
      <c r="M886">
        <v>380</v>
      </c>
      <c r="N886">
        <v>172.5</v>
      </c>
    </row>
    <row r="887" spans="1:14" x14ac:dyDescent="0.35">
      <c r="A887" t="s">
        <v>1453</v>
      </c>
      <c r="B887" t="s">
        <v>1454</v>
      </c>
      <c r="C887" t="s">
        <v>473</v>
      </c>
      <c r="D887" t="s">
        <v>17</v>
      </c>
      <c r="E887" t="s">
        <v>65</v>
      </c>
      <c r="F887" t="s">
        <v>37</v>
      </c>
      <c r="G887" t="s">
        <v>38</v>
      </c>
      <c r="H887" t="s">
        <v>33</v>
      </c>
      <c r="I887">
        <v>8</v>
      </c>
      <c r="J887">
        <v>2200</v>
      </c>
      <c r="K887">
        <v>0.1</v>
      </c>
      <c r="L887">
        <v>15840</v>
      </c>
      <c r="M887">
        <v>11200</v>
      </c>
      <c r="N887">
        <v>4640</v>
      </c>
    </row>
    <row r="888" spans="1:14" x14ac:dyDescent="0.35">
      <c r="A888" t="s">
        <v>1455</v>
      </c>
      <c r="B888" t="s">
        <v>1454</v>
      </c>
      <c r="C888" t="s">
        <v>569</v>
      </c>
      <c r="D888" t="s">
        <v>17</v>
      </c>
      <c r="E888" t="s">
        <v>32</v>
      </c>
      <c r="F888" t="s">
        <v>27</v>
      </c>
      <c r="G888" t="s">
        <v>28</v>
      </c>
      <c r="H888" t="s">
        <v>29</v>
      </c>
      <c r="I888">
        <v>4</v>
      </c>
      <c r="J888">
        <v>1500</v>
      </c>
      <c r="K888">
        <v>0.1</v>
      </c>
      <c r="L888">
        <v>5400</v>
      </c>
      <c r="M888">
        <v>3600</v>
      </c>
      <c r="N888">
        <v>1800</v>
      </c>
    </row>
    <row r="889" spans="1:14" x14ac:dyDescent="0.35">
      <c r="A889" t="s">
        <v>1456</v>
      </c>
      <c r="B889" t="s">
        <v>1457</v>
      </c>
      <c r="C889" t="s">
        <v>625</v>
      </c>
      <c r="D889" t="s">
        <v>25</v>
      </c>
      <c r="E889" t="s">
        <v>36</v>
      </c>
      <c r="F889" t="s">
        <v>27</v>
      </c>
      <c r="G889" t="s">
        <v>90</v>
      </c>
      <c r="H889" t="s">
        <v>29</v>
      </c>
      <c r="I889">
        <v>9</v>
      </c>
      <c r="J889">
        <v>700</v>
      </c>
      <c r="K889">
        <v>0.1</v>
      </c>
      <c r="L889">
        <v>5670</v>
      </c>
      <c r="M889">
        <v>3600</v>
      </c>
      <c r="N889">
        <v>2070</v>
      </c>
    </row>
    <row r="890" spans="1:14" x14ac:dyDescent="0.35">
      <c r="A890" t="s">
        <v>1458</v>
      </c>
      <c r="B890" t="s">
        <v>1457</v>
      </c>
      <c r="C890" t="s">
        <v>328</v>
      </c>
      <c r="D890" t="s">
        <v>54</v>
      </c>
      <c r="E890" t="s">
        <v>110</v>
      </c>
      <c r="F890" t="s">
        <v>19</v>
      </c>
      <c r="G890" t="s">
        <v>20</v>
      </c>
      <c r="H890" t="s">
        <v>33</v>
      </c>
      <c r="I890">
        <v>5</v>
      </c>
      <c r="J890">
        <v>280</v>
      </c>
      <c r="K890">
        <v>0.1</v>
      </c>
      <c r="L890">
        <v>1260</v>
      </c>
      <c r="M890">
        <v>750</v>
      </c>
      <c r="N890">
        <v>510</v>
      </c>
    </row>
    <row r="891" spans="1:14" x14ac:dyDescent="0.35">
      <c r="A891" t="s">
        <v>1459</v>
      </c>
      <c r="B891" t="s">
        <v>1457</v>
      </c>
      <c r="C891" t="s">
        <v>444</v>
      </c>
      <c r="D891" t="s">
        <v>43</v>
      </c>
      <c r="E891" t="s">
        <v>62</v>
      </c>
      <c r="F891" t="s">
        <v>19</v>
      </c>
      <c r="G891" t="s">
        <v>113</v>
      </c>
      <c r="H891" t="s">
        <v>33</v>
      </c>
      <c r="I891">
        <v>10</v>
      </c>
      <c r="J891">
        <v>500</v>
      </c>
      <c r="K891">
        <v>0</v>
      </c>
      <c r="L891">
        <v>5000</v>
      </c>
      <c r="M891">
        <v>2800</v>
      </c>
      <c r="N891">
        <v>2200</v>
      </c>
    </row>
    <row r="892" spans="1:14" x14ac:dyDescent="0.35">
      <c r="A892" t="s">
        <v>1460</v>
      </c>
      <c r="B892" t="s">
        <v>1457</v>
      </c>
      <c r="C892" t="s">
        <v>701</v>
      </c>
      <c r="D892" t="s">
        <v>43</v>
      </c>
      <c r="E892" t="s">
        <v>143</v>
      </c>
      <c r="F892" t="s">
        <v>37</v>
      </c>
      <c r="G892" t="s">
        <v>97</v>
      </c>
      <c r="H892" t="s">
        <v>47</v>
      </c>
      <c r="I892">
        <v>4</v>
      </c>
      <c r="J892">
        <v>650</v>
      </c>
      <c r="K892">
        <v>0.15</v>
      </c>
      <c r="L892">
        <v>2210</v>
      </c>
      <c r="M892">
        <v>1400</v>
      </c>
      <c r="N892">
        <v>810</v>
      </c>
    </row>
    <row r="893" spans="1:14" x14ac:dyDescent="0.35">
      <c r="A893" t="s">
        <v>1461</v>
      </c>
      <c r="B893" t="s">
        <v>1462</v>
      </c>
      <c r="C893" t="s">
        <v>182</v>
      </c>
      <c r="D893" t="s">
        <v>43</v>
      </c>
      <c r="E893" t="s">
        <v>44</v>
      </c>
      <c r="F893" t="s">
        <v>27</v>
      </c>
      <c r="G893" t="s">
        <v>51</v>
      </c>
      <c r="H893" t="s">
        <v>33</v>
      </c>
      <c r="I893">
        <v>4</v>
      </c>
      <c r="J893">
        <v>2200</v>
      </c>
      <c r="K893">
        <v>0.1</v>
      </c>
      <c r="L893">
        <v>7920</v>
      </c>
      <c r="M893">
        <v>5800</v>
      </c>
      <c r="N893">
        <v>2120</v>
      </c>
    </row>
    <row r="894" spans="1:14" x14ac:dyDescent="0.35">
      <c r="A894" t="s">
        <v>1463</v>
      </c>
      <c r="B894" t="s">
        <v>1462</v>
      </c>
      <c r="C894" t="s">
        <v>61</v>
      </c>
      <c r="D894" t="s">
        <v>54</v>
      </c>
      <c r="E894" t="s">
        <v>55</v>
      </c>
      <c r="F894" t="s">
        <v>37</v>
      </c>
      <c r="G894" t="s">
        <v>73</v>
      </c>
      <c r="H894" t="s">
        <v>21</v>
      </c>
      <c r="I894">
        <v>9</v>
      </c>
      <c r="J894">
        <v>180</v>
      </c>
      <c r="K894">
        <v>0.05</v>
      </c>
      <c r="L894">
        <v>1539</v>
      </c>
      <c r="M894">
        <v>810</v>
      </c>
      <c r="N894">
        <v>729</v>
      </c>
    </row>
    <row r="895" spans="1:14" x14ac:dyDescent="0.35">
      <c r="A895" t="s">
        <v>1464</v>
      </c>
      <c r="B895" t="s">
        <v>1465</v>
      </c>
      <c r="C895" t="s">
        <v>171</v>
      </c>
      <c r="D895" t="s">
        <v>17</v>
      </c>
      <c r="E895" t="s">
        <v>50</v>
      </c>
      <c r="F895" t="s">
        <v>27</v>
      </c>
      <c r="G895" t="s">
        <v>85</v>
      </c>
      <c r="H895" t="s">
        <v>21</v>
      </c>
      <c r="I895">
        <v>7</v>
      </c>
      <c r="J895">
        <v>650</v>
      </c>
      <c r="K895">
        <v>0</v>
      </c>
      <c r="L895">
        <v>4550</v>
      </c>
      <c r="M895">
        <v>2660</v>
      </c>
      <c r="N895">
        <v>1890</v>
      </c>
    </row>
    <row r="896" spans="1:14" x14ac:dyDescent="0.35">
      <c r="A896" t="s">
        <v>1466</v>
      </c>
      <c r="B896" t="s">
        <v>1465</v>
      </c>
      <c r="C896" t="s">
        <v>350</v>
      </c>
      <c r="D896" t="s">
        <v>17</v>
      </c>
      <c r="E896" t="s">
        <v>65</v>
      </c>
      <c r="F896" t="s">
        <v>19</v>
      </c>
      <c r="G896" t="s">
        <v>56</v>
      </c>
      <c r="H896" t="s">
        <v>39</v>
      </c>
      <c r="I896">
        <v>3</v>
      </c>
      <c r="J896">
        <v>2200</v>
      </c>
      <c r="K896">
        <v>0</v>
      </c>
      <c r="L896">
        <v>6600</v>
      </c>
      <c r="M896">
        <v>4200</v>
      </c>
      <c r="N896">
        <v>2400</v>
      </c>
    </row>
    <row r="897" spans="1:14" x14ac:dyDescent="0.35">
      <c r="A897" t="s">
        <v>1467</v>
      </c>
      <c r="B897" t="s">
        <v>1465</v>
      </c>
      <c r="C897" t="s">
        <v>876</v>
      </c>
      <c r="D897" t="s">
        <v>25</v>
      </c>
      <c r="E897" t="s">
        <v>26</v>
      </c>
      <c r="F897" t="s">
        <v>45</v>
      </c>
      <c r="G897" t="s">
        <v>104</v>
      </c>
      <c r="H897" t="s">
        <v>125</v>
      </c>
      <c r="I897">
        <v>5</v>
      </c>
      <c r="J897">
        <v>600</v>
      </c>
      <c r="K897">
        <v>0.05</v>
      </c>
      <c r="L897">
        <v>2850</v>
      </c>
      <c r="M897">
        <v>1650</v>
      </c>
      <c r="N897">
        <v>1200</v>
      </c>
    </row>
    <row r="898" spans="1:14" x14ac:dyDescent="0.35">
      <c r="A898" t="s">
        <v>1468</v>
      </c>
      <c r="B898" t="s">
        <v>1465</v>
      </c>
      <c r="C898" t="s">
        <v>691</v>
      </c>
      <c r="D898" t="s">
        <v>54</v>
      </c>
      <c r="E898" t="s">
        <v>110</v>
      </c>
      <c r="F898" t="s">
        <v>45</v>
      </c>
      <c r="G898" t="s">
        <v>70</v>
      </c>
      <c r="H898" t="s">
        <v>29</v>
      </c>
      <c r="I898">
        <v>2</v>
      </c>
      <c r="J898">
        <v>280</v>
      </c>
      <c r="K898">
        <v>0.1</v>
      </c>
      <c r="L898">
        <v>504</v>
      </c>
      <c r="M898">
        <v>300</v>
      </c>
      <c r="N898">
        <v>204</v>
      </c>
    </row>
    <row r="899" spans="1:14" x14ac:dyDescent="0.35">
      <c r="A899" t="s">
        <v>1469</v>
      </c>
      <c r="B899" t="s">
        <v>1470</v>
      </c>
      <c r="C899" t="s">
        <v>294</v>
      </c>
      <c r="D899" t="s">
        <v>25</v>
      </c>
      <c r="E899" t="s">
        <v>36</v>
      </c>
      <c r="F899" t="s">
        <v>19</v>
      </c>
      <c r="G899" t="s">
        <v>215</v>
      </c>
      <c r="H899" t="s">
        <v>29</v>
      </c>
      <c r="I899">
        <v>10</v>
      </c>
      <c r="J899">
        <v>700</v>
      </c>
      <c r="K899">
        <v>0.05</v>
      </c>
      <c r="L899">
        <v>6650</v>
      </c>
      <c r="M899">
        <v>4000</v>
      </c>
      <c r="N899">
        <v>2650</v>
      </c>
    </row>
    <row r="900" spans="1:14" x14ac:dyDescent="0.35">
      <c r="A900" t="s">
        <v>1471</v>
      </c>
      <c r="B900" t="s">
        <v>1472</v>
      </c>
      <c r="C900" t="s">
        <v>352</v>
      </c>
      <c r="D900" t="s">
        <v>43</v>
      </c>
      <c r="E900" t="s">
        <v>44</v>
      </c>
      <c r="F900" t="s">
        <v>27</v>
      </c>
      <c r="G900" t="s">
        <v>51</v>
      </c>
      <c r="H900" t="s">
        <v>47</v>
      </c>
      <c r="I900">
        <v>6</v>
      </c>
      <c r="J900">
        <v>2200</v>
      </c>
      <c r="K900">
        <v>0</v>
      </c>
      <c r="L900">
        <v>13200</v>
      </c>
      <c r="M900">
        <v>8700</v>
      </c>
      <c r="N900">
        <v>4500</v>
      </c>
    </row>
    <row r="901" spans="1:14" x14ac:dyDescent="0.35">
      <c r="A901" t="s">
        <v>1473</v>
      </c>
      <c r="B901" t="s">
        <v>1472</v>
      </c>
      <c r="C901" t="s">
        <v>35</v>
      </c>
      <c r="D901" t="s">
        <v>54</v>
      </c>
      <c r="E901" t="s">
        <v>55</v>
      </c>
      <c r="F901" t="s">
        <v>45</v>
      </c>
      <c r="G901" t="s">
        <v>122</v>
      </c>
      <c r="H901" t="s">
        <v>21</v>
      </c>
      <c r="I901">
        <v>5</v>
      </c>
      <c r="J901">
        <v>180</v>
      </c>
      <c r="K901">
        <v>0</v>
      </c>
      <c r="L901">
        <v>900</v>
      </c>
      <c r="M901">
        <v>450</v>
      </c>
      <c r="N901">
        <v>450</v>
      </c>
    </row>
    <row r="902" spans="1:14" x14ac:dyDescent="0.35">
      <c r="A902" t="s">
        <v>1474</v>
      </c>
      <c r="B902" t="s">
        <v>1472</v>
      </c>
      <c r="C902" t="s">
        <v>115</v>
      </c>
      <c r="D902" t="s">
        <v>17</v>
      </c>
      <c r="E902" t="s">
        <v>65</v>
      </c>
      <c r="F902" t="s">
        <v>37</v>
      </c>
      <c r="G902" t="s">
        <v>73</v>
      </c>
      <c r="H902" t="s">
        <v>29</v>
      </c>
      <c r="I902">
        <v>1</v>
      </c>
      <c r="J902">
        <v>2200</v>
      </c>
      <c r="K902">
        <v>0</v>
      </c>
      <c r="L902">
        <v>2200</v>
      </c>
      <c r="M902">
        <v>1400</v>
      </c>
      <c r="N902">
        <v>800</v>
      </c>
    </row>
    <row r="903" spans="1:14" x14ac:dyDescent="0.35">
      <c r="A903" t="s">
        <v>1475</v>
      </c>
      <c r="B903" t="s">
        <v>1476</v>
      </c>
      <c r="C903" t="s">
        <v>99</v>
      </c>
      <c r="D903" t="s">
        <v>25</v>
      </c>
      <c r="E903" t="s">
        <v>69</v>
      </c>
      <c r="F903" t="s">
        <v>27</v>
      </c>
      <c r="G903" t="s">
        <v>28</v>
      </c>
      <c r="H903" t="s">
        <v>29</v>
      </c>
      <c r="I903">
        <v>4</v>
      </c>
      <c r="J903">
        <v>350</v>
      </c>
      <c r="K903">
        <v>0</v>
      </c>
      <c r="L903">
        <v>1400</v>
      </c>
      <c r="M903">
        <v>720</v>
      </c>
      <c r="N903">
        <v>680</v>
      </c>
    </row>
    <row r="904" spans="1:14" x14ac:dyDescent="0.35">
      <c r="A904" t="s">
        <v>1477</v>
      </c>
      <c r="B904" t="s">
        <v>1476</v>
      </c>
      <c r="C904" t="s">
        <v>99</v>
      </c>
      <c r="D904" t="s">
        <v>25</v>
      </c>
      <c r="E904" t="s">
        <v>89</v>
      </c>
      <c r="F904" t="s">
        <v>37</v>
      </c>
      <c r="G904" t="s">
        <v>38</v>
      </c>
      <c r="H904" t="s">
        <v>29</v>
      </c>
      <c r="I904">
        <v>10</v>
      </c>
      <c r="J904">
        <v>550</v>
      </c>
      <c r="K904">
        <v>0</v>
      </c>
      <c r="L904">
        <v>5500</v>
      </c>
      <c r="M904">
        <v>3000</v>
      </c>
      <c r="N904">
        <v>2500</v>
      </c>
    </row>
    <row r="905" spans="1:14" x14ac:dyDescent="0.35">
      <c r="A905" t="s">
        <v>1478</v>
      </c>
      <c r="B905" t="s">
        <v>1479</v>
      </c>
      <c r="C905" t="s">
        <v>131</v>
      </c>
      <c r="D905" t="s">
        <v>25</v>
      </c>
      <c r="E905" t="s">
        <v>36</v>
      </c>
      <c r="F905" t="s">
        <v>19</v>
      </c>
      <c r="G905" t="s">
        <v>113</v>
      </c>
      <c r="H905" t="s">
        <v>125</v>
      </c>
      <c r="I905">
        <v>5</v>
      </c>
      <c r="J905">
        <v>700</v>
      </c>
      <c r="K905">
        <v>0</v>
      </c>
      <c r="L905">
        <v>3500</v>
      </c>
      <c r="M905">
        <v>2000</v>
      </c>
      <c r="N905">
        <v>1500</v>
      </c>
    </row>
    <row r="906" spans="1:14" x14ac:dyDescent="0.35">
      <c r="A906" t="s">
        <v>1480</v>
      </c>
      <c r="B906" t="s">
        <v>1481</v>
      </c>
      <c r="C906" t="s">
        <v>207</v>
      </c>
      <c r="D906" t="s">
        <v>17</v>
      </c>
      <c r="E906" t="s">
        <v>124</v>
      </c>
      <c r="F906" t="s">
        <v>37</v>
      </c>
      <c r="G906" t="s">
        <v>38</v>
      </c>
      <c r="H906" t="s">
        <v>125</v>
      </c>
      <c r="I906">
        <v>2</v>
      </c>
      <c r="J906">
        <v>1200</v>
      </c>
      <c r="K906">
        <v>0.05</v>
      </c>
      <c r="L906">
        <v>2280</v>
      </c>
      <c r="M906">
        <v>1440</v>
      </c>
      <c r="N906">
        <v>840</v>
      </c>
    </row>
    <row r="907" spans="1:14" x14ac:dyDescent="0.35">
      <c r="A907" t="s">
        <v>1482</v>
      </c>
      <c r="B907" t="s">
        <v>1481</v>
      </c>
      <c r="C907" t="s">
        <v>575</v>
      </c>
      <c r="D907" t="s">
        <v>54</v>
      </c>
      <c r="E907" t="s">
        <v>110</v>
      </c>
      <c r="F907" t="s">
        <v>19</v>
      </c>
      <c r="G907" t="s">
        <v>113</v>
      </c>
      <c r="H907" t="s">
        <v>39</v>
      </c>
      <c r="I907">
        <v>6</v>
      </c>
      <c r="J907">
        <v>280</v>
      </c>
      <c r="K907">
        <v>0</v>
      </c>
      <c r="L907">
        <v>1680</v>
      </c>
      <c r="M907">
        <v>900</v>
      </c>
      <c r="N907">
        <v>780</v>
      </c>
    </row>
    <row r="908" spans="1:14" x14ac:dyDescent="0.35">
      <c r="A908" t="s">
        <v>1483</v>
      </c>
      <c r="B908" t="s">
        <v>1481</v>
      </c>
      <c r="C908" t="s">
        <v>106</v>
      </c>
      <c r="D908" t="s">
        <v>25</v>
      </c>
      <c r="E908" t="s">
        <v>80</v>
      </c>
      <c r="F908" t="s">
        <v>37</v>
      </c>
      <c r="G908" t="s">
        <v>73</v>
      </c>
      <c r="H908" t="s">
        <v>29</v>
      </c>
      <c r="I908">
        <v>8</v>
      </c>
      <c r="J908">
        <v>950</v>
      </c>
      <c r="K908">
        <v>0.1</v>
      </c>
      <c r="L908">
        <v>6840</v>
      </c>
      <c r="M908">
        <v>4480</v>
      </c>
      <c r="N908">
        <v>2360</v>
      </c>
    </row>
    <row r="909" spans="1:14" x14ac:dyDescent="0.35">
      <c r="A909" t="s">
        <v>1484</v>
      </c>
      <c r="B909" t="s">
        <v>1481</v>
      </c>
      <c r="C909" t="s">
        <v>35</v>
      </c>
      <c r="D909" t="s">
        <v>25</v>
      </c>
      <c r="E909" t="s">
        <v>69</v>
      </c>
      <c r="F909" t="s">
        <v>19</v>
      </c>
      <c r="G909" t="s">
        <v>215</v>
      </c>
      <c r="H909" t="s">
        <v>39</v>
      </c>
      <c r="I909">
        <v>1</v>
      </c>
      <c r="J909">
        <v>350</v>
      </c>
      <c r="K909">
        <v>0.05</v>
      </c>
      <c r="L909">
        <v>332.5</v>
      </c>
      <c r="M909">
        <v>180</v>
      </c>
      <c r="N909">
        <v>152.5</v>
      </c>
    </row>
    <row r="910" spans="1:14" x14ac:dyDescent="0.35">
      <c r="A910" t="s">
        <v>1485</v>
      </c>
      <c r="B910" t="s">
        <v>1486</v>
      </c>
      <c r="C910" t="s">
        <v>236</v>
      </c>
      <c r="D910" t="s">
        <v>17</v>
      </c>
      <c r="E910" t="s">
        <v>50</v>
      </c>
      <c r="F910" t="s">
        <v>45</v>
      </c>
      <c r="G910" t="s">
        <v>70</v>
      </c>
      <c r="H910" t="s">
        <v>125</v>
      </c>
      <c r="I910">
        <v>5</v>
      </c>
      <c r="J910">
        <v>650</v>
      </c>
      <c r="K910">
        <v>0</v>
      </c>
      <c r="L910">
        <v>3250</v>
      </c>
      <c r="M910">
        <v>1900</v>
      </c>
      <c r="N910">
        <v>1350</v>
      </c>
    </row>
    <row r="911" spans="1:14" x14ac:dyDescent="0.35">
      <c r="A911" t="s">
        <v>1487</v>
      </c>
      <c r="B911" t="s">
        <v>1486</v>
      </c>
      <c r="C911" t="s">
        <v>473</v>
      </c>
      <c r="D911" t="s">
        <v>17</v>
      </c>
      <c r="E911" t="s">
        <v>50</v>
      </c>
      <c r="F911" t="s">
        <v>19</v>
      </c>
      <c r="G911" t="s">
        <v>113</v>
      </c>
      <c r="H911" t="s">
        <v>29</v>
      </c>
      <c r="I911">
        <v>2</v>
      </c>
      <c r="J911">
        <v>650</v>
      </c>
      <c r="K911">
        <v>0</v>
      </c>
      <c r="L911">
        <v>1300</v>
      </c>
      <c r="M911">
        <v>760</v>
      </c>
      <c r="N911">
        <v>540</v>
      </c>
    </row>
    <row r="912" spans="1:14" x14ac:dyDescent="0.35">
      <c r="A912" t="s">
        <v>1488</v>
      </c>
      <c r="B912" t="s">
        <v>1486</v>
      </c>
      <c r="C912" t="s">
        <v>830</v>
      </c>
      <c r="D912" t="s">
        <v>17</v>
      </c>
      <c r="E912" t="s">
        <v>32</v>
      </c>
      <c r="F912" t="s">
        <v>19</v>
      </c>
      <c r="G912" t="s">
        <v>215</v>
      </c>
      <c r="H912" t="s">
        <v>33</v>
      </c>
      <c r="I912">
        <v>1</v>
      </c>
      <c r="J912">
        <v>1500</v>
      </c>
      <c r="K912">
        <v>0.05</v>
      </c>
      <c r="L912">
        <v>1425</v>
      </c>
      <c r="M912">
        <v>900</v>
      </c>
      <c r="N912">
        <v>525</v>
      </c>
    </row>
    <row r="913" spans="1:14" x14ac:dyDescent="0.35">
      <c r="A913" t="s">
        <v>1489</v>
      </c>
      <c r="B913" t="s">
        <v>1486</v>
      </c>
      <c r="C913" t="s">
        <v>846</v>
      </c>
      <c r="D913" t="s">
        <v>54</v>
      </c>
      <c r="E913" t="s">
        <v>116</v>
      </c>
      <c r="F913" t="s">
        <v>45</v>
      </c>
      <c r="G913" t="s">
        <v>46</v>
      </c>
      <c r="H913" t="s">
        <v>33</v>
      </c>
      <c r="I913">
        <v>1</v>
      </c>
      <c r="J913">
        <v>450</v>
      </c>
      <c r="K913">
        <v>0.05</v>
      </c>
      <c r="L913">
        <v>427.5</v>
      </c>
      <c r="M913">
        <v>250</v>
      </c>
      <c r="N913">
        <v>177.5</v>
      </c>
    </row>
    <row r="914" spans="1:14" x14ac:dyDescent="0.35">
      <c r="A914" t="s">
        <v>1490</v>
      </c>
      <c r="B914" t="s">
        <v>1486</v>
      </c>
      <c r="C914" t="s">
        <v>973</v>
      </c>
      <c r="D914" t="s">
        <v>54</v>
      </c>
      <c r="E914" t="s">
        <v>103</v>
      </c>
      <c r="F914" t="s">
        <v>37</v>
      </c>
      <c r="G914" t="s">
        <v>73</v>
      </c>
      <c r="H914" t="s">
        <v>29</v>
      </c>
      <c r="I914">
        <v>6</v>
      </c>
      <c r="J914">
        <v>150</v>
      </c>
      <c r="K914">
        <v>0.1</v>
      </c>
      <c r="L914">
        <v>810</v>
      </c>
      <c r="M914">
        <v>450</v>
      </c>
      <c r="N914">
        <v>360</v>
      </c>
    </row>
    <row r="915" spans="1:14" x14ac:dyDescent="0.35">
      <c r="A915" t="s">
        <v>1491</v>
      </c>
      <c r="B915" t="s">
        <v>1492</v>
      </c>
      <c r="C915" t="s">
        <v>386</v>
      </c>
      <c r="D915" t="s">
        <v>25</v>
      </c>
      <c r="E915" t="s">
        <v>26</v>
      </c>
      <c r="F915" t="s">
        <v>45</v>
      </c>
      <c r="G915" t="s">
        <v>122</v>
      </c>
      <c r="H915" t="s">
        <v>29</v>
      </c>
      <c r="I915">
        <v>5</v>
      </c>
      <c r="J915">
        <v>600</v>
      </c>
      <c r="K915">
        <v>0</v>
      </c>
      <c r="L915">
        <v>3000</v>
      </c>
      <c r="M915">
        <v>1650</v>
      </c>
      <c r="N915">
        <v>1350</v>
      </c>
    </row>
    <row r="916" spans="1:14" x14ac:dyDescent="0.35">
      <c r="A916" t="s">
        <v>1493</v>
      </c>
      <c r="B916" t="s">
        <v>1492</v>
      </c>
      <c r="C916" t="s">
        <v>457</v>
      </c>
      <c r="D916" t="s">
        <v>54</v>
      </c>
      <c r="E916" t="s">
        <v>55</v>
      </c>
      <c r="F916" t="s">
        <v>37</v>
      </c>
      <c r="G916" t="s">
        <v>38</v>
      </c>
      <c r="H916" t="s">
        <v>21</v>
      </c>
      <c r="I916">
        <v>2</v>
      </c>
      <c r="J916">
        <v>180</v>
      </c>
      <c r="K916">
        <v>0.05</v>
      </c>
      <c r="L916">
        <v>342</v>
      </c>
      <c r="M916">
        <v>180</v>
      </c>
      <c r="N916">
        <v>162</v>
      </c>
    </row>
    <row r="917" spans="1:14" x14ac:dyDescent="0.35">
      <c r="A917" t="s">
        <v>1494</v>
      </c>
      <c r="B917" t="s">
        <v>1495</v>
      </c>
      <c r="C917" t="s">
        <v>68</v>
      </c>
      <c r="D917" t="s">
        <v>54</v>
      </c>
      <c r="E917" t="s">
        <v>103</v>
      </c>
      <c r="F917" t="s">
        <v>45</v>
      </c>
      <c r="G917" t="s">
        <v>70</v>
      </c>
      <c r="H917" t="s">
        <v>21</v>
      </c>
      <c r="I917">
        <v>10</v>
      </c>
      <c r="J917">
        <v>150</v>
      </c>
      <c r="K917">
        <v>0.05</v>
      </c>
      <c r="L917">
        <v>1425</v>
      </c>
      <c r="M917">
        <v>750</v>
      </c>
      <c r="N917">
        <v>675</v>
      </c>
    </row>
    <row r="918" spans="1:14" x14ac:dyDescent="0.35">
      <c r="A918" t="s">
        <v>1496</v>
      </c>
      <c r="B918" t="s">
        <v>1495</v>
      </c>
      <c r="C918" t="s">
        <v>178</v>
      </c>
      <c r="D918" t="s">
        <v>54</v>
      </c>
      <c r="E918" t="s">
        <v>107</v>
      </c>
      <c r="F918" t="s">
        <v>45</v>
      </c>
      <c r="G918" t="s">
        <v>122</v>
      </c>
      <c r="H918" t="s">
        <v>21</v>
      </c>
      <c r="I918">
        <v>10</v>
      </c>
      <c r="J918">
        <v>120</v>
      </c>
      <c r="K918">
        <v>0.05</v>
      </c>
      <c r="L918">
        <v>1140</v>
      </c>
      <c r="M918">
        <v>550</v>
      </c>
      <c r="N918">
        <v>590</v>
      </c>
    </row>
    <row r="919" spans="1:14" x14ac:dyDescent="0.35">
      <c r="A919" t="s">
        <v>1497</v>
      </c>
      <c r="B919" t="s">
        <v>1495</v>
      </c>
      <c r="C919" t="s">
        <v>96</v>
      </c>
      <c r="D919" t="s">
        <v>43</v>
      </c>
      <c r="E919" t="s">
        <v>143</v>
      </c>
      <c r="F919" t="s">
        <v>37</v>
      </c>
      <c r="G919" t="s">
        <v>38</v>
      </c>
      <c r="H919" t="s">
        <v>125</v>
      </c>
      <c r="I919">
        <v>1</v>
      </c>
      <c r="J919">
        <v>650</v>
      </c>
      <c r="K919">
        <v>0</v>
      </c>
      <c r="L919">
        <v>650</v>
      </c>
      <c r="M919">
        <v>350</v>
      </c>
      <c r="N919">
        <v>300</v>
      </c>
    </row>
    <row r="920" spans="1:14" x14ac:dyDescent="0.35">
      <c r="A920" t="s">
        <v>1498</v>
      </c>
      <c r="B920" t="s">
        <v>1495</v>
      </c>
      <c r="C920" t="s">
        <v>24</v>
      </c>
      <c r="D920" t="s">
        <v>54</v>
      </c>
      <c r="E920" t="s">
        <v>110</v>
      </c>
      <c r="F920" t="s">
        <v>27</v>
      </c>
      <c r="G920" t="s">
        <v>28</v>
      </c>
      <c r="H920" t="s">
        <v>29</v>
      </c>
      <c r="I920">
        <v>6</v>
      </c>
      <c r="J920">
        <v>280</v>
      </c>
      <c r="K920">
        <v>0.05</v>
      </c>
      <c r="L920">
        <v>1596</v>
      </c>
      <c r="M920">
        <v>900</v>
      </c>
      <c r="N920">
        <v>696</v>
      </c>
    </row>
    <row r="921" spans="1:14" x14ac:dyDescent="0.35">
      <c r="A921" t="s">
        <v>1499</v>
      </c>
      <c r="B921" t="s">
        <v>1500</v>
      </c>
      <c r="C921" t="s">
        <v>254</v>
      </c>
      <c r="D921" t="s">
        <v>54</v>
      </c>
      <c r="E921" t="s">
        <v>55</v>
      </c>
      <c r="F921" t="s">
        <v>27</v>
      </c>
      <c r="G921" t="s">
        <v>28</v>
      </c>
      <c r="H921" t="s">
        <v>21</v>
      </c>
      <c r="I921">
        <v>3</v>
      </c>
      <c r="J921">
        <v>180</v>
      </c>
      <c r="K921">
        <v>0</v>
      </c>
      <c r="L921">
        <v>540</v>
      </c>
      <c r="M921">
        <v>270</v>
      </c>
      <c r="N921">
        <v>270</v>
      </c>
    </row>
    <row r="922" spans="1:14" x14ac:dyDescent="0.35">
      <c r="A922" t="s">
        <v>1501</v>
      </c>
      <c r="B922" t="s">
        <v>1500</v>
      </c>
      <c r="C922" t="s">
        <v>119</v>
      </c>
      <c r="D922" t="s">
        <v>17</v>
      </c>
      <c r="E922" t="s">
        <v>124</v>
      </c>
      <c r="F922" t="s">
        <v>27</v>
      </c>
      <c r="G922" t="s">
        <v>28</v>
      </c>
      <c r="H922" t="s">
        <v>33</v>
      </c>
      <c r="I922">
        <v>8</v>
      </c>
      <c r="J922">
        <v>1200</v>
      </c>
      <c r="K922">
        <v>0.05</v>
      </c>
      <c r="L922">
        <v>9120</v>
      </c>
      <c r="M922">
        <v>5760</v>
      </c>
      <c r="N922">
        <v>3360</v>
      </c>
    </row>
    <row r="923" spans="1:14" x14ac:dyDescent="0.35">
      <c r="A923" t="s">
        <v>1502</v>
      </c>
      <c r="B923" t="s">
        <v>1500</v>
      </c>
      <c r="C923" t="s">
        <v>198</v>
      </c>
      <c r="D923" t="s">
        <v>17</v>
      </c>
      <c r="E923" t="s">
        <v>32</v>
      </c>
      <c r="F923" t="s">
        <v>37</v>
      </c>
      <c r="G923" t="s">
        <v>73</v>
      </c>
      <c r="H923" t="s">
        <v>21</v>
      </c>
      <c r="I923">
        <v>5</v>
      </c>
      <c r="J923">
        <v>1500</v>
      </c>
      <c r="K923">
        <v>0.15</v>
      </c>
      <c r="L923">
        <v>6375</v>
      </c>
      <c r="M923">
        <v>4500</v>
      </c>
      <c r="N923">
        <v>1875</v>
      </c>
    </row>
    <row r="924" spans="1:14" x14ac:dyDescent="0.35">
      <c r="A924" t="s">
        <v>1503</v>
      </c>
      <c r="B924" t="s">
        <v>1504</v>
      </c>
      <c r="C924" t="s">
        <v>375</v>
      </c>
      <c r="D924" t="s">
        <v>25</v>
      </c>
      <c r="E924" t="s">
        <v>36</v>
      </c>
      <c r="F924" t="s">
        <v>37</v>
      </c>
      <c r="G924" t="s">
        <v>73</v>
      </c>
      <c r="H924" t="s">
        <v>21</v>
      </c>
      <c r="I924">
        <v>6</v>
      </c>
      <c r="J924">
        <v>700</v>
      </c>
      <c r="K924">
        <v>0.05</v>
      </c>
      <c r="L924">
        <v>3990</v>
      </c>
      <c r="M924">
        <v>2400</v>
      </c>
      <c r="N924">
        <v>1590</v>
      </c>
    </row>
    <row r="925" spans="1:14" x14ac:dyDescent="0.35">
      <c r="A925" t="s">
        <v>1505</v>
      </c>
      <c r="B925" t="s">
        <v>1504</v>
      </c>
      <c r="C925" t="s">
        <v>119</v>
      </c>
      <c r="D925" t="s">
        <v>43</v>
      </c>
      <c r="E925" t="s">
        <v>44</v>
      </c>
      <c r="F925" t="s">
        <v>37</v>
      </c>
      <c r="G925" t="s">
        <v>73</v>
      </c>
      <c r="H925" t="s">
        <v>21</v>
      </c>
      <c r="I925">
        <v>6</v>
      </c>
      <c r="J925">
        <v>2200</v>
      </c>
      <c r="K925">
        <v>0.05</v>
      </c>
      <c r="L925">
        <v>12540</v>
      </c>
      <c r="M925">
        <v>8700</v>
      </c>
      <c r="N925">
        <v>3840</v>
      </c>
    </row>
    <row r="926" spans="1:14" x14ac:dyDescent="0.35">
      <c r="A926" t="s">
        <v>1506</v>
      </c>
      <c r="B926" t="s">
        <v>1504</v>
      </c>
      <c r="C926" t="s">
        <v>543</v>
      </c>
      <c r="D926" t="s">
        <v>43</v>
      </c>
      <c r="E926" t="s">
        <v>44</v>
      </c>
      <c r="F926" t="s">
        <v>27</v>
      </c>
      <c r="G926" t="s">
        <v>51</v>
      </c>
      <c r="H926" t="s">
        <v>47</v>
      </c>
      <c r="I926">
        <v>4</v>
      </c>
      <c r="J926">
        <v>2200</v>
      </c>
      <c r="K926">
        <v>0.1</v>
      </c>
      <c r="L926">
        <v>7920</v>
      </c>
      <c r="M926">
        <v>5800</v>
      </c>
      <c r="N926">
        <v>2120</v>
      </c>
    </row>
    <row r="927" spans="1:14" x14ac:dyDescent="0.35">
      <c r="A927" t="s">
        <v>1507</v>
      </c>
      <c r="B927" t="s">
        <v>1504</v>
      </c>
      <c r="C927" t="s">
        <v>161</v>
      </c>
      <c r="D927" t="s">
        <v>43</v>
      </c>
      <c r="E927" t="s">
        <v>250</v>
      </c>
      <c r="F927" t="s">
        <v>45</v>
      </c>
      <c r="G927" t="s">
        <v>104</v>
      </c>
      <c r="H927" t="s">
        <v>21</v>
      </c>
      <c r="I927">
        <v>9</v>
      </c>
      <c r="J927">
        <v>900</v>
      </c>
      <c r="K927">
        <v>0</v>
      </c>
      <c r="L927">
        <v>8100</v>
      </c>
      <c r="M927">
        <v>4680</v>
      </c>
      <c r="N927">
        <v>3420</v>
      </c>
    </row>
    <row r="928" spans="1:14" x14ac:dyDescent="0.35">
      <c r="A928" t="s">
        <v>1508</v>
      </c>
      <c r="B928" t="s">
        <v>1509</v>
      </c>
      <c r="C928" t="s">
        <v>24</v>
      </c>
      <c r="D928" t="s">
        <v>43</v>
      </c>
      <c r="E928" t="s">
        <v>169</v>
      </c>
      <c r="F928" t="s">
        <v>37</v>
      </c>
      <c r="G928" t="s">
        <v>73</v>
      </c>
      <c r="H928" t="s">
        <v>39</v>
      </c>
      <c r="I928">
        <v>2</v>
      </c>
      <c r="J928">
        <v>350</v>
      </c>
      <c r="K928">
        <v>0</v>
      </c>
      <c r="L928">
        <v>700</v>
      </c>
      <c r="M928">
        <v>340</v>
      </c>
      <c r="N928">
        <v>360</v>
      </c>
    </row>
    <row r="929" spans="1:14" x14ac:dyDescent="0.35">
      <c r="A929" t="s">
        <v>1510</v>
      </c>
      <c r="B929" t="s">
        <v>1509</v>
      </c>
      <c r="C929" t="s">
        <v>96</v>
      </c>
      <c r="D929" t="s">
        <v>54</v>
      </c>
      <c r="E929" t="s">
        <v>110</v>
      </c>
      <c r="F929" t="s">
        <v>19</v>
      </c>
      <c r="G929" t="s">
        <v>56</v>
      </c>
      <c r="H929" t="s">
        <v>29</v>
      </c>
      <c r="I929">
        <v>4</v>
      </c>
      <c r="J929">
        <v>280</v>
      </c>
      <c r="K929">
        <v>0.05</v>
      </c>
      <c r="L929">
        <v>1064</v>
      </c>
      <c r="M929">
        <v>600</v>
      </c>
      <c r="N929">
        <v>464</v>
      </c>
    </row>
    <row r="930" spans="1:14" x14ac:dyDescent="0.35">
      <c r="A930" t="s">
        <v>1511</v>
      </c>
      <c r="B930" t="s">
        <v>1509</v>
      </c>
      <c r="C930" t="s">
        <v>163</v>
      </c>
      <c r="D930" t="s">
        <v>54</v>
      </c>
      <c r="E930" t="s">
        <v>107</v>
      </c>
      <c r="F930" t="s">
        <v>45</v>
      </c>
      <c r="G930" t="s">
        <v>70</v>
      </c>
      <c r="H930" t="s">
        <v>33</v>
      </c>
      <c r="I930">
        <v>6</v>
      </c>
      <c r="J930">
        <v>120</v>
      </c>
      <c r="K930">
        <v>0.05</v>
      </c>
      <c r="L930">
        <v>684</v>
      </c>
      <c r="M930">
        <v>330</v>
      </c>
      <c r="N930">
        <v>354</v>
      </c>
    </row>
    <row r="931" spans="1:14" x14ac:dyDescent="0.35">
      <c r="A931" t="s">
        <v>1512</v>
      </c>
      <c r="B931" t="s">
        <v>1509</v>
      </c>
      <c r="C931" t="s">
        <v>238</v>
      </c>
      <c r="D931" t="s">
        <v>25</v>
      </c>
      <c r="E931" t="s">
        <v>69</v>
      </c>
      <c r="F931" t="s">
        <v>27</v>
      </c>
      <c r="G931" t="s">
        <v>90</v>
      </c>
      <c r="H931" t="s">
        <v>39</v>
      </c>
      <c r="I931">
        <v>5</v>
      </c>
      <c r="J931">
        <v>350</v>
      </c>
      <c r="K931">
        <v>0.05</v>
      </c>
      <c r="L931">
        <v>1662.5</v>
      </c>
      <c r="M931">
        <v>900</v>
      </c>
      <c r="N931">
        <v>762.5</v>
      </c>
    </row>
    <row r="932" spans="1:14" x14ac:dyDescent="0.35">
      <c r="A932" t="s">
        <v>1513</v>
      </c>
      <c r="B932" t="s">
        <v>1514</v>
      </c>
      <c r="C932" t="s">
        <v>485</v>
      </c>
      <c r="D932" t="s">
        <v>54</v>
      </c>
      <c r="E932" t="s">
        <v>116</v>
      </c>
      <c r="F932" t="s">
        <v>19</v>
      </c>
      <c r="G932" t="s">
        <v>20</v>
      </c>
      <c r="H932" t="s">
        <v>33</v>
      </c>
      <c r="I932">
        <v>4</v>
      </c>
      <c r="J932">
        <v>450</v>
      </c>
      <c r="K932">
        <v>0</v>
      </c>
      <c r="L932">
        <v>1800</v>
      </c>
      <c r="M932">
        <v>1000</v>
      </c>
      <c r="N932">
        <v>800</v>
      </c>
    </row>
    <row r="933" spans="1:14" x14ac:dyDescent="0.35">
      <c r="A933" t="s">
        <v>1515</v>
      </c>
      <c r="B933" t="s">
        <v>1514</v>
      </c>
      <c r="C933" t="s">
        <v>142</v>
      </c>
      <c r="D933" t="s">
        <v>17</v>
      </c>
      <c r="E933" t="s">
        <v>124</v>
      </c>
      <c r="F933" t="s">
        <v>37</v>
      </c>
      <c r="G933" t="s">
        <v>38</v>
      </c>
      <c r="H933" t="s">
        <v>47</v>
      </c>
      <c r="I933">
        <v>2</v>
      </c>
      <c r="J933">
        <v>1200</v>
      </c>
      <c r="K933">
        <v>0</v>
      </c>
      <c r="L933">
        <v>2400</v>
      </c>
      <c r="M933">
        <v>1440</v>
      </c>
      <c r="N933">
        <v>960</v>
      </c>
    </row>
    <row r="934" spans="1:14" x14ac:dyDescent="0.35">
      <c r="A934" t="s">
        <v>1516</v>
      </c>
      <c r="B934" t="s">
        <v>1514</v>
      </c>
      <c r="C934" t="s">
        <v>109</v>
      </c>
      <c r="D934" t="s">
        <v>25</v>
      </c>
      <c r="E934" t="s">
        <v>69</v>
      </c>
      <c r="F934" t="s">
        <v>27</v>
      </c>
      <c r="G934" t="s">
        <v>85</v>
      </c>
      <c r="H934" t="s">
        <v>39</v>
      </c>
      <c r="I934">
        <v>4</v>
      </c>
      <c r="J934">
        <v>350</v>
      </c>
      <c r="K934">
        <v>0.15</v>
      </c>
      <c r="L934">
        <v>1190</v>
      </c>
      <c r="M934">
        <v>720</v>
      </c>
      <c r="N934">
        <v>470</v>
      </c>
    </row>
    <row r="935" spans="1:14" x14ac:dyDescent="0.35">
      <c r="A935" t="s">
        <v>1517</v>
      </c>
      <c r="B935" t="s">
        <v>1514</v>
      </c>
      <c r="C935" t="s">
        <v>835</v>
      </c>
      <c r="D935" t="s">
        <v>25</v>
      </c>
      <c r="E935" t="s">
        <v>89</v>
      </c>
      <c r="F935" t="s">
        <v>37</v>
      </c>
      <c r="G935" t="s">
        <v>38</v>
      </c>
      <c r="H935" t="s">
        <v>47</v>
      </c>
      <c r="I935">
        <v>3</v>
      </c>
      <c r="J935">
        <v>550</v>
      </c>
      <c r="K935">
        <v>0.05</v>
      </c>
      <c r="L935">
        <v>1567.5</v>
      </c>
      <c r="M935">
        <v>900</v>
      </c>
      <c r="N935">
        <v>667.5</v>
      </c>
    </row>
    <row r="936" spans="1:14" x14ac:dyDescent="0.35">
      <c r="A936" t="s">
        <v>1518</v>
      </c>
      <c r="B936" t="s">
        <v>1519</v>
      </c>
      <c r="C936" t="s">
        <v>261</v>
      </c>
      <c r="D936" t="s">
        <v>17</v>
      </c>
      <c r="E936" t="s">
        <v>50</v>
      </c>
      <c r="F936" t="s">
        <v>45</v>
      </c>
      <c r="G936" t="s">
        <v>104</v>
      </c>
      <c r="H936" t="s">
        <v>29</v>
      </c>
      <c r="I936">
        <v>2</v>
      </c>
      <c r="J936">
        <v>650</v>
      </c>
      <c r="K936">
        <v>0</v>
      </c>
      <c r="L936">
        <v>1300</v>
      </c>
      <c r="M936">
        <v>760</v>
      </c>
      <c r="N936">
        <v>540</v>
      </c>
    </row>
    <row r="937" spans="1:14" x14ac:dyDescent="0.35">
      <c r="A937" t="s">
        <v>1520</v>
      </c>
      <c r="B937" t="s">
        <v>1521</v>
      </c>
      <c r="C937" t="s">
        <v>201</v>
      </c>
      <c r="D937" t="s">
        <v>54</v>
      </c>
      <c r="E937" t="s">
        <v>107</v>
      </c>
      <c r="F937" t="s">
        <v>27</v>
      </c>
      <c r="G937" t="s">
        <v>85</v>
      </c>
      <c r="H937" t="s">
        <v>33</v>
      </c>
      <c r="I937">
        <v>2</v>
      </c>
      <c r="J937">
        <v>120</v>
      </c>
      <c r="K937">
        <v>0</v>
      </c>
      <c r="L937">
        <v>240</v>
      </c>
      <c r="M937">
        <v>110</v>
      </c>
      <c r="N937">
        <v>130</v>
      </c>
    </row>
    <row r="938" spans="1:14" x14ac:dyDescent="0.35">
      <c r="A938" t="s">
        <v>1522</v>
      </c>
      <c r="B938" t="s">
        <v>1521</v>
      </c>
      <c r="C938" t="s">
        <v>187</v>
      </c>
      <c r="D938" t="s">
        <v>17</v>
      </c>
      <c r="E938" t="s">
        <v>32</v>
      </c>
      <c r="F938" t="s">
        <v>45</v>
      </c>
      <c r="G938" t="s">
        <v>104</v>
      </c>
      <c r="H938" t="s">
        <v>33</v>
      </c>
      <c r="I938">
        <v>5</v>
      </c>
      <c r="J938">
        <v>1500</v>
      </c>
      <c r="K938">
        <v>0.05</v>
      </c>
      <c r="L938">
        <v>7125</v>
      </c>
      <c r="M938">
        <v>4500</v>
      </c>
      <c r="N938">
        <v>2625</v>
      </c>
    </row>
    <row r="939" spans="1:14" x14ac:dyDescent="0.35">
      <c r="A939" t="s">
        <v>1523</v>
      </c>
      <c r="B939" t="s">
        <v>1521</v>
      </c>
      <c r="C939" t="s">
        <v>257</v>
      </c>
      <c r="D939" t="s">
        <v>25</v>
      </c>
      <c r="E939" t="s">
        <v>89</v>
      </c>
      <c r="F939" t="s">
        <v>45</v>
      </c>
      <c r="G939" t="s">
        <v>46</v>
      </c>
      <c r="H939" t="s">
        <v>33</v>
      </c>
      <c r="I939">
        <v>2</v>
      </c>
      <c r="J939">
        <v>550</v>
      </c>
      <c r="K939">
        <v>0</v>
      </c>
      <c r="L939">
        <v>1100</v>
      </c>
      <c r="M939">
        <v>600</v>
      </c>
      <c r="N939">
        <v>500</v>
      </c>
    </row>
    <row r="940" spans="1:14" x14ac:dyDescent="0.35">
      <c r="A940" t="s">
        <v>1524</v>
      </c>
      <c r="B940" t="s">
        <v>1521</v>
      </c>
      <c r="C940" t="s">
        <v>662</v>
      </c>
      <c r="D940" t="s">
        <v>17</v>
      </c>
      <c r="E940" t="s">
        <v>50</v>
      </c>
      <c r="F940" t="s">
        <v>19</v>
      </c>
      <c r="G940" t="s">
        <v>20</v>
      </c>
      <c r="H940" t="s">
        <v>29</v>
      </c>
      <c r="I940">
        <v>3</v>
      </c>
      <c r="J940">
        <v>650</v>
      </c>
      <c r="K940">
        <v>0</v>
      </c>
      <c r="L940">
        <v>1950</v>
      </c>
      <c r="M940">
        <v>1140</v>
      </c>
      <c r="N940">
        <v>810</v>
      </c>
    </row>
    <row r="941" spans="1:14" x14ac:dyDescent="0.35">
      <c r="A941" t="s">
        <v>1525</v>
      </c>
      <c r="B941" t="s">
        <v>1521</v>
      </c>
      <c r="C941" t="s">
        <v>88</v>
      </c>
      <c r="D941" t="s">
        <v>17</v>
      </c>
      <c r="E941" t="s">
        <v>18</v>
      </c>
      <c r="F941" t="s">
        <v>19</v>
      </c>
      <c r="G941" t="s">
        <v>56</v>
      </c>
      <c r="H941" t="s">
        <v>33</v>
      </c>
      <c r="I941">
        <v>5</v>
      </c>
      <c r="J941">
        <v>1800</v>
      </c>
      <c r="K941">
        <v>0.1</v>
      </c>
      <c r="L941">
        <v>8100</v>
      </c>
      <c r="M941">
        <v>5500</v>
      </c>
      <c r="N941">
        <v>2600</v>
      </c>
    </row>
    <row r="942" spans="1:14" x14ac:dyDescent="0.35">
      <c r="A942" t="s">
        <v>1526</v>
      </c>
      <c r="B942" t="s">
        <v>1521</v>
      </c>
      <c r="C942" t="s">
        <v>830</v>
      </c>
      <c r="D942" t="s">
        <v>25</v>
      </c>
      <c r="E942" t="s">
        <v>89</v>
      </c>
      <c r="F942" t="s">
        <v>27</v>
      </c>
      <c r="G942" t="s">
        <v>85</v>
      </c>
      <c r="H942" t="s">
        <v>47</v>
      </c>
      <c r="I942">
        <v>5</v>
      </c>
      <c r="J942">
        <v>550</v>
      </c>
      <c r="K942">
        <v>0.05</v>
      </c>
      <c r="L942">
        <v>2612.5</v>
      </c>
      <c r="M942">
        <v>1500</v>
      </c>
      <c r="N942">
        <v>1112.5</v>
      </c>
    </row>
    <row r="943" spans="1:14" x14ac:dyDescent="0.35">
      <c r="A943" t="s">
        <v>1527</v>
      </c>
      <c r="B943" t="s">
        <v>1528</v>
      </c>
      <c r="C943" t="s">
        <v>272</v>
      </c>
      <c r="D943" t="s">
        <v>54</v>
      </c>
      <c r="E943" t="s">
        <v>110</v>
      </c>
      <c r="F943" t="s">
        <v>19</v>
      </c>
      <c r="G943" t="s">
        <v>20</v>
      </c>
      <c r="H943" t="s">
        <v>47</v>
      </c>
      <c r="I943">
        <v>2</v>
      </c>
      <c r="J943">
        <v>280</v>
      </c>
      <c r="K943">
        <v>0</v>
      </c>
      <c r="L943">
        <v>560</v>
      </c>
      <c r="M943">
        <v>300</v>
      </c>
      <c r="N943">
        <v>260</v>
      </c>
    </row>
    <row r="944" spans="1:14" x14ac:dyDescent="0.35">
      <c r="A944" t="s">
        <v>1529</v>
      </c>
      <c r="B944" t="s">
        <v>1528</v>
      </c>
      <c r="C944" t="s">
        <v>244</v>
      </c>
      <c r="D944" t="s">
        <v>43</v>
      </c>
      <c r="E944" t="s">
        <v>169</v>
      </c>
      <c r="F944" t="s">
        <v>27</v>
      </c>
      <c r="G944" t="s">
        <v>85</v>
      </c>
      <c r="H944" t="s">
        <v>125</v>
      </c>
      <c r="I944">
        <v>10</v>
      </c>
      <c r="J944">
        <v>350</v>
      </c>
      <c r="K944">
        <v>0</v>
      </c>
      <c r="L944">
        <v>3500</v>
      </c>
      <c r="M944">
        <v>1700</v>
      </c>
      <c r="N944">
        <v>1800</v>
      </c>
    </row>
    <row r="945" spans="1:14" x14ac:dyDescent="0.35">
      <c r="A945" t="s">
        <v>1530</v>
      </c>
      <c r="B945" t="s">
        <v>1528</v>
      </c>
      <c r="C945" t="s">
        <v>736</v>
      </c>
      <c r="D945" t="s">
        <v>17</v>
      </c>
      <c r="E945" t="s">
        <v>65</v>
      </c>
      <c r="F945" t="s">
        <v>27</v>
      </c>
      <c r="G945" t="s">
        <v>28</v>
      </c>
      <c r="H945" t="s">
        <v>39</v>
      </c>
      <c r="I945">
        <v>8</v>
      </c>
      <c r="J945">
        <v>2200</v>
      </c>
      <c r="K945">
        <v>0.1</v>
      </c>
      <c r="L945">
        <v>15840</v>
      </c>
      <c r="M945">
        <v>11200</v>
      </c>
      <c r="N945">
        <v>4640</v>
      </c>
    </row>
    <row r="946" spans="1:14" x14ac:dyDescent="0.35">
      <c r="A946" t="s">
        <v>1531</v>
      </c>
      <c r="B946" t="s">
        <v>1532</v>
      </c>
      <c r="C946" t="s">
        <v>49</v>
      </c>
      <c r="D946" t="s">
        <v>54</v>
      </c>
      <c r="E946" t="s">
        <v>55</v>
      </c>
      <c r="F946" t="s">
        <v>37</v>
      </c>
      <c r="G946" t="s">
        <v>38</v>
      </c>
      <c r="H946" t="s">
        <v>21</v>
      </c>
      <c r="I946">
        <v>4</v>
      </c>
      <c r="J946">
        <v>180</v>
      </c>
      <c r="K946">
        <v>0.05</v>
      </c>
      <c r="L946">
        <v>684</v>
      </c>
      <c r="M946">
        <v>360</v>
      </c>
      <c r="N946">
        <v>324</v>
      </c>
    </row>
    <row r="947" spans="1:14" x14ac:dyDescent="0.35">
      <c r="A947" t="s">
        <v>1533</v>
      </c>
      <c r="B947" t="s">
        <v>1532</v>
      </c>
      <c r="C947" t="s">
        <v>93</v>
      </c>
      <c r="D947" t="s">
        <v>17</v>
      </c>
      <c r="E947" t="s">
        <v>32</v>
      </c>
      <c r="F947" t="s">
        <v>19</v>
      </c>
      <c r="G947" t="s">
        <v>215</v>
      </c>
      <c r="H947" t="s">
        <v>39</v>
      </c>
      <c r="I947">
        <v>3</v>
      </c>
      <c r="J947">
        <v>1500</v>
      </c>
      <c r="K947">
        <v>0</v>
      </c>
      <c r="L947">
        <v>4500</v>
      </c>
      <c r="M947">
        <v>2700</v>
      </c>
      <c r="N947">
        <v>1800</v>
      </c>
    </row>
    <row r="948" spans="1:14" x14ac:dyDescent="0.35">
      <c r="A948" t="s">
        <v>1534</v>
      </c>
      <c r="B948" t="s">
        <v>1535</v>
      </c>
      <c r="C948" t="s">
        <v>407</v>
      </c>
      <c r="D948" t="s">
        <v>54</v>
      </c>
      <c r="E948" t="s">
        <v>55</v>
      </c>
      <c r="F948" t="s">
        <v>27</v>
      </c>
      <c r="G948" t="s">
        <v>51</v>
      </c>
      <c r="H948" t="s">
        <v>39</v>
      </c>
      <c r="I948">
        <v>6</v>
      </c>
      <c r="J948">
        <v>180</v>
      </c>
      <c r="K948">
        <v>0</v>
      </c>
      <c r="L948">
        <v>1080</v>
      </c>
      <c r="M948">
        <v>540</v>
      </c>
      <c r="N948">
        <v>540</v>
      </c>
    </row>
    <row r="949" spans="1:14" x14ac:dyDescent="0.35">
      <c r="A949" t="s">
        <v>1536</v>
      </c>
      <c r="B949" t="s">
        <v>1535</v>
      </c>
      <c r="C949" t="s">
        <v>802</v>
      </c>
      <c r="D949" t="s">
        <v>43</v>
      </c>
      <c r="E949" t="s">
        <v>143</v>
      </c>
      <c r="F949" t="s">
        <v>19</v>
      </c>
      <c r="G949" t="s">
        <v>20</v>
      </c>
      <c r="H949" t="s">
        <v>125</v>
      </c>
      <c r="I949">
        <v>10</v>
      </c>
      <c r="J949">
        <v>650</v>
      </c>
      <c r="K949">
        <v>0.1</v>
      </c>
      <c r="L949">
        <v>5850</v>
      </c>
      <c r="M949">
        <v>3500</v>
      </c>
      <c r="N949">
        <v>2350</v>
      </c>
    </row>
    <row r="950" spans="1:14" x14ac:dyDescent="0.35">
      <c r="A950" t="s">
        <v>1537</v>
      </c>
      <c r="B950" t="s">
        <v>1535</v>
      </c>
      <c r="C950" t="s">
        <v>637</v>
      </c>
      <c r="D950" t="s">
        <v>54</v>
      </c>
      <c r="E950" t="s">
        <v>107</v>
      </c>
      <c r="F950" t="s">
        <v>45</v>
      </c>
      <c r="G950" t="s">
        <v>104</v>
      </c>
      <c r="H950" t="s">
        <v>39</v>
      </c>
      <c r="I950">
        <v>2</v>
      </c>
      <c r="J950">
        <v>120</v>
      </c>
      <c r="K950">
        <v>0.15</v>
      </c>
      <c r="L950">
        <v>204</v>
      </c>
      <c r="M950">
        <v>110</v>
      </c>
      <c r="N950">
        <v>94</v>
      </c>
    </row>
    <row r="951" spans="1:14" x14ac:dyDescent="0.35">
      <c r="A951" t="s">
        <v>1538</v>
      </c>
      <c r="B951" t="s">
        <v>1539</v>
      </c>
      <c r="C951" t="s">
        <v>455</v>
      </c>
      <c r="D951" t="s">
        <v>17</v>
      </c>
      <c r="E951" t="s">
        <v>18</v>
      </c>
      <c r="F951" t="s">
        <v>37</v>
      </c>
      <c r="G951" t="s">
        <v>73</v>
      </c>
      <c r="H951" t="s">
        <v>33</v>
      </c>
      <c r="I951">
        <v>6</v>
      </c>
      <c r="J951">
        <v>1800</v>
      </c>
      <c r="K951">
        <v>0.1</v>
      </c>
      <c r="L951">
        <v>9720</v>
      </c>
      <c r="M951">
        <v>6600</v>
      </c>
      <c r="N951">
        <v>3120</v>
      </c>
    </row>
    <row r="952" spans="1:14" x14ac:dyDescent="0.35">
      <c r="A952" t="s">
        <v>1540</v>
      </c>
      <c r="B952" t="s">
        <v>1541</v>
      </c>
      <c r="C952" t="s">
        <v>637</v>
      </c>
      <c r="D952" t="s">
        <v>43</v>
      </c>
      <c r="E952" t="s">
        <v>62</v>
      </c>
      <c r="F952" t="s">
        <v>27</v>
      </c>
      <c r="G952" t="s">
        <v>51</v>
      </c>
      <c r="H952" t="s">
        <v>29</v>
      </c>
      <c r="I952">
        <v>7</v>
      </c>
      <c r="J952">
        <v>500</v>
      </c>
      <c r="K952">
        <v>0.1</v>
      </c>
      <c r="L952">
        <v>3150</v>
      </c>
      <c r="M952">
        <v>1960</v>
      </c>
      <c r="N952">
        <v>1190</v>
      </c>
    </row>
    <row r="953" spans="1:14" x14ac:dyDescent="0.35">
      <c r="A953" t="s">
        <v>1542</v>
      </c>
      <c r="B953" t="s">
        <v>1543</v>
      </c>
      <c r="C953" t="s">
        <v>180</v>
      </c>
      <c r="D953" t="s">
        <v>17</v>
      </c>
      <c r="E953" t="s">
        <v>65</v>
      </c>
      <c r="F953" t="s">
        <v>27</v>
      </c>
      <c r="G953" t="s">
        <v>51</v>
      </c>
      <c r="H953" t="s">
        <v>39</v>
      </c>
      <c r="I953">
        <v>8</v>
      </c>
      <c r="J953">
        <v>2200</v>
      </c>
      <c r="K953">
        <v>0</v>
      </c>
      <c r="L953">
        <v>17600</v>
      </c>
      <c r="M953">
        <v>11200</v>
      </c>
      <c r="N953">
        <v>6400</v>
      </c>
    </row>
    <row r="954" spans="1:14" x14ac:dyDescent="0.35">
      <c r="A954" t="s">
        <v>1544</v>
      </c>
      <c r="B954" t="s">
        <v>1543</v>
      </c>
      <c r="C954" t="s">
        <v>254</v>
      </c>
      <c r="D954" t="s">
        <v>17</v>
      </c>
      <c r="E954" t="s">
        <v>18</v>
      </c>
      <c r="F954" t="s">
        <v>45</v>
      </c>
      <c r="G954" t="s">
        <v>104</v>
      </c>
      <c r="H954" t="s">
        <v>33</v>
      </c>
      <c r="I954">
        <v>5</v>
      </c>
      <c r="J954">
        <v>1800</v>
      </c>
      <c r="K954">
        <v>0.05</v>
      </c>
      <c r="L954">
        <v>8550</v>
      </c>
      <c r="M954">
        <v>5500</v>
      </c>
      <c r="N954">
        <v>3050</v>
      </c>
    </row>
    <row r="955" spans="1:14" x14ac:dyDescent="0.35">
      <c r="A955" t="s">
        <v>1545</v>
      </c>
      <c r="B955" t="s">
        <v>1546</v>
      </c>
      <c r="C955" t="s">
        <v>232</v>
      </c>
      <c r="D955" t="s">
        <v>17</v>
      </c>
      <c r="E955" t="s">
        <v>18</v>
      </c>
      <c r="F955" t="s">
        <v>19</v>
      </c>
      <c r="G955" t="s">
        <v>113</v>
      </c>
      <c r="H955" t="s">
        <v>21</v>
      </c>
      <c r="I955">
        <v>6</v>
      </c>
      <c r="J955">
        <v>1800</v>
      </c>
      <c r="K955">
        <v>0</v>
      </c>
      <c r="L955">
        <v>10800</v>
      </c>
      <c r="M955">
        <v>6600</v>
      </c>
      <c r="N955">
        <v>4200</v>
      </c>
    </row>
    <row r="956" spans="1:14" x14ac:dyDescent="0.35">
      <c r="A956" t="s">
        <v>1547</v>
      </c>
      <c r="B956" t="s">
        <v>1546</v>
      </c>
      <c r="C956" t="s">
        <v>72</v>
      </c>
      <c r="D956" t="s">
        <v>43</v>
      </c>
      <c r="E956" t="s">
        <v>250</v>
      </c>
      <c r="F956" t="s">
        <v>37</v>
      </c>
      <c r="G956" t="s">
        <v>73</v>
      </c>
      <c r="H956" t="s">
        <v>21</v>
      </c>
      <c r="I956">
        <v>4</v>
      </c>
      <c r="J956">
        <v>900</v>
      </c>
      <c r="K956">
        <v>0</v>
      </c>
      <c r="L956">
        <v>3600</v>
      </c>
      <c r="M956">
        <v>2080</v>
      </c>
      <c r="N956">
        <v>1520</v>
      </c>
    </row>
    <row r="957" spans="1:14" x14ac:dyDescent="0.35">
      <c r="A957" t="s">
        <v>1548</v>
      </c>
      <c r="B957" t="s">
        <v>1546</v>
      </c>
      <c r="C957" t="s">
        <v>236</v>
      </c>
      <c r="D957" t="s">
        <v>43</v>
      </c>
      <c r="E957" t="s">
        <v>44</v>
      </c>
      <c r="F957" t="s">
        <v>19</v>
      </c>
      <c r="G957" t="s">
        <v>56</v>
      </c>
      <c r="H957" t="s">
        <v>29</v>
      </c>
      <c r="I957">
        <v>5</v>
      </c>
      <c r="J957">
        <v>2200</v>
      </c>
      <c r="K957">
        <v>0.05</v>
      </c>
      <c r="L957">
        <v>10450</v>
      </c>
      <c r="M957">
        <v>7250</v>
      </c>
      <c r="N957">
        <v>3200</v>
      </c>
    </row>
    <row r="958" spans="1:14" x14ac:dyDescent="0.35">
      <c r="A958" t="s">
        <v>1549</v>
      </c>
      <c r="B958" t="s">
        <v>1550</v>
      </c>
      <c r="C958" t="s">
        <v>455</v>
      </c>
      <c r="D958" t="s">
        <v>54</v>
      </c>
      <c r="E958" t="s">
        <v>110</v>
      </c>
      <c r="F958" t="s">
        <v>19</v>
      </c>
      <c r="G958" t="s">
        <v>20</v>
      </c>
      <c r="H958" t="s">
        <v>39</v>
      </c>
      <c r="I958">
        <v>3</v>
      </c>
      <c r="J958">
        <v>280</v>
      </c>
      <c r="K958">
        <v>0</v>
      </c>
      <c r="L958">
        <v>840</v>
      </c>
      <c r="M958">
        <v>450</v>
      </c>
      <c r="N958">
        <v>390</v>
      </c>
    </row>
    <row r="959" spans="1:14" x14ac:dyDescent="0.35">
      <c r="A959" t="s">
        <v>1551</v>
      </c>
      <c r="B959" t="s">
        <v>1550</v>
      </c>
      <c r="C959" t="s">
        <v>639</v>
      </c>
      <c r="D959" t="s">
        <v>54</v>
      </c>
      <c r="E959" t="s">
        <v>110</v>
      </c>
      <c r="F959" t="s">
        <v>19</v>
      </c>
      <c r="G959" t="s">
        <v>215</v>
      </c>
      <c r="H959" t="s">
        <v>125</v>
      </c>
      <c r="I959">
        <v>3</v>
      </c>
      <c r="J959">
        <v>280</v>
      </c>
      <c r="K959">
        <v>0</v>
      </c>
      <c r="L959">
        <v>840</v>
      </c>
      <c r="M959">
        <v>450</v>
      </c>
      <c r="N959">
        <v>390</v>
      </c>
    </row>
    <row r="960" spans="1:14" x14ac:dyDescent="0.35">
      <c r="A960" t="s">
        <v>1552</v>
      </c>
      <c r="B960" t="s">
        <v>1553</v>
      </c>
      <c r="C960" t="s">
        <v>741</v>
      </c>
      <c r="D960" t="s">
        <v>43</v>
      </c>
      <c r="E960" t="s">
        <v>62</v>
      </c>
      <c r="F960" t="s">
        <v>45</v>
      </c>
      <c r="G960" t="s">
        <v>70</v>
      </c>
      <c r="H960" t="s">
        <v>21</v>
      </c>
      <c r="I960">
        <v>9</v>
      </c>
      <c r="J960">
        <v>500</v>
      </c>
      <c r="K960">
        <v>0</v>
      </c>
      <c r="L960">
        <v>4500</v>
      </c>
      <c r="M960">
        <v>2520</v>
      </c>
      <c r="N960">
        <v>1980</v>
      </c>
    </row>
    <row r="961" spans="1:14" x14ac:dyDescent="0.35">
      <c r="A961" t="s">
        <v>1554</v>
      </c>
      <c r="B961" t="s">
        <v>1553</v>
      </c>
      <c r="C961" t="s">
        <v>121</v>
      </c>
      <c r="D961" t="s">
        <v>17</v>
      </c>
      <c r="E961" t="s">
        <v>65</v>
      </c>
      <c r="F961" t="s">
        <v>19</v>
      </c>
      <c r="G961" t="s">
        <v>56</v>
      </c>
      <c r="H961" t="s">
        <v>21</v>
      </c>
      <c r="I961">
        <v>1</v>
      </c>
      <c r="J961">
        <v>2200</v>
      </c>
      <c r="K961">
        <v>0</v>
      </c>
      <c r="L961">
        <v>2200</v>
      </c>
      <c r="M961">
        <v>1400</v>
      </c>
      <c r="N961">
        <v>800</v>
      </c>
    </row>
    <row r="962" spans="1:14" x14ac:dyDescent="0.35">
      <c r="A962" t="s">
        <v>1555</v>
      </c>
      <c r="B962" t="s">
        <v>1556</v>
      </c>
      <c r="C962" t="s">
        <v>64</v>
      </c>
      <c r="D962" t="s">
        <v>43</v>
      </c>
      <c r="E962" t="s">
        <v>250</v>
      </c>
      <c r="F962" t="s">
        <v>37</v>
      </c>
      <c r="G962" t="s">
        <v>38</v>
      </c>
      <c r="H962" t="s">
        <v>39</v>
      </c>
      <c r="I962">
        <v>9</v>
      </c>
      <c r="J962">
        <v>900</v>
      </c>
      <c r="K962">
        <v>0.1</v>
      </c>
      <c r="L962">
        <v>7290</v>
      </c>
      <c r="M962">
        <v>4680</v>
      </c>
      <c r="N962">
        <v>2610</v>
      </c>
    </row>
    <row r="963" spans="1:14" x14ac:dyDescent="0.35">
      <c r="A963" t="s">
        <v>1557</v>
      </c>
      <c r="B963" t="s">
        <v>1556</v>
      </c>
      <c r="C963" t="s">
        <v>766</v>
      </c>
      <c r="D963" t="s">
        <v>17</v>
      </c>
      <c r="E963" t="s">
        <v>18</v>
      </c>
      <c r="F963" t="s">
        <v>37</v>
      </c>
      <c r="G963" t="s">
        <v>73</v>
      </c>
      <c r="H963" t="s">
        <v>29</v>
      </c>
      <c r="I963">
        <v>7</v>
      </c>
      <c r="J963">
        <v>1800</v>
      </c>
      <c r="K963">
        <v>0</v>
      </c>
      <c r="L963">
        <v>12600</v>
      </c>
      <c r="M963">
        <v>7700</v>
      </c>
      <c r="N963">
        <v>4900</v>
      </c>
    </row>
    <row r="964" spans="1:14" x14ac:dyDescent="0.35">
      <c r="A964" t="s">
        <v>1558</v>
      </c>
      <c r="B964" t="s">
        <v>1556</v>
      </c>
      <c r="C964" t="s">
        <v>1013</v>
      </c>
      <c r="D964" t="s">
        <v>25</v>
      </c>
      <c r="E964" t="s">
        <v>80</v>
      </c>
      <c r="F964" t="s">
        <v>27</v>
      </c>
      <c r="G964" t="s">
        <v>51</v>
      </c>
      <c r="H964" t="s">
        <v>21</v>
      </c>
      <c r="I964">
        <v>6</v>
      </c>
      <c r="J964">
        <v>950</v>
      </c>
      <c r="K964">
        <v>0</v>
      </c>
      <c r="L964">
        <v>5700</v>
      </c>
      <c r="M964">
        <v>3360</v>
      </c>
      <c r="N964">
        <v>2340</v>
      </c>
    </row>
    <row r="965" spans="1:14" x14ac:dyDescent="0.35">
      <c r="A965" t="s">
        <v>1559</v>
      </c>
      <c r="B965" t="s">
        <v>1556</v>
      </c>
      <c r="C965" t="s">
        <v>99</v>
      </c>
      <c r="D965" t="s">
        <v>43</v>
      </c>
      <c r="E965" t="s">
        <v>169</v>
      </c>
      <c r="F965" t="s">
        <v>45</v>
      </c>
      <c r="G965" t="s">
        <v>70</v>
      </c>
      <c r="H965" t="s">
        <v>33</v>
      </c>
      <c r="I965">
        <v>6</v>
      </c>
      <c r="J965">
        <v>350</v>
      </c>
      <c r="K965">
        <v>0.05</v>
      </c>
      <c r="L965">
        <v>1995</v>
      </c>
      <c r="M965">
        <v>1020</v>
      </c>
      <c r="N965">
        <v>975</v>
      </c>
    </row>
    <row r="966" spans="1:14" x14ac:dyDescent="0.35">
      <c r="A966" t="s">
        <v>1560</v>
      </c>
      <c r="B966" t="s">
        <v>1556</v>
      </c>
      <c r="C966" t="s">
        <v>367</v>
      </c>
      <c r="D966" t="s">
        <v>54</v>
      </c>
      <c r="E966" t="s">
        <v>110</v>
      </c>
      <c r="F966" t="s">
        <v>19</v>
      </c>
      <c r="G966" t="s">
        <v>20</v>
      </c>
      <c r="H966" t="s">
        <v>39</v>
      </c>
      <c r="I966">
        <v>2</v>
      </c>
      <c r="J966">
        <v>280</v>
      </c>
      <c r="K966">
        <v>0</v>
      </c>
      <c r="L966">
        <v>560</v>
      </c>
      <c r="M966">
        <v>300</v>
      </c>
      <c r="N966">
        <v>260</v>
      </c>
    </row>
    <row r="967" spans="1:14" x14ac:dyDescent="0.35">
      <c r="A967" t="s">
        <v>1561</v>
      </c>
      <c r="B967" t="s">
        <v>1562</v>
      </c>
      <c r="C967" t="s">
        <v>437</v>
      </c>
      <c r="D967" t="s">
        <v>17</v>
      </c>
      <c r="E967" t="s">
        <v>65</v>
      </c>
      <c r="F967" t="s">
        <v>19</v>
      </c>
      <c r="G967" t="s">
        <v>215</v>
      </c>
      <c r="H967" t="s">
        <v>47</v>
      </c>
      <c r="I967">
        <v>1</v>
      </c>
      <c r="J967">
        <v>2200</v>
      </c>
      <c r="K967">
        <v>0</v>
      </c>
      <c r="L967">
        <v>2200</v>
      </c>
      <c r="M967">
        <v>1400</v>
      </c>
      <c r="N967">
        <v>800</v>
      </c>
    </row>
    <row r="968" spans="1:14" x14ac:dyDescent="0.35">
      <c r="A968" t="s">
        <v>1563</v>
      </c>
      <c r="B968" t="s">
        <v>1562</v>
      </c>
      <c r="C968" t="s">
        <v>196</v>
      </c>
      <c r="D968" t="s">
        <v>25</v>
      </c>
      <c r="E968" t="s">
        <v>89</v>
      </c>
      <c r="F968" t="s">
        <v>27</v>
      </c>
      <c r="G968" t="s">
        <v>51</v>
      </c>
      <c r="H968" t="s">
        <v>125</v>
      </c>
      <c r="I968">
        <v>9</v>
      </c>
      <c r="J968">
        <v>550</v>
      </c>
      <c r="K968">
        <v>0.05</v>
      </c>
      <c r="L968">
        <v>4702.5</v>
      </c>
      <c r="M968">
        <v>2700</v>
      </c>
      <c r="N968">
        <v>2002.5</v>
      </c>
    </row>
    <row r="969" spans="1:14" x14ac:dyDescent="0.35">
      <c r="A969" t="s">
        <v>1564</v>
      </c>
      <c r="B969" t="s">
        <v>1562</v>
      </c>
      <c r="C969" t="s">
        <v>82</v>
      </c>
      <c r="D969" t="s">
        <v>54</v>
      </c>
      <c r="E969" t="s">
        <v>107</v>
      </c>
      <c r="F969" t="s">
        <v>45</v>
      </c>
      <c r="G969" t="s">
        <v>70</v>
      </c>
      <c r="H969" t="s">
        <v>47</v>
      </c>
      <c r="I969">
        <v>1</v>
      </c>
      <c r="J969">
        <v>120</v>
      </c>
      <c r="K969">
        <v>0</v>
      </c>
      <c r="L969">
        <v>120</v>
      </c>
      <c r="M969">
        <v>55</v>
      </c>
      <c r="N969">
        <v>65</v>
      </c>
    </row>
    <row r="970" spans="1:14" x14ac:dyDescent="0.35">
      <c r="A970" t="s">
        <v>1565</v>
      </c>
      <c r="B970" t="s">
        <v>1566</v>
      </c>
      <c r="C970" t="s">
        <v>229</v>
      </c>
      <c r="D970" t="s">
        <v>17</v>
      </c>
      <c r="E970" t="s">
        <v>32</v>
      </c>
      <c r="F970" t="s">
        <v>37</v>
      </c>
      <c r="G970" t="s">
        <v>73</v>
      </c>
      <c r="H970" t="s">
        <v>33</v>
      </c>
      <c r="I970">
        <v>3</v>
      </c>
      <c r="J970">
        <v>1500</v>
      </c>
      <c r="K970">
        <v>0</v>
      </c>
      <c r="L970">
        <v>4500</v>
      </c>
      <c r="M970">
        <v>2700</v>
      </c>
      <c r="N970">
        <v>1800</v>
      </c>
    </row>
    <row r="971" spans="1:14" x14ac:dyDescent="0.35">
      <c r="A971" t="s">
        <v>1567</v>
      </c>
      <c r="B971" t="s">
        <v>1566</v>
      </c>
      <c r="C971" t="s">
        <v>1221</v>
      </c>
      <c r="D971" t="s">
        <v>43</v>
      </c>
      <c r="E971" t="s">
        <v>169</v>
      </c>
      <c r="F971" t="s">
        <v>27</v>
      </c>
      <c r="G971" t="s">
        <v>90</v>
      </c>
      <c r="H971" t="s">
        <v>39</v>
      </c>
      <c r="I971">
        <v>8</v>
      </c>
      <c r="J971">
        <v>350</v>
      </c>
      <c r="K971">
        <v>0</v>
      </c>
      <c r="L971">
        <v>2800</v>
      </c>
      <c r="M971">
        <v>1360</v>
      </c>
      <c r="N971">
        <v>1440</v>
      </c>
    </row>
    <row r="972" spans="1:14" x14ac:dyDescent="0.35">
      <c r="A972" t="s">
        <v>1568</v>
      </c>
      <c r="B972" t="s">
        <v>1566</v>
      </c>
      <c r="C972" t="s">
        <v>198</v>
      </c>
      <c r="D972" t="s">
        <v>17</v>
      </c>
      <c r="E972" t="s">
        <v>32</v>
      </c>
      <c r="F972" t="s">
        <v>19</v>
      </c>
      <c r="G972" t="s">
        <v>113</v>
      </c>
      <c r="H972" t="s">
        <v>125</v>
      </c>
      <c r="I972">
        <v>8</v>
      </c>
      <c r="J972">
        <v>1500</v>
      </c>
      <c r="K972">
        <v>0</v>
      </c>
      <c r="L972">
        <v>12000</v>
      </c>
      <c r="M972">
        <v>7200</v>
      </c>
      <c r="N972">
        <v>4800</v>
      </c>
    </row>
    <row r="973" spans="1:14" x14ac:dyDescent="0.35">
      <c r="A973" t="s">
        <v>1569</v>
      </c>
      <c r="B973" t="s">
        <v>1566</v>
      </c>
      <c r="C973" t="s">
        <v>723</v>
      </c>
      <c r="D973" t="s">
        <v>43</v>
      </c>
      <c r="E973" t="s">
        <v>44</v>
      </c>
      <c r="F973" t="s">
        <v>37</v>
      </c>
      <c r="G973" t="s">
        <v>97</v>
      </c>
      <c r="H973" t="s">
        <v>39</v>
      </c>
      <c r="I973">
        <v>8</v>
      </c>
      <c r="J973">
        <v>2200</v>
      </c>
      <c r="K973">
        <v>0.15</v>
      </c>
      <c r="L973">
        <v>14960</v>
      </c>
      <c r="M973">
        <v>11600</v>
      </c>
      <c r="N973">
        <v>3360</v>
      </c>
    </row>
    <row r="974" spans="1:14" x14ac:dyDescent="0.35">
      <c r="A974" t="s">
        <v>1570</v>
      </c>
      <c r="B974" t="s">
        <v>1571</v>
      </c>
      <c r="C974" t="s">
        <v>119</v>
      </c>
      <c r="D974" t="s">
        <v>43</v>
      </c>
      <c r="E974" t="s">
        <v>169</v>
      </c>
      <c r="F974" t="s">
        <v>45</v>
      </c>
      <c r="G974" t="s">
        <v>104</v>
      </c>
      <c r="H974" t="s">
        <v>33</v>
      </c>
      <c r="I974">
        <v>6</v>
      </c>
      <c r="J974">
        <v>350</v>
      </c>
      <c r="K974">
        <v>0</v>
      </c>
      <c r="L974">
        <v>2100</v>
      </c>
      <c r="M974">
        <v>1020</v>
      </c>
      <c r="N974">
        <v>1080</v>
      </c>
    </row>
    <row r="975" spans="1:14" x14ac:dyDescent="0.35">
      <c r="A975" t="s">
        <v>1572</v>
      </c>
      <c r="B975" t="s">
        <v>1571</v>
      </c>
      <c r="C975" t="s">
        <v>325</v>
      </c>
      <c r="D975" t="s">
        <v>17</v>
      </c>
      <c r="E975" t="s">
        <v>50</v>
      </c>
      <c r="F975" t="s">
        <v>37</v>
      </c>
      <c r="G975" t="s">
        <v>73</v>
      </c>
      <c r="H975" t="s">
        <v>39</v>
      </c>
      <c r="I975">
        <v>5</v>
      </c>
      <c r="J975">
        <v>650</v>
      </c>
      <c r="K975">
        <v>0.15</v>
      </c>
      <c r="L975">
        <v>2762.5</v>
      </c>
      <c r="M975">
        <v>1900</v>
      </c>
      <c r="N975">
        <v>862.5</v>
      </c>
    </row>
    <row r="976" spans="1:14" x14ac:dyDescent="0.35">
      <c r="A976" t="s">
        <v>1573</v>
      </c>
      <c r="B976" t="s">
        <v>1571</v>
      </c>
      <c r="C976" t="s">
        <v>723</v>
      </c>
      <c r="D976" t="s">
        <v>54</v>
      </c>
      <c r="E976" t="s">
        <v>55</v>
      </c>
      <c r="F976" t="s">
        <v>37</v>
      </c>
      <c r="G976" t="s">
        <v>73</v>
      </c>
      <c r="H976" t="s">
        <v>29</v>
      </c>
      <c r="I976">
        <v>9</v>
      </c>
      <c r="J976">
        <v>180</v>
      </c>
      <c r="K976">
        <v>0.05</v>
      </c>
      <c r="L976">
        <v>1539</v>
      </c>
      <c r="M976">
        <v>810</v>
      </c>
      <c r="N976">
        <v>729</v>
      </c>
    </row>
    <row r="977" spans="1:14" x14ac:dyDescent="0.35">
      <c r="A977" t="s">
        <v>1574</v>
      </c>
      <c r="B977" t="s">
        <v>1571</v>
      </c>
      <c r="C977" t="s">
        <v>313</v>
      </c>
      <c r="D977" t="s">
        <v>43</v>
      </c>
      <c r="E977" t="s">
        <v>169</v>
      </c>
      <c r="F977" t="s">
        <v>45</v>
      </c>
      <c r="G977" t="s">
        <v>70</v>
      </c>
      <c r="H977" t="s">
        <v>39</v>
      </c>
      <c r="I977">
        <v>5</v>
      </c>
      <c r="J977">
        <v>350</v>
      </c>
      <c r="K977">
        <v>0.05</v>
      </c>
      <c r="L977">
        <v>1662.5</v>
      </c>
      <c r="M977">
        <v>850</v>
      </c>
      <c r="N977">
        <v>812.5</v>
      </c>
    </row>
    <row r="978" spans="1:14" x14ac:dyDescent="0.35">
      <c r="A978" t="s">
        <v>1575</v>
      </c>
      <c r="B978" t="s">
        <v>1571</v>
      </c>
      <c r="C978" t="s">
        <v>355</v>
      </c>
      <c r="D978" t="s">
        <v>17</v>
      </c>
      <c r="E978" t="s">
        <v>18</v>
      </c>
      <c r="F978" t="s">
        <v>45</v>
      </c>
      <c r="G978" t="s">
        <v>122</v>
      </c>
      <c r="H978" t="s">
        <v>33</v>
      </c>
      <c r="I978">
        <v>3</v>
      </c>
      <c r="J978">
        <v>1800</v>
      </c>
      <c r="K978">
        <v>0.05</v>
      </c>
      <c r="L978">
        <v>5130</v>
      </c>
      <c r="M978">
        <v>3300</v>
      </c>
      <c r="N978">
        <v>1830</v>
      </c>
    </row>
    <row r="979" spans="1:14" x14ac:dyDescent="0.35">
      <c r="A979" t="s">
        <v>1576</v>
      </c>
      <c r="B979" t="s">
        <v>1571</v>
      </c>
      <c r="C979" t="s">
        <v>830</v>
      </c>
      <c r="D979" t="s">
        <v>17</v>
      </c>
      <c r="E979" t="s">
        <v>124</v>
      </c>
      <c r="F979" t="s">
        <v>37</v>
      </c>
      <c r="G979" t="s">
        <v>140</v>
      </c>
      <c r="H979" t="s">
        <v>33</v>
      </c>
      <c r="I979">
        <v>2</v>
      </c>
      <c r="J979">
        <v>1200</v>
      </c>
      <c r="K979">
        <v>0</v>
      </c>
      <c r="L979">
        <v>2400</v>
      </c>
      <c r="M979">
        <v>1440</v>
      </c>
      <c r="N979">
        <v>960</v>
      </c>
    </row>
    <row r="980" spans="1:14" x14ac:dyDescent="0.35">
      <c r="A980" t="s">
        <v>1577</v>
      </c>
      <c r="B980" t="s">
        <v>1578</v>
      </c>
      <c r="C980" t="s">
        <v>541</v>
      </c>
      <c r="D980" t="s">
        <v>54</v>
      </c>
      <c r="E980" t="s">
        <v>107</v>
      </c>
      <c r="F980" t="s">
        <v>37</v>
      </c>
      <c r="G980" t="s">
        <v>73</v>
      </c>
      <c r="H980" t="s">
        <v>33</v>
      </c>
      <c r="I980">
        <v>6</v>
      </c>
      <c r="J980">
        <v>120</v>
      </c>
      <c r="K980">
        <v>0.05</v>
      </c>
      <c r="L980">
        <v>684</v>
      </c>
      <c r="M980">
        <v>330</v>
      </c>
      <c r="N980">
        <v>354</v>
      </c>
    </row>
    <row r="981" spans="1:14" x14ac:dyDescent="0.35">
      <c r="A981" t="s">
        <v>1579</v>
      </c>
      <c r="B981" t="s">
        <v>1578</v>
      </c>
      <c r="C981" t="s">
        <v>309</v>
      </c>
      <c r="D981" t="s">
        <v>25</v>
      </c>
      <c r="E981" t="s">
        <v>26</v>
      </c>
      <c r="F981" t="s">
        <v>19</v>
      </c>
      <c r="G981" t="s">
        <v>20</v>
      </c>
      <c r="H981" t="s">
        <v>21</v>
      </c>
      <c r="I981">
        <v>1</v>
      </c>
      <c r="J981">
        <v>600</v>
      </c>
      <c r="K981">
        <v>0.05</v>
      </c>
      <c r="L981">
        <v>570</v>
      </c>
      <c r="M981">
        <v>330</v>
      </c>
      <c r="N981">
        <v>240</v>
      </c>
    </row>
    <row r="982" spans="1:14" x14ac:dyDescent="0.35">
      <c r="A982" t="s">
        <v>1580</v>
      </c>
      <c r="B982" t="s">
        <v>1578</v>
      </c>
      <c r="C982" t="s">
        <v>185</v>
      </c>
      <c r="D982" t="s">
        <v>17</v>
      </c>
      <c r="E982" t="s">
        <v>18</v>
      </c>
      <c r="F982" t="s">
        <v>19</v>
      </c>
      <c r="G982" t="s">
        <v>56</v>
      </c>
      <c r="H982" t="s">
        <v>33</v>
      </c>
      <c r="I982">
        <v>9</v>
      </c>
      <c r="J982">
        <v>1800</v>
      </c>
      <c r="K982">
        <v>0</v>
      </c>
      <c r="L982">
        <v>16200</v>
      </c>
      <c r="M982">
        <v>9900</v>
      </c>
      <c r="N982">
        <v>6300</v>
      </c>
    </row>
    <row r="983" spans="1:14" x14ac:dyDescent="0.35">
      <c r="A983" t="s">
        <v>1581</v>
      </c>
      <c r="B983" t="s">
        <v>1578</v>
      </c>
      <c r="C983" t="s">
        <v>809</v>
      </c>
      <c r="D983" t="s">
        <v>43</v>
      </c>
      <c r="E983" t="s">
        <v>250</v>
      </c>
      <c r="F983" t="s">
        <v>27</v>
      </c>
      <c r="G983" t="s">
        <v>51</v>
      </c>
      <c r="H983" t="s">
        <v>29</v>
      </c>
      <c r="I983">
        <v>8</v>
      </c>
      <c r="J983">
        <v>900</v>
      </c>
      <c r="K983">
        <v>0</v>
      </c>
      <c r="L983">
        <v>7200</v>
      </c>
      <c r="M983">
        <v>4160</v>
      </c>
      <c r="N983">
        <v>3040</v>
      </c>
    </row>
    <row r="984" spans="1:14" x14ac:dyDescent="0.35">
      <c r="A984" t="s">
        <v>1582</v>
      </c>
      <c r="B984" t="s">
        <v>1578</v>
      </c>
      <c r="C984" t="s">
        <v>446</v>
      </c>
      <c r="D984" t="s">
        <v>25</v>
      </c>
      <c r="E984" t="s">
        <v>26</v>
      </c>
      <c r="F984" t="s">
        <v>27</v>
      </c>
      <c r="G984" t="s">
        <v>90</v>
      </c>
      <c r="H984" t="s">
        <v>125</v>
      </c>
      <c r="I984">
        <v>10</v>
      </c>
      <c r="J984">
        <v>600</v>
      </c>
      <c r="K984">
        <v>0.1</v>
      </c>
      <c r="L984">
        <v>5400</v>
      </c>
      <c r="M984">
        <v>3300</v>
      </c>
      <c r="N984">
        <v>2100</v>
      </c>
    </row>
    <row r="985" spans="1:14" x14ac:dyDescent="0.35">
      <c r="A985" t="s">
        <v>1583</v>
      </c>
      <c r="B985" t="s">
        <v>1584</v>
      </c>
      <c r="C985" t="s">
        <v>127</v>
      </c>
      <c r="D985" t="s">
        <v>25</v>
      </c>
      <c r="E985" t="s">
        <v>26</v>
      </c>
      <c r="F985" t="s">
        <v>37</v>
      </c>
      <c r="G985" t="s">
        <v>38</v>
      </c>
      <c r="H985" t="s">
        <v>47</v>
      </c>
      <c r="I985">
        <v>7</v>
      </c>
      <c r="J985">
        <v>600</v>
      </c>
      <c r="K985">
        <v>0.1</v>
      </c>
      <c r="L985">
        <v>3780</v>
      </c>
      <c r="M985">
        <v>2310</v>
      </c>
      <c r="N985">
        <v>1470</v>
      </c>
    </row>
    <row r="986" spans="1:14" x14ac:dyDescent="0.35">
      <c r="A986" t="s">
        <v>1585</v>
      </c>
      <c r="B986" t="s">
        <v>1584</v>
      </c>
      <c r="C986" t="s">
        <v>313</v>
      </c>
      <c r="D986" t="s">
        <v>25</v>
      </c>
      <c r="E986" t="s">
        <v>69</v>
      </c>
      <c r="F986" t="s">
        <v>19</v>
      </c>
      <c r="G986" t="s">
        <v>20</v>
      </c>
      <c r="H986" t="s">
        <v>39</v>
      </c>
      <c r="I986">
        <v>5</v>
      </c>
      <c r="J986">
        <v>350</v>
      </c>
      <c r="K986">
        <v>0.15</v>
      </c>
      <c r="L986">
        <v>1487.5</v>
      </c>
      <c r="M986">
        <v>900</v>
      </c>
      <c r="N986">
        <v>587.5</v>
      </c>
    </row>
    <row r="987" spans="1:14" x14ac:dyDescent="0.35">
      <c r="A987" t="s">
        <v>1586</v>
      </c>
      <c r="B987" t="s">
        <v>1587</v>
      </c>
      <c r="C987" t="s">
        <v>53</v>
      </c>
      <c r="D987" t="s">
        <v>54</v>
      </c>
      <c r="E987" t="s">
        <v>110</v>
      </c>
      <c r="F987" t="s">
        <v>45</v>
      </c>
      <c r="G987" t="s">
        <v>122</v>
      </c>
      <c r="H987" t="s">
        <v>33</v>
      </c>
      <c r="I987">
        <v>7</v>
      </c>
      <c r="J987">
        <v>280</v>
      </c>
      <c r="K987">
        <v>0</v>
      </c>
      <c r="L987">
        <v>1960</v>
      </c>
      <c r="M987">
        <v>1050</v>
      </c>
      <c r="N987">
        <v>910</v>
      </c>
    </row>
    <row r="988" spans="1:14" x14ac:dyDescent="0.35">
      <c r="A988" t="s">
        <v>1588</v>
      </c>
      <c r="B988" t="s">
        <v>1587</v>
      </c>
      <c r="C988" t="s">
        <v>318</v>
      </c>
      <c r="D988" t="s">
        <v>25</v>
      </c>
      <c r="E988" t="s">
        <v>69</v>
      </c>
      <c r="F988" t="s">
        <v>27</v>
      </c>
      <c r="G988" t="s">
        <v>28</v>
      </c>
      <c r="H988" t="s">
        <v>47</v>
      </c>
      <c r="I988">
        <v>1</v>
      </c>
      <c r="J988">
        <v>350</v>
      </c>
      <c r="K988">
        <v>0.15</v>
      </c>
      <c r="L988">
        <v>297.5</v>
      </c>
      <c r="M988">
        <v>180</v>
      </c>
      <c r="N988">
        <v>117.5</v>
      </c>
    </row>
    <row r="989" spans="1:14" x14ac:dyDescent="0.35">
      <c r="A989" t="s">
        <v>1589</v>
      </c>
      <c r="B989" t="s">
        <v>1587</v>
      </c>
      <c r="C989" t="s">
        <v>566</v>
      </c>
      <c r="D989" t="s">
        <v>25</v>
      </c>
      <c r="E989" t="s">
        <v>69</v>
      </c>
      <c r="F989" t="s">
        <v>27</v>
      </c>
      <c r="G989" t="s">
        <v>51</v>
      </c>
      <c r="H989" t="s">
        <v>47</v>
      </c>
      <c r="I989">
        <v>8</v>
      </c>
      <c r="J989">
        <v>350</v>
      </c>
      <c r="K989">
        <v>0</v>
      </c>
      <c r="L989">
        <v>2800</v>
      </c>
      <c r="M989">
        <v>1440</v>
      </c>
      <c r="N989">
        <v>1360</v>
      </c>
    </row>
    <row r="990" spans="1:14" x14ac:dyDescent="0.35">
      <c r="A990" t="s">
        <v>1590</v>
      </c>
      <c r="B990" t="s">
        <v>1591</v>
      </c>
      <c r="C990" t="s">
        <v>1189</v>
      </c>
      <c r="D990" t="s">
        <v>54</v>
      </c>
      <c r="E990" t="s">
        <v>107</v>
      </c>
      <c r="F990" t="s">
        <v>45</v>
      </c>
      <c r="G990" t="s">
        <v>70</v>
      </c>
      <c r="H990" t="s">
        <v>39</v>
      </c>
      <c r="I990">
        <v>2</v>
      </c>
      <c r="J990">
        <v>120</v>
      </c>
      <c r="K990">
        <v>0</v>
      </c>
      <c r="L990">
        <v>240</v>
      </c>
      <c r="M990">
        <v>110</v>
      </c>
      <c r="N990">
        <v>130</v>
      </c>
    </row>
    <row r="991" spans="1:14" x14ac:dyDescent="0.35">
      <c r="A991" t="s">
        <v>1592</v>
      </c>
      <c r="B991" t="s">
        <v>1591</v>
      </c>
      <c r="C991" t="s">
        <v>106</v>
      </c>
      <c r="D991" t="s">
        <v>25</v>
      </c>
      <c r="E991" t="s">
        <v>89</v>
      </c>
      <c r="F991" t="s">
        <v>37</v>
      </c>
      <c r="G991" t="s">
        <v>73</v>
      </c>
      <c r="H991" t="s">
        <v>29</v>
      </c>
      <c r="I991">
        <v>9</v>
      </c>
      <c r="J991">
        <v>550</v>
      </c>
      <c r="K991">
        <v>0</v>
      </c>
      <c r="L991">
        <v>4950</v>
      </c>
      <c r="M991">
        <v>2700</v>
      </c>
      <c r="N991">
        <v>2250</v>
      </c>
    </row>
    <row r="992" spans="1:14" x14ac:dyDescent="0.35">
      <c r="A992" t="s">
        <v>1593</v>
      </c>
      <c r="B992" t="s">
        <v>1591</v>
      </c>
      <c r="C992" t="s">
        <v>93</v>
      </c>
      <c r="D992" t="s">
        <v>25</v>
      </c>
      <c r="E992" t="s">
        <v>69</v>
      </c>
      <c r="F992" t="s">
        <v>37</v>
      </c>
      <c r="G992" t="s">
        <v>140</v>
      </c>
      <c r="H992" t="s">
        <v>125</v>
      </c>
      <c r="I992">
        <v>1</v>
      </c>
      <c r="J992">
        <v>350</v>
      </c>
      <c r="K992">
        <v>0.1</v>
      </c>
      <c r="L992">
        <v>315</v>
      </c>
      <c r="M992">
        <v>180</v>
      </c>
      <c r="N992">
        <v>135</v>
      </c>
    </row>
    <row r="993" spans="1:14" x14ac:dyDescent="0.35">
      <c r="A993" t="s">
        <v>1594</v>
      </c>
      <c r="B993" t="s">
        <v>1591</v>
      </c>
      <c r="C993" t="s">
        <v>1181</v>
      </c>
      <c r="D993" t="s">
        <v>17</v>
      </c>
      <c r="E993" t="s">
        <v>32</v>
      </c>
      <c r="F993" t="s">
        <v>19</v>
      </c>
      <c r="G993" t="s">
        <v>113</v>
      </c>
      <c r="H993" t="s">
        <v>125</v>
      </c>
      <c r="I993">
        <v>5</v>
      </c>
      <c r="J993">
        <v>1500</v>
      </c>
      <c r="K993">
        <v>0.15</v>
      </c>
      <c r="L993">
        <v>6375</v>
      </c>
      <c r="M993">
        <v>4500</v>
      </c>
      <c r="N993">
        <v>1875</v>
      </c>
    </row>
    <row r="994" spans="1:14" x14ac:dyDescent="0.35">
      <c r="A994" t="s">
        <v>1595</v>
      </c>
      <c r="B994" t="s">
        <v>1596</v>
      </c>
      <c r="C994" t="s">
        <v>290</v>
      </c>
      <c r="D994" t="s">
        <v>43</v>
      </c>
      <c r="E994" t="s">
        <v>143</v>
      </c>
      <c r="F994" t="s">
        <v>19</v>
      </c>
      <c r="G994" t="s">
        <v>20</v>
      </c>
      <c r="H994" t="s">
        <v>29</v>
      </c>
      <c r="I994">
        <v>1</v>
      </c>
      <c r="J994">
        <v>650</v>
      </c>
      <c r="K994">
        <v>0.05</v>
      </c>
      <c r="L994">
        <v>617.5</v>
      </c>
      <c r="M994">
        <v>350</v>
      </c>
      <c r="N994">
        <v>267.5</v>
      </c>
    </row>
    <row r="995" spans="1:14" x14ac:dyDescent="0.35">
      <c r="A995" t="s">
        <v>1597</v>
      </c>
      <c r="B995" t="s">
        <v>1596</v>
      </c>
      <c r="C995" t="s">
        <v>59</v>
      </c>
      <c r="D995" t="s">
        <v>43</v>
      </c>
      <c r="E995" t="s">
        <v>44</v>
      </c>
      <c r="F995" t="s">
        <v>45</v>
      </c>
      <c r="G995" t="s">
        <v>46</v>
      </c>
      <c r="H995" t="s">
        <v>47</v>
      </c>
      <c r="I995">
        <v>6</v>
      </c>
      <c r="J995">
        <v>2200</v>
      </c>
      <c r="K995">
        <v>0.05</v>
      </c>
      <c r="L995">
        <v>12540</v>
      </c>
      <c r="M995">
        <v>8700</v>
      </c>
      <c r="N995">
        <v>3840</v>
      </c>
    </row>
    <row r="996" spans="1:14" x14ac:dyDescent="0.35">
      <c r="A996" t="s">
        <v>1598</v>
      </c>
      <c r="B996" t="s">
        <v>1596</v>
      </c>
      <c r="C996" t="s">
        <v>431</v>
      </c>
      <c r="D996" t="s">
        <v>17</v>
      </c>
      <c r="E996" t="s">
        <v>32</v>
      </c>
      <c r="F996" t="s">
        <v>37</v>
      </c>
      <c r="G996" t="s">
        <v>38</v>
      </c>
      <c r="H996" t="s">
        <v>47</v>
      </c>
      <c r="I996">
        <v>5</v>
      </c>
      <c r="J996">
        <v>1500</v>
      </c>
      <c r="K996">
        <v>0.15</v>
      </c>
      <c r="L996">
        <v>6375</v>
      </c>
      <c r="M996">
        <v>4500</v>
      </c>
      <c r="N996">
        <v>1875</v>
      </c>
    </row>
    <row r="997" spans="1:14" x14ac:dyDescent="0.35">
      <c r="A997" t="s">
        <v>1599</v>
      </c>
      <c r="B997" t="s">
        <v>1596</v>
      </c>
      <c r="C997" t="s">
        <v>211</v>
      </c>
      <c r="D997" t="s">
        <v>54</v>
      </c>
      <c r="E997" t="s">
        <v>116</v>
      </c>
      <c r="F997" t="s">
        <v>45</v>
      </c>
      <c r="G997" t="s">
        <v>104</v>
      </c>
      <c r="H997" t="s">
        <v>125</v>
      </c>
      <c r="I997">
        <v>9</v>
      </c>
      <c r="J997">
        <v>450</v>
      </c>
      <c r="K997">
        <v>0</v>
      </c>
      <c r="L997">
        <v>4050</v>
      </c>
      <c r="M997">
        <v>2250</v>
      </c>
      <c r="N997">
        <v>1800</v>
      </c>
    </row>
    <row r="998" spans="1:14" x14ac:dyDescent="0.35">
      <c r="A998" t="s">
        <v>1600</v>
      </c>
      <c r="B998" t="s">
        <v>1596</v>
      </c>
      <c r="C998" t="s">
        <v>683</v>
      </c>
      <c r="D998" t="s">
        <v>43</v>
      </c>
      <c r="E998" t="s">
        <v>169</v>
      </c>
      <c r="F998" t="s">
        <v>45</v>
      </c>
      <c r="G998" t="s">
        <v>122</v>
      </c>
      <c r="H998" t="s">
        <v>33</v>
      </c>
      <c r="I998">
        <v>2</v>
      </c>
      <c r="J998">
        <v>350</v>
      </c>
      <c r="K998">
        <v>0</v>
      </c>
      <c r="L998">
        <v>700</v>
      </c>
      <c r="M998">
        <v>340</v>
      </c>
      <c r="N998">
        <v>360</v>
      </c>
    </row>
    <row r="999" spans="1:14" x14ac:dyDescent="0.35">
      <c r="A999" t="s">
        <v>1601</v>
      </c>
      <c r="B999" t="s">
        <v>1596</v>
      </c>
      <c r="C999" t="s">
        <v>575</v>
      </c>
      <c r="D999" t="s">
        <v>25</v>
      </c>
      <c r="E999" t="s">
        <v>89</v>
      </c>
      <c r="F999" t="s">
        <v>19</v>
      </c>
      <c r="G999" t="s">
        <v>56</v>
      </c>
      <c r="H999" t="s">
        <v>21</v>
      </c>
      <c r="I999">
        <v>3</v>
      </c>
      <c r="J999">
        <v>550</v>
      </c>
      <c r="K999">
        <v>0.05</v>
      </c>
      <c r="L999">
        <v>1567.5</v>
      </c>
      <c r="M999">
        <v>900</v>
      </c>
      <c r="N999">
        <v>667.5</v>
      </c>
    </row>
    <row r="1000" spans="1:14" x14ac:dyDescent="0.35">
      <c r="A1000" t="s">
        <v>1602</v>
      </c>
      <c r="B1000" t="s">
        <v>1596</v>
      </c>
      <c r="C1000" t="s">
        <v>196</v>
      </c>
      <c r="D1000" t="s">
        <v>54</v>
      </c>
      <c r="E1000" t="s">
        <v>110</v>
      </c>
      <c r="F1000" t="s">
        <v>45</v>
      </c>
      <c r="G1000" t="s">
        <v>46</v>
      </c>
      <c r="H1000" t="s">
        <v>47</v>
      </c>
      <c r="I1000">
        <v>4</v>
      </c>
      <c r="J1000">
        <v>280</v>
      </c>
      <c r="K1000">
        <v>0</v>
      </c>
      <c r="L1000">
        <v>1120</v>
      </c>
      <c r="M1000">
        <v>600</v>
      </c>
      <c r="N1000">
        <v>520</v>
      </c>
    </row>
    <row r="1001" spans="1:14" x14ac:dyDescent="0.35">
      <c r="A1001" t="s">
        <v>1603</v>
      </c>
      <c r="B1001" t="s">
        <v>1604</v>
      </c>
      <c r="C1001" t="s">
        <v>741</v>
      </c>
      <c r="D1001" t="s">
        <v>25</v>
      </c>
      <c r="E1001" t="s">
        <v>89</v>
      </c>
      <c r="F1001" t="s">
        <v>45</v>
      </c>
      <c r="G1001" t="s">
        <v>70</v>
      </c>
      <c r="H1001" t="s">
        <v>39</v>
      </c>
      <c r="I1001">
        <v>4</v>
      </c>
      <c r="J1001">
        <v>550</v>
      </c>
      <c r="K1001">
        <v>0.05</v>
      </c>
      <c r="L1001">
        <v>2090</v>
      </c>
      <c r="M1001">
        <v>1200</v>
      </c>
      <c r="N1001">
        <v>890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1"/>
  <sheetViews>
    <sheetView topLeftCell="A980" workbookViewId="0">
      <selection activeCell="B1001" sqref="B1001"/>
    </sheetView>
  </sheetViews>
  <sheetFormatPr defaultRowHeight="14.5" x14ac:dyDescent="0.35"/>
  <cols>
    <col min="1" max="1" width="10" customWidth="1"/>
    <col min="2" max="2" width="14.7265625" style="10" bestFit="1" customWidth="1"/>
    <col min="3" max="3" width="11" customWidth="1"/>
    <col min="4" max="4" width="10.26953125" customWidth="1"/>
    <col min="5" max="5" width="9.453125" customWidth="1"/>
    <col min="8" max="8" width="12.81640625" customWidth="1"/>
    <col min="9" max="9" width="10.1796875" customWidth="1"/>
    <col min="10" max="10" width="10.90625" style="4" customWidth="1"/>
    <col min="11" max="11" width="10.1796875" style="6" customWidth="1"/>
    <col min="12" max="13" width="11.1796875" style="8" bestFit="1" customWidth="1"/>
    <col min="14" max="14" width="10.1796875" style="8" bestFit="1" customWidth="1"/>
    <col min="15" max="15" width="15.54296875" bestFit="1" customWidth="1"/>
    <col min="16" max="16" width="16.08984375" bestFit="1" customWidth="1"/>
    <col min="17" max="17" width="16.453125" style="13" bestFit="1" customWidth="1"/>
    <col min="18" max="18" width="16.453125" bestFit="1" customWidth="1"/>
    <col min="19" max="19" width="12.7265625" customWidth="1"/>
    <col min="20" max="20" width="18.08984375" bestFit="1" customWidth="1"/>
  </cols>
  <sheetData>
    <row r="1" spans="1:20" x14ac:dyDescent="0.35">
      <c r="A1" s="2" t="s">
        <v>0</v>
      </c>
      <c r="B1" s="9" t="s">
        <v>1</v>
      </c>
      <c r="C1" s="2" t="s">
        <v>2</v>
      </c>
      <c r="D1" s="2" t="s">
        <v>3</v>
      </c>
      <c r="E1" s="2" t="s">
        <v>4</v>
      </c>
      <c r="F1" s="2" t="s">
        <v>5</v>
      </c>
      <c r="G1" s="2" t="s">
        <v>6</v>
      </c>
      <c r="H1" s="2" t="s">
        <v>7</v>
      </c>
      <c r="I1" s="2" t="s">
        <v>8</v>
      </c>
      <c r="J1" s="3" t="s">
        <v>9</v>
      </c>
      <c r="K1" s="5" t="s">
        <v>10</v>
      </c>
      <c r="L1" s="7" t="s">
        <v>11</v>
      </c>
      <c r="M1" s="7" t="s">
        <v>12</v>
      </c>
      <c r="N1" s="7" t="s">
        <v>13</v>
      </c>
      <c r="O1" s="11" t="s">
        <v>1607</v>
      </c>
      <c r="P1" s="11" t="s">
        <v>1608</v>
      </c>
      <c r="Q1" s="12" t="s">
        <v>1609</v>
      </c>
      <c r="R1" s="11" t="s">
        <v>1610</v>
      </c>
      <c r="S1" s="11" t="s">
        <v>1611</v>
      </c>
      <c r="T1" s="11" t="s">
        <v>1612</v>
      </c>
    </row>
    <row r="2" spans="1:20" x14ac:dyDescent="0.35">
      <c r="A2" t="s">
        <v>14</v>
      </c>
      <c r="B2" s="23" t="s">
        <v>15</v>
      </c>
      <c r="C2" t="s">
        <v>16</v>
      </c>
      <c r="D2" t="s">
        <v>17</v>
      </c>
      <c r="E2" t="s">
        <v>18</v>
      </c>
      <c r="F2" t="s">
        <v>19</v>
      </c>
      <c r="G2" t="s">
        <v>20</v>
      </c>
      <c r="H2" t="s">
        <v>21</v>
      </c>
      <c r="I2">
        <v>8</v>
      </c>
      <c r="J2" s="4">
        <v>1800</v>
      </c>
      <c r="K2" s="6">
        <v>0.1</v>
      </c>
      <c r="L2" s="8">
        <v>12960</v>
      </c>
      <c r="M2" s="8">
        <v>8800</v>
      </c>
      <c r="N2" s="8">
        <v>4160</v>
      </c>
      <c r="O2" s="8">
        <f>SalesData[[#This Row],[Quantity]]*SalesData[[#This Row],[Unit Price]]*(1-SalesData[[#This Row],[Discount]])</f>
        <v>12960</v>
      </c>
      <c r="P2" s="8">
        <f>SalesData[[#This Row],[Sales_Check]]-SalesData[[#This Row],[Cost]]</f>
        <v>4160</v>
      </c>
      <c r="Q2" s="13">
        <f>IFERROR(SalesData[[#This Row],[Profit]]/SalesData[[#This Row],[Sales]],0)</f>
        <v>0.32098765432098764</v>
      </c>
      <c r="R2" t="str">
        <f>TEXT(SalesData[[#This Row],[Order Date]],"mmm-yyyy")</f>
        <v>Sep-2025</v>
      </c>
      <c r="S2">
        <f>YEAR(SalesData[[#This Row],[Order Date]])</f>
        <v>2025</v>
      </c>
      <c r="T2" t="str">
        <f>IF(SalesData[[#This Row],[Profit Margin]]&gt;=30%,"High",IF(SalesData[[#This Row],[Profit Margin]]&gt;=15%,"Medium","Low"))</f>
        <v>High</v>
      </c>
    </row>
    <row r="3" spans="1:20" x14ac:dyDescent="0.35">
      <c r="A3" t="s">
        <v>22</v>
      </c>
      <c r="B3" s="23" t="s">
        <v>23</v>
      </c>
      <c r="C3" t="s">
        <v>24</v>
      </c>
      <c r="D3" t="s">
        <v>25</v>
      </c>
      <c r="E3" t="s">
        <v>26</v>
      </c>
      <c r="F3" t="s">
        <v>27</v>
      </c>
      <c r="G3" t="s">
        <v>28</v>
      </c>
      <c r="H3" t="s">
        <v>29</v>
      </c>
      <c r="I3">
        <v>9</v>
      </c>
      <c r="J3" s="4">
        <v>600</v>
      </c>
      <c r="K3" s="6">
        <v>0.05</v>
      </c>
      <c r="L3" s="8">
        <v>5130</v>
      </c>
      <c r="M3" s="8">
        <v>2970</v>
      </c>
      <c r="N3" s="8">
        <v>2160</v>
      </c>
      <c r="O3" s="8">
        <f>SalesData[[#This Row],[Quantity]]*SalesData[[#This Row],[Unit Price]]*(1-SalesData[[#This Row],[Discount]])</f>
        <v>5130</v>
      </c>
      <c r="P3" s="8">
        <f>SalesData[[#This Row],[Sales_Check]]-SalesData[[#This Row],[Cost]]</f>
        <v>2160</v>
      </c>
      <c r="Q3" s="13">
        <f>IFERROR(SalesData[[#This Row],[Profit]]/SalesData[[#This Row],[Sales]],0)</f>
        <v>0.42105263157894735</v>
      </c>
      <c r="R3" t="str">
        <f>TEXT(SalesData[[#This Row],[Order Date]],"mmm-yyyy")</f>
        <v>Sep-2025</v>
      </c>
      <c r="S3">
        <f>YEAR(SalesData[[#This Row],[Order Date]])</f>
        <v>2025</v>
      </c>
      <c r="T3" t="str">
        <f>IF(SalesData[[#This Row],[Profit Margin]]&gt;=30%,"High",IF(SalesData[[#This Row],[Profit Margin]]&gt;=15%,"Medium","Low"))</f>
        <v>High</v>
      </c>
    </row>
    <row r="4" spans="1:20" x14ac:dyDescent="0.35">
      <c r="A4" t="s">
        <v>30</v>
      </c>
      <c r="B4" s="23" t="s">
        <v>23</v>
      </c>
      <c r="C4" t="s">
        <v>31</v>
      </c>
      <c r="D4" t="s">
        <v>17</v>
      </c>
      <c r="E4" t="s">
        <v>32</v>
      </c>
      <c r="F4" t="s">
        <v>27</v>
      </c>
      <c r="G4" t="s">
        <v>28</v>
      </c>
      <c r="H4" t="s">
        <v>33</v>
      </c>
      <c r="I4">
        <v>7</v>
      </c>
      <c r="J4" s="4">
        <v>1500</v>
      </c>
      <c r="K4" s="6">
        <v>0.05</v>
      </c>
      <c r="L4" s="8">
        <v>9975</v>
      </c>
      <c r="M4" s="8">
        <v>6300</v>
      </c>
      <c r="N4" s="8">
        <v>3675</v>
      </c>
      <c r="O4" s="8">
        <f>SalesData[[#This Row],[Quantity]]*SalesData[[#This Row],[Unit Price]]*(1-SalesData[[#This Row],[Discount]])</f>
        <v>9975</v>
      </c>
      <c r="P4" s="8">
        <f>SalesData[[#This Row],[Sales_Check]]-SalesData[[#This Row],[Cost]]</f>
        <v>3675</v>
      </c>
      <c r="Q4" s="13">
        <f>IFERROR(SalesData[[#This Row],[Profit]]/SalesData[[#This Row],[Sales]],0)</f>
        <v>0.36842105263157893</v>
      </c>
      <c r="R4" t="str">
        <f>TEXT(SalesData[[#This Row],[Order Date]],"mmm-yyyy")</f>
        <v>Sep-2025</v>
      </c>
      <c r="S4">
        <f>YEAR(SalesData[[#This Row],[Order Date]])</f>
        <v>2025</v>
      </c>
      <c r="T4" t="str">
        <f>IF(SalesData[[#This Row],[Profit Margin]]&gt;=30%,"High",IF(SalesData[[#This Row],[Profit Margin]]&gt;=15%,"Medium","Low"))</f>
        <v>High</v>
      </c>
    </row>
    <row r="5" spans="1:20" x14ac:dyDescent="0.35">
      <c r="A5" t="s">
        <v>34</v>
      </c>
      <c r="B5" s="23" t="s">
        <v>23</v>
      </c>
      <c r="C5" t="s">
        <v>35</v>
      </c>
      <c r="D5" t="s">
        <v>25</v>
      </c>
      <c r="E5" t="s">
        <v>36</v>
      </c>
      <c r="F5" t="s">
        <v>37</v>
      </c>
      <c r="G5" t="s">
        <v>38</v>
      </c>
      <c r="H5" t="s">
        <v>39</v>
      </c>
      <c r="I5">
        <v>10</v>
      </c>
      <c r="J5" s="4">
        <v>700</v>
      </c>
      <c r="K5" s="6">
        <v>0.05</v>
      </c>
      <c r="L5" s="8">
        <v>6650</v>
      </c>
      <c r="M5" s="8">
        <v>4000</v>
      </c>
      <c r="N5" s="8">
        <v>2650</v>
      </c>
      <c r="O5" s="8">
        <f>SalesData[[#This Row],[Quantity]]*SalesData[[#This Row],[Unit Price]]*(1-SalesData[[#This Row],[Discount]])</f>
        <v>6650</v>
      </c>
      <c r="P5" s="8">
        <f>SalesData[[#This Row],[Sales_Check]]-SalesData[[#This Row],[Cost]]</f>
        <v>2650</v>
      </c>
      <c r="Q5" s="13">
        <f>IFERROR(SalesData[[#This Row],[Profit]]/SalesData[[#This Row],[Sales]],0)</f>
        <v>0.39849624060150374</v>
      </c>
      <c r="R5" t="str">
        <f>TEXT(SalesData[[#This Row],[Order Date]],"mmm-yyyy")</f>
        <v>Sep-2025</v>
      </c>
      <c r="S5">
        <f>YEAR(SalesData[[#This Row],[Order Date]])</f>
        <v>2025</v>
      </c>
      <c r="T5" t="str">
        <f>IF(SalesData[[#This Row],[Profit Margin]]&gt;=30%,"High",IF(SalesData[[#This Row],[Profit Margin]]&gt;=15%,"Medium","Low"))</f>
        <v>High</v>
      </c>
    </row>
    <row r="6" spans="1:20" x14ac:dyDescent="0.35">
      <c r="A6" t="s">
        <v>40</v>
      </c>
      <c r="B6" s="23" t="s">
        <v>41</v>
      </c>
      <c r="C6" t="s">
        <v>42</v>
      </c>
      <c r="D6" t="s">
        <v>43</v>
      </c>
      <c r="E6" t="s">
        <v>44</v>
      </c>
      <c r="F6" t="s">
        <v>45</v>
      </c>
      <c r="G6" t="s">
        <v>46</v>
      </c>
      <c r="H6" t="s">
        <v>47</v>
      </c>
      <c r="I6">
        <v>6</v>
      </c>
      <c r="J6" s="4">
        <v>2200</v>
      </c>
      <c r="K6" s="6">
        <v>0.05</v>
      </c>
      <c r="L6" s="8">
        <v>12540</v>
      </c>
      <c r="M6" s="8">
        <v>8700</v>
      </c>
      <c r="N6" s="8">
        <v>3840</v>
      </c>
      <c r="O6" s="8">
        <f>SalesData[[#This Row],[Quantity]]*SalesData[[#This Row],[Unit Price]]*(1-SalesData[[#This Row],[Discount]])</f>
        <v>12540</v>
      </c>
      <c r="P6" s="8">
        <f>SalesData[[#This Row],[Sales_Check]]-SalesData[[#This Row],[Cost]]</f>
        <v>3840</v>
      </c>
      <c r="Q6" s="13">
        <f>IFERROR(SalesData[[#This Row],[Profit]]/SalesData[[#This Row],[Sales]],0)</f>
        <v>0.30622009569377989</v>
      </c>
      <c r="R6" t="str">
        <f>TEXT(SalesData[[#This Row],[Order Date]],"mmm-yyyy")</f>
        <v>Sep-2025</v>
      </c>
      <c r="S6">
        <f>YEAR(SalesData[[#This Row],[Order Date]])</f>
        <v>2025</v>
      </c>
      <c r="T6" t="str">
        <f>IF(SalesData[[#This Row],[Profit Margin]]&gt;=30%,"High",IF(SalesData[[#This Row],[Profit Margin]]&gt;=15%,"Medium","Low"))</f>
        <v>High</v>
      </c>
    </row>
    <row r="7" spans="1:20" x14ac:dyDescent="0.35">
      <c r="A7" t="s">
        <v>48</v>
      </c>
      <c r="B7" s="23" t="s">
        <v>41</v>
      </c>
      <c r="C7" t="s">
        <v>49</v>
      </c>
      <c r="D7" t="s">
        <v>17</v>
      </c>
      <c r="E7" t="s">
        <v>50</v>
      </c>
      <c r="F7" t="s">
        <v>27</v>
      </c>
      <c r="G7" t="s">
        <v>51</v>
      </c>
      <c r="H7" t="s">
        <v>29</v>
      </c>
      <c r="I7">
        <v>7</v>
      </c>
      <c r="J7" s="4">
        <v>650</v>
      </c>
      <c r="K7" s="6">
        <v>0</v>
      </c>
      <c r="L7" s="8">
        <v>4550</v>
      </c>
      <c r="M7" s="8">
        <v>2660</v>
      </c>
      <c r="N7" s="8">
        <v>1890</v>
      </c>
      <c r="O7" s="8">
        <f>SalesData[[#This Row],[Quantity]]*SalesData[[#This Row],[Unit Price]]*(1-SalesData[[#This Row],[Discount]])</f>
        <v>4550</v>
      </c>
      <c r="P7" s="8">
        <f>SalesData[[#This Row],[Sales_Check]]-SalesData[[#This Row],[Cost]]</f>
        <v>1890</v>
      </c>
      <c r="Q7" s="13">
        <f>IFERROR(SalesData[[#This Row],[Profit]]/SalesData[[#This Row],[Sales]],0)</f>
        <v>0.41538461538461541</v>
      </c>
      <c r="R7" t="str">
        <f>TEXT(SalesData[[#This Row],[Order Date]],"mmm-yyyy")</f>
        <v>Sep-2025</v>
      </c>
      <c r="S7">
        <f>YEAR(SalesData[[#This Row],[Order Date]])</f>
        <v>2025</v>
      </c>
      <c r="T7" t="str">
        <f>IF(SalesData[[#This Row],[Profit Margin]]&gt;=30%,"High",IF(SalesData[[#This Row],[Profit Margin]]&gt;=15%,"Medium","Low"))</f>
        <v>High</v>
      </c>
    </row>
    <row r="8" spans="1:20" x14ac:dyDescent="0.35">
      <c r="A8" t="s">
        <v>52</v>
      </c>
      <c r="B8" s="23" t="s">
        <v>41</v>
      </c>
      <c r="C8" t="s">
        <v>53</v>
      </c>
      <c r="D8" t="s">
        <v>54</v>
      </c>
      <c r="E8" t="s">
        <v>55</v>
      </c>
      <c r="F8" t="s">
        <v>19</v>
      </c>
      <c r="G8" t="s">
        <v>56</v>
      </c>
      <c r="H8" t="s">
        <v>29</v>
      </c>
      <c r="I8">
        <v>5</v>
      </c>
      <c r="J8" s="4">
        <v>180</v>
      </c>
      <c r="K8" s="6">
        <v>0.15</v>
      </c>
      <c r="L8" s="8">
        <v>765</v>
      </c>
      <c r="M8" s="8">
        <v>450</v>
      </c>
      <c r="N8" s="8">
        <v>315</v>
      </c>
      <c r="O8" s="8">
        <f>SalesData[[#This Row],[Quantity]]*SalesData[[#This Row],[Unit Price]]*(1-SalesData[[#This Row],[Discount]])</f>
        <v>765</v>
      </c>
      <c r="P8" s="8">
        <f>SalesData[[#This Row],[Sales_Check]]-SalesData[[#This Row],[Cost]]</f>
        <v>315</v>
      </c>
      <c r="Q8" s="13">
        <f>IFERROR(SalesData[[#This Row],[Profit]]/SalesData[[#This Row],[Sales]],0)</f>
        <v>0.41176470588235292</v>
      </c>
      <c r="R8" t="str">
        <f>TEXT(SalesData[[#This Row],[Order Date]],"mmm-yyyy")</f>
        <v>Sep-2025</v>
      </c>
      <c r="S8">
        <f>YEAR(SalesData[[#This Row],[Order Date]])</f>
        <v>2025</v>
      </c>
      <c r="T8" t="str">
        <f>IF(SalesData[[#This Row],[Profit Margin]]&gt;=30%,"High",IF(SalesData[[#This Row],[Profit Margin]]&gt;=15%,"Medium","Low"))</f>
        <v>High</v>
      </c>
    </row>
    <row r="9" spans="1:20" x14ac:dyDescent="0.35">
      <c r="A9" t="s">
        <v>57</v>
      </c>
      <c r="B9" s="23" t="s">
        <v>58</v>
      </c>
      <c r="C9" t="s">
        <v>59</v>
      </c>
      <c r="D9" t="s">
        <v>17</v>
      </c>
      <c r="E9" t="s">
        <v>32</v>
      </c>
      <c r="F9" t="s">
        <v>19</v>
      </c>
      <c r="G9" t="s">
        <v>20</v>
      </c>
      <c r="H9" t="s">
        <v>29</v>
      </c>
      <c r="I9">
        <v>8</v>
      </c>
      <c r="J9" s="4">
        <v>1500</v>
      </c>
      <c r="K9" s="6">
        <v>0</v>
      </c>
      <c r="L9" s="8">
        <v>12000</v>
      </c>
      <c r="M9" s="8">
        <v>7200</v>
      </c>
      <c r="N9" s="8">
        <v>4800</v>
      </c>
      <c r="O9" s="8">
        <f>SalesData[[#This Row],[Quantity]]*SalesData[[#This Row],[Unit Price]]*(1-SalesData[[#This Row],[Discount]])</f>
        <v>12000</v>
      </c>
      <c r="P9" s="8">
        <f>SalesData[[#This Row],[Sales_Check]]-SalesData[[#This Row],[Cost]]</f>
        <v>4800</v>
      </c>
      <c r="Q9" s="13">
        <f>IFERROR(SalesData[[#This Row],[Profit]]/SalesData[[#This Row],[Sales]],0)</f>
        <v>0.4</v>
      </c>
      <c r="R9" t="str">
        <f>TEXT(SalesData[[#This Row],[Order Date]],"mmm-yyyy")</f>
        <v>Sep-2025</v>
      </c>
      <c r="S9">
        <f>YEAR(SalesData[[#This Row],[Order Date]])</f>
        <v>2025</v>
      </c>
      <c r="T9" t="str">
        <f>IF(SalesData[[#This Row],[Profit Margin]]&gt;=30%,"High",IF(SalesData[[#This Row],[Profit Margin]]&gt;=15%,"Medium","Low"))</f>
        <v>High</v>
      </c>
    </row>
    <row r="10" spans="1:20" x14ac:dyDescent="0.35">
      <c r="A10" t="s">
        <v>60</v>
      </c>
      <c r="B10" s="23" t="s">
        <v>58</v>
      </c>
      <c r="C10" t="s">
        <v>61</v>
      </c>
      <c r="D10" t="s">
        <v>43</v>
      </c>
      <c r="E10" t="s">
        <v>62</v>
      </c>
      <c r="F10" t="s">
        <v>27</v>
      </c>
      <c r="G10" t="s">
        <v>28</v>
      </c>
      <c r="H10" t="s">
        <v>33</v>
      </c>
      <c r="I10">
        <v>8</v>
      </c>
      <c r="J10" s="4">
        <v>500</v>
      </c>
      <c r="K10" s="6">
        <v>0</v>
      </c>
      <c r="L10" s="8">
        <v>4000</v>
      </c>
      <c r="M10" s="8">
        <v>2240</v>
      </c>
      <c r="N10" s="8">
        <v>1760</v>
      </c>
      <c r="O10" s="8">
        <f>SalesData[[#This Row],[Quantity]]*SalesData[[#This Row],[Unit Price]]*(1-SalesData[[#This Row],[Discount]])</f>
        <v>4000</v>
      </c>
      <c r="P10" s="8">
        <f>SalesData[[#This Row],[Sales_Check]]-SalesData[[#This Row],[Cost]]</f>
        <v>1760</v>
      </c>
      <c r="Q10" s="13">
        <f>IFERROR(SalesData[[#This Row],[Profit]]/SalesData[[#This Row],[Sales]],0)</f>
        <v>0.44</v>
      </c>
      <c r="R10" t="str">
        <f>TEXT(SalesData[[#This Row],[Order Date]],"mmm-yyyy")</f>
        <v>Sep-2025</v>
      </c>
      <c r="S10">
        <f>YEAR(SalesData[[#This Row],[Order Date]])</f>
        <v>2025</v>
      </c>
      <c r="T10" t="str">
        <f>IF(SalesData[[#This Row],[Profit Margin]]&gt;=30%,"High",IF(SalesData[[#This Row],[Profit Margin]]&gt;=15%,"Medium","Low"))</f>
        <v>High</v>
      </c>
    </row>
    <row r="11" spans="1:20" x14ac:dyDescent="0.35">
      <c r="A11" t="s">
        <v>63</v>
      </c>
      <c r="B11" s="23" t="s">
        <v>58</v>
      </c>
      <c r="C11" t="s">
        <v>64</v>
      </c>
      <c r="D11" t="s">
        <v>17</v>
      </c>
      <c r="E11" t="s">
        <v>65</v>
      </c>
      <c r="F11" t="s">
        <v>27</v>
      </c>
      <c r="G11" t="s">
        <v>51</v>
      </c>
      <c r="H11" t="s">
        <v>47</v>
      </c>
      <c r="I11">
        <v>9</v>
      </c>
      <c r="J11" s="4">
        <v>2200</v>
      </c>
      <c r="K11" s="6">
        <v>0.05</v>
      </c>
      <c r="L11" s="8">
        <v>18810</v>
      </c>
      <c r="M11" s="8">
        <v>12600</v>
      </c>
      <c r="N11" s="8">
        <v>6210</v>
      </c>
      <c r="O11" s="8">
        <f>SalesData[[#This Row],[Quantity]]*SalesData[[#This Row],[Unit Price]]*(1-SalesData[[#This Row],[Discount]])</f>
        <v>18810</v>
      </c>
      <c r="P11" s="8">
        <f>SalesData[[#This Row],[Sales_Check]]-SalesData[[#This Row],[Cost]]</f>
        <v>6210</v>
      </c>
      <c r="Q11" s="13">
        <f>IFERROR(SalesData[[#This Row],[Profit]]/SalesData[[#This Row],[Sales]],0)</f>
        <v>0.33014354066985646</v>
      </c>
      <c r="R11" t="str">
        <f>TEXT(SalesData[[#This Row],[Order Date]],"mmm-yyyy")</f>
        <v>Sep-2025</v>
      </c>
      <c r="S11">
        <f>YEAR(SalesData[[#This Row],[Order Date]])</f>
        <v>2025</v>
      </c>
      <c r="T11" t="str">
        <f>IF(SalesData[[#This Row],[Profit Margin]]&gt;=30%,"High",IF(SalesData[[#This Row],[Profit Margin]]&gt;=15%,"Medium","Low"))</f>
        <v>High</v>
      </c>
    </row>
    <row r="12" spans="1:20" x14ac:dyDescent="0.35">
      <c r="A12" t="s">
        <v>66</v>
      </c>
      <c r="B12" s="23" t="s">
        <v>67</v>
      </c>
      <c r="C12" t="s">
        <v>68</v>
      </c>
      <c r="D12" t="s">
        <v>25</v>
      </c>
      <c r="E12" t="s">
        <v>69</v>
      </c>
      <c r="F12" t="s">
        <v>45</v>
      </c>
      <c r="G12" t="s">
        <v>70</v>
      </c>
      <c r="H12" t="s">
        <v>47</v>
      </c>
      <c r="I12">
        <v>2</v>
      </c>
      <c r="J12" s="4">
        <v>350</v>
      </c>
      <c r="K12" s="6">
        <v>0.05</v>
      </c>
      <c r="L12" s="8">
        <v>665</v>
      </c>
      <c r="M12" s="8">
        <v>360</v>
      </c>
      <c r="N12" s="8">
        <v>305</v>
      </c>
      <c r="O12" s="8">
        <f>SalesData[[#This Row],[Quantity]]*SalesData[[#This Row],[Unit Price]]*(1-SalesData[[#This Row],[Discount]])</f>
        <v>665</v>
      </c>
      <c r="P12" s="8">
        <f>SalesData[[#This Row],[Sales_Check]]-SalesData[[#This Row],[Cost]]</f>
        <v>305</v>
      </c>
      <c r="Q12" s="13">
        <f>IFERROR(SalesData[[#This Row],[Profit]]/SalesData[[#This Row],[Sales]],0)</f>
        <v>0.45864661654135336</v>
      </c>
      <c r="R12" t="str">
        <f>TEXT(SalesData[[#This Row],[Order Date]],"mmm-yyyy")</f>
        <v>Sep-2025</v>
      </c>
      <c r="S12">
        <f>YEAR(SalesData[[#This Row],[Order Date]])</f>
        <v>2025</v>
      </c>
      <c r="T12" t="str">
        <f>IF(SalesData[[#This Row],[Profit Margin]]&gt;=30%,"High",IF(SalesData[[#This Row],[Profit Margin]]&gt;=15%,"Medium","Low"))</f>
        <v>High</v>
      </c>
    </row>
    <row r="13" spans="1:20" x14ac:dyDescent="0.35">
      <c r="A13" t="s">
        <v>71</v>
      </c>
      <c r="B13" s="23" t="s">
        <v>67</v>
      </c>
      <c r="C13" t="s">
        <v>72</v>
      </c>
      <c r="D13" t="s">
        <v>25</v>
      </c>
      <c r="E13" t="s">
        <v>69</v>
      </c>
      <c r="F13" t="s">
        <v>37</v>
      </c>
      <c r="G13" t="s">
        <v>73</v>
      </c>
      <c r="H13" t="s">
        <v>33</v>
      </c>
      <c r="I13">
        <v>3</v>
      </c>
      <c r="J13" s="4">
        <v>350</v>
      </c>
      <c r="K13" s="6">
        <v>0</v>
      </c>
      <c r="L13" s="8">
        <v>1050</v>
      </c>
      <c r="M13" s="8">
        <v>540</v>
      </c>
      <c r="N13" s="8">
        <v>510</v>
      </c>
      <c r="O13" s="8">
        <f>SalesData[[#This Row],[Quantity]]*SalesData[[#This Row],[Unit Price]]*(1-SalesData[[#This Row],[Discount]])</f>
        <v>1050</v>
      </c>
      <c r="P13" s="8">
        <f>SalesData[[#This Row],[Sales_Check]]-SalesData[[#This Row],[Cost]]</f>
        <v>510</v>
      </c>
      <c r="Q13" s="13">
        <f>IFERROR(SalesData[[#This Row],[Profit]]/SalesData[[#This Row],[Sales]],0)</f>
        <v>0.48571428571428571</v>
      </c>
      <c r="R13" t="str">
        <f>TEXT(SalesData[[#This Row],[Order Date]],"mmm-yyyy")</f>
        <v>Sep-2025</v>
      </c>
      <c r="S13">
        <f>YEAR(SalesData[[#This Row],[Order Date]])</f>
        <v>2025</v>
      </c>
      <c r="T13" t="str">
        <f>IF(SalesData[[#This Row],[Profit Margin]]&gt;=30%,"High",IF(SalesData[[#This Row],[Profit Margin]]&gt;=15%,"Medium","Low"))</f>
        <v>High</v>
      </c>
    </row>
    <row r="14" spans="1:20" x14ac:dyDescent="0.35">
      <c r="A14" t="s">
        <v>74</v>
      </c>
      <c r="B14" s="23" t="s">
        <v>67</v>
      </c>
      <c r="C14" t="s">
        <v>75</v>
      </c>
      <c r="D14" t="s">
        <v>54</v>
      </c>
      <c r="E14" t="s">
        <v>55</v>
      </c>
      <c r="F14" t="s">
        <v>37</v>
      </c>
      <c r="G14" t="s">
        <v>73</v>
      </c>
      <c r="H14" t="s">
        <v>29</v>
      </c>
      <c r="I14">
        <v>3</v>
      </c>
      <c r="J14" s="4">
        <v>180</v>
      </c>
      <c r="K14" s="6">
        <v>0.1</v>
      </c>
      <c r="L14" s="8">
        <v>486</v>
      </c>
      <c r="M14" s="8">
        <v>270</v>
      </c>
      <c r="N14" s="8">
        <v>216</v>
      </c>
      <c r="O14" s="8">
        <f>SalesData[[#This Row],[Quantity]]*SalesData[[#This Row],[Unit Price]]*(1-SalesData[[#This Row],[Discount]])</f>
        <v>486</v>
      </c>
      <c r="P14" s="8">
        <f>SalesData[[#This Row],[Sales_Check]]-SalesData[[#This Row],[Cost]]</f>
        <v>216</v>
      </c>
      <c r="Q14" s="13">
        <f>IFERROR(SalesData[[#This Row],[Profit]]/SalesData[[#This Row],[Sales]],0)</f>
        <v>0.44444444444444442</v>
      </c>
      <c r="R14" t="str">
        <f>TEXT(SalesData[[#This Row],[Order Date]],"mmm-yyyy")</f>
        <v>Sep-2025</v>
      </c>
      <c r="S14">
        <f>YEAR(SalesData[[#This Row],[Order Date]])</f>
        <v>2025</v>
      </c>
      <c r="T14" t="str">
        <f>IF(SalesData[[#This Row],[Profit Margin]]&gt;=30%,"High",IF(SalesData[[#This Row],[Profit Margin]]&gt;=15%,"Medium","Low"))</f>
        <v>High</v>
      </c>
    </row>
    <row r="15" spans="1:20" x14ac:dyDescent="0.35">
      <c r="A15" t="s">
        <v>76</v>
      </c>
      <c r="B15" s="23" t="s">
        <v>67</v>
      </c>
      <c r="C15" t="s">
        <v>77</v>
      </c>
      <c r="D15" t="s">
        <v>17</v>
      </c>
      <c r="E15" t="s">
        <v>18</v>
      </c>
      <c r="F15" t="s">
        <v>45</v>
      </c>
      <c r="G15" t="s">
        <v>46</v>
      </c>
      <c r="H15" t="s">
        <v>33</v>
      </c>
      <c r="I15">
        <v>7</v>
      </c>
      <c r="J15" s="4">
        <v>1800</v>
      </c>
      <c r="K15" s="6">
        <v>0</v>
      </c>
      <c r="L15" s="8">
        <v>12600</v>
      </c>
      <c r="M15" s="8">
        <v>7700</v>
      </c>
      <c r="N15" s="8">
        <v>4900</v>
      </c>
      <c r="O15" s="8">
        <f>SalesData[[#This Row],[Quantity]]*SalesData[[#This Row],[Unit Price]]*(1-SalesData[[#This Row],[Discount]])</f>
        <v>12600</v>
      </c>
      <c r="P15" s="8">
        <f>SalesData[[#This Row],[Sales_Check]]-SalesData[[#This Row],[Cost]]</f>
        <v>4900</v>
      </c>
      <c r="Q15" s="13">
        <f>IFERROR(SalesData[[#This Row],[Profit]]/SalesData[[#This Row],[Sales]],0)</f>
        <v>0.3888888888888889</v>
      </c>
      <c r="R15" t="str">
        <f>TEXT(SalesData[[#This Row],[Order Date]],"mmm-yyyy")</f>
        <v>Sep-2025</v>
      </c>
      <c r="S15">
        <f>YEAR(SalesData[[#This Row],[Order Date]])</f>
        <v>2025</v>
      </c>
      <c r="T15" t="str">
        <f>IF(SalesData[[#This Row],[Profit Margin]]&gt;=30%,"High",IF(SalesData[[#This Row],[Profit Margin]]&gt;=15%,"Medium","Low"))</f>
        <v>High</v>
      </c>
    </row>
    <row r="16" spans="1:20" x14ac:dyDescent="0.35">
      <c r="A16" t="s">
        <v>78</v>
      </c>
      <c r="B16" s="23" t="s">
        <v>67</v>
      </c>
      <c r="C16" t="s">
        <v>79</v>
      </c>
      <c r="D16" t="s">
        <v>25</v>
      </c>
      <c r="E16" t="s">
        <v>80</v>
      </c>
      <c r="F16" t="s">
        <v>19</v>
      </c>
      <c r="G16" t="s">
        <v>56</v>
      </c>
      <c r="H16" t="s">
        <v>21</v>
      </c>
      <c r="I16">
        <v>6</v>
      </c>
      <c r="J16" s="4">
        <v>950</v>
      </c>
      <c r="K16" s="6">
        <v>0</v>
      </c>
      <c r="L16" s="8">
        <v>5700</v>
      </c>
      <c r="M16" s="8">
        <v>3360</v>
      </c>
      <c r="N16" s="8">
        <v>2340</v>
      </c>
      <c r="O16" s="8">
        <f>SalesData[[#This Row],[Quantity]]*SalesData[[#This Row],[Unit Price]]*(1-SalesData[[#This Row],[Discount]])</f>
        <v>5700</v>
      </c>
      <c r="P16" s="8">
        <f>SalesData[[#This Row],[Sales_Check]]-SalesData[[#This Row],[Cost]]</f>
        <v>2340</v>
      </c>
      <c r="Q16" s="13">
        <f>IFERROR(SalesData[[#This Row],[Profit]]/SalesData[[#This Row],[Sales]],0)</f>
        <v>0.41052631578947368</v>
      </c>
      <c r="R16" t="str">
        <f>TEXT(SalesData[[#This Row],[Order Date]],"mmm-yyyy")</f>
        <v>Sep-2025</v>
      </c>
      <c r="S16">
        <f>YEAR(SalesData[[#This Row],[Order Date]])</f>
        <v>2025</v>
      </c>
      <c r="T16" t="str">
        <f>IF(SalesData[[#This Row],[Profit Margin]]&gt;=30%,"High",IF(SalesData[[#This Row],[Profit Margin]]&gt;=15%,"Medium","Low"))</f>
        <v>High</v>
      </c>
    </row>
    <row r="17" spans="1:20" x14ac:dyDescent="0.35">
      <c r="A17" t="s">
        <v>81</v>
      </c>
      <c r="B17" s="23" t="s">
        <v>67</v>
      </c>
      <c r="C17" t="s">
        <v>82</v>
      </c>
      <c r="D17" t="s">
        <v>54</v>
      </c>
      <c r="E17" t="s">
        <v>55</v>
      </c>
      <c r="F17" t="s">
        <v>45</v>
      </c>
      <c r="G17" t="s">
        <v>46</v>
      </c>
      <c r="H17" t="s">
        <v>21</v>
      </c>
      <c r="I17">
        <v>10</v>
      </c>
      <c r="J17" s="4">
        <v>180</v>
      </c>
      <c r="K17" s="6">
        <v>0</v>
      </c>
      <c r="L17" s="8">
        <v>1800</v>
      </c>
      <c r="M17" s="8">
        <v>900</v>
      </c>
      <c r="N17" s="8">
        <v>900</v>
      </c>
      <c r="O17" s="8">
        <f>SalesData[[#This Row],[Quantity]]*SalesData[[#This Row],[Unit Price]]*(1-SalesData[[#This Row],[Discount]])</f>
        <v>1800</v>
      </c>
      <c r="P17" s="8">
        <f>SalesData[[#This Row],[Sales_Check]]-SalesData[[#This Row],[Cost]]</f>
        <v>900</v>
      </c>
      <c r="Q17" s="13">
        <f>IFERROR(SalesData[[#This Row],[Profit]]/SalesData[[#This Row],[Sales]],0)</f>
        <v>0.5</v>
      </c>
      <c r="R17" t="str">
        <f>TEXT(SalesData[[#This Row],[Order Date]],"mmm-yyyy")</f>
        <v>Sep-2025</v>
      </c>
      <c r="S17">
        <f>YEAR(SalesData[[#This Row],[Order Date]])</f>
        <v>2025</v>
      </c>
      <c r="T17" t="str">
        <f>IF(SalesData[[#This Row],[Profit Margin]]&gt;=30%,"High",IF(SalesData[[#This Row],[Profit Margin]]&gt;=15%,"Medium","Low"))</f>
        <v>High</v>
      </c>
    </row>
    <row r="18" spans="1:20" x14ac:dyDescent="0.35">
      <c r="A18" t="s">
        <v>83</v>
      </c>
      <c r="B18" s="23" t="s">
        <v>67</v>
      </c>
      <c r="C18" t="s">
        <v>84</v>
      </c>
      <c r="D18" t="s">
        <v>17</v>
      </c>
      <c r="E18" t="s">
        <v>50</v>
      </c>
      <c r="F18" t="s">
        <v>27</v>
      </c>
      <c r="G18" t="s">
        <v>85</v>
      </c>
      <c r="H18" t="s">
        <v>29</v>
      </c>
      <c r="I18">
        <v>4</v>
      </c>
      <c r="J18" s="4">
        <v>650</v>
      </c>
      <c r="K18" s="6">
        <v>0</v>
      </c>
      <c r="L18" s="8">
        <v>2600</v>
      </c>
      <c r="M18" s="8">
        <v>1520</v>
      </c>
      <c r="N18" s="8">
        <v>1080</v>
      </c>
      <c r="O18" s="8">
        <f>SalesData[[#This Row],[Quantity]]*SalesData[[#This Row],[Unit Price]]*(1-SalesData[[#This Row],[Discount]])</f>
        <v>2600</v>
      </c>
      <c r="P18" s="8">
        <f>SalesData[[#This Row],[Sales_Check]]-SalesData[[#This Row],[Cost]]</f>
        <v>1080</v>
      </c>
      <c r="Q18" s="13">
        <f>IFERROR(SalesData[[#This Row],[Profit]]/SalesData[[#This Row],[Sales]],0)</f>
        <v>0.41538461538461541</v>
      </c>
      <c r="R18" t="str">
        <f>TEXT(SalesData[[#This Row],[Order Date]],"mmm-yyyy")</f>
        <v>Sep-2025</v>
      </c>
      <c r="S18">
        <f>YEAR(SalesData[[#This Row],[Order Date]])</f>
        <v>2025</v>
      </c>
      <c r="T18" t="str">
        <f>IF(SalesData[[#This Row],[Profit Margin]]&gt;=30%,"High",IF(SalesData[[#This Row],[Profit Margin]]&gt;=15%,"Medium","Low"))</f>
        <v>High</v>
      </c>
    </row>
    <row r="19" spans="1:20" x14ac:dyDescent="0.35">
      <c r="A19" t="s">
        <v>86</v>
      </c>
      <c r="B19" s="23" t="s">
        <v>87</v>
      </c>
      <c r="C19" t="s">
        <v>88</v>
      </c>
      <c r="D19" t="s">
        <v>25</v>
      </c>
      <c r="E19" t="s">
        <v>89</v>
      </c>
      <c r="F19" t="s">
        <v>27</v>
      </c>
      <c r="G19" t="s">
        <v>90</v>
      </c>
      <c r="H19" t="s">
        <v>33</v>
      </c>
      <c r="I19">
        <v>10</v>
      </c>
      <c r="J19" s="4">
        <v>550</v>
      </c>
      <c r="K19" s="6">
        <v>0</v>
      </c>
      <c r="L19" s="8">
        <v>5500</v>
      </c>
      <c r="M19" s="8">
        <v>3000</v>
      </c>
      <c r="N19" s="8">
        <v>2500</v>
      </c>
      <c r="O19" s="8">
        <f>SalesData[[#This Row],[Quantity]]*SalesData[[#This Row],[Unit Price]]*(1-SalesData[[#This Row],[Discount]])</f>
        <v>5500</v>
      </c>
      <c r="P19" s="8">
        <f>SalesData[[#This Row],[Sales_Check]]-SalesData[[#This Row],[Cost]]</f>
        <v>2500</v>
      </c>
      <c r="Q19" s="13">
        <f>IFERROR(SalesData[[#This Row],[Profit]]/SalesData[[#This Row],[Sales]],0)</f>
        <v>0.45454545454545453</v>
      </c>
      <c r="R19" t="str">
        <f>TEXT(SalesData[[#This Row],[Order Date]],"mmm-yyyy")</f>
        <v>Sep-2025</v>
      </c>
      <c r="S19">
        <f>YEAR(SalesData[[#This Row],[Order Date]])</f>
        <v>2025</v>
      </c>
      <c r="T19" t="str">
        <f>IF(SalesData[[#This Row],[Profit Margin]]&gt;=30%,"High",IF(SalesData[[#This Row],[Profit Margin]]&gt;=15%,"Medium","Low"))</f>
        <v>High</v>
      </c>
    </row>
    <row r="20" spans="1:20" x14ac:dyDescent="0.35">
      <c r="A20" t="s">
        <v>91</v>
      </c>
      <c r="B20" s="23" t="s">
        <v>92</v>
      </c>
      <c r="C20" t="s">
        <v>93</v>
      </c>
      <c r="D20" t="s">
        <v>43</v>
      </c>
      <c r="E20" t="s">
        <v>62</v>
      </c>
      <c r="F20" t="s">
        <v>27</v>
      </c>
      <c r="G20" t="s">
        <v>51</v>
      </c>
      <c r="H20" t="s">
        <v>39</v>
      </c>
      <c r="I20">
        <v>3</v>
      </c>
      <c r="J20" s="4">
        <v>500</v>
      </c>
      <c r="K20" s="6">
        <v>0.05</v>
      </c>
      <c r="L20" s="8">
        <v>1425</v>
      </c>
      <c r="M20" s="8">
        <v>840</v>
      </c>
      <c r="N20" s="8">
        <v>585</v>
      </c>
      <c r="O20" s="8">
        <f>SalesData[[#This Row],[Quantity]]*SalesData[[#This Row],[Unit Price]]*(1-SalesData[[#This Row],[Discount]])</f>
        <v>1425</v>
      </c>
      <c r="P20" s="8">
        <f>SalesData[[#This Row],[Sales_Check]]-SalesData[[#This Row],[Cost]]</f>
        <v>585</v>
      </c>
      <c r="Q20" s="13">
        <f>IFERROR(SalesData[[#This Row],[Profit]]/SalesData[[#This Row],[Sales]],0)</f>
        <v>0.41052631578947368</v>
      </c>
      <c r="R20" t="str">
        <f>TEXT(SalesData[[#This Row],[Order Date]],"mmm-yyyy")</f>
        <v>Sep-2025</v>
      </c>
      <c r="S20">
        <f>YEAR(SalesData[[#This Row],[Order Date]])</f>
        <v>2025</v>
      </c>
      <c r="T20" t="str">
        <f>IF(SalesData[[#This Row],[Profit Margin]]&gt;=30%,"High",IF(SalesData[[#This Row],[Profit Margin]]&gt;=15%,"Medium","Low"))</f>
        <v>High</v>
      </c>
    </row>
    <row r="21" spans="1:20" x14ac:dyDescent="0.35">
      <c r="A21" t="s">
        <v>94</v>
      </c>
      <c r="B21" s="23" t="s">
        <v>92</v>
      </c>
      <c r="C21" t="s">
        <v>88</v>
      </c>
      <c r="D21" t="s">
        <v>25</v>
      </c>
      <c r="E21" t="s">
        <v>69</v>
      </c>
      <c r="F21" t="s">
        <v>45</v>
      </c>
      <c r="G21" t="s">
        <v>46</v>
      </c>
      <c r="H21" t="s">
        <v>29</v>
      </c>
      <c r="I21">
        <v>6</v>
      </c>
      <c r="J21" s="4">
        <v>350</v>
      </c>
      <c r="K21" s="6">
        <v>0</v>
      </c>
      <c r="L21" s="8">
        <v>2100</v>
      </c>
      <c r="M21" s="8">
        <v>1080</v>
      </c>
      <c r="N21" s="8">
        <v>1020</v>
      </c>
      <c r="O21" s="8">
        <f>SalesData[[#This Row],[Quantity]]*SalesData[[#This Row],[Unit Price]]*(1-SalesData[[#This Row],[Discount]])</f>
        <v>2100</v>
      </c>
      <c r="P21" s="8">
        <f>SalesData[[#This Row],[Sales_Check]]-SalesData[[#This Row],[Cost]]</f>
        <v>1020</v>
      </c>
      <c r="Q21" s="13">
        <f>IFERROR(SalesData[[#This Row],[Profit]]/SalesData[[#This Row],[Sales]],0)</f>
        <v>0.48571428571428571</v>
      </c>
      <c r="R21" t="str">
        <f>TEXT(SalesData[[#This Row],[Order Date]],"mmm-yyyy")</f>
        <v>Sep-2025</v>
      </c>
      <c r="S21">
        <f>YEAR(SalesData[[#This Row],[Order Date]])</f>
        <v>2025</v>
      </c>
      <c r="T21" t="str">
        <f>IF(SalesData[[#This Row],[Profit Margin]]&gt;=30%,"High",IF(SalesData[[#This Row],[Profit Margin]]&gt;=15%,"Medium","Low"))</f>
        <v>High</v>
      </c>
    </row>
    <row r="22" spans="1:20" x14ac:dyDescent="0.35">
      <c r="A22" t="s">
        <v>95</v>
      </c>
      <c r="B22" s="23" t="s">
        <v>92</v>
      </c>
      <c r="C22" t="s">
        <v>96</v>
      </c>
      <c r="D22" t="s">
        <v>25</v>
      </c>
      <c r="E22" t="s">
        <v>36</v>
      </c>
      <c r="F22" t="s">
        <v>37</v>
      </c>
      <c r="G22" t="s">
        <v>97</v>
      </c>
      <c r="H22" t="s">
        <v>33</v>
      </c>
      <c r="I22">
        <v>4</v>
      </c>
      <c r="J22" s="4">
        <v>700</v>
      </c>
      <c r="K22" s="6">
        <v>0</v>
      </c>
      <c r="L22" s="8">
        <v>2800</v>
      </c>
      <c r="M22" s="8">
        <v>1600</v>
      </c>
      <c r="N22" s="8">
        <v>1200</v>
      </c>
      <c r="O22" s="8">
        <f>SalesData[[#This Row],[Quantity]]*SalesData[[#This Row],[Unit Price]]*(1-SalesData[[#This Row],[Discount]])</f>
        <v>2800</v>
      </c>
      <c r="P22" s="8">
        <f>SalesData[[#This Row],[Sales_Check]]-SalesData[[#This Row],[Cost]]</f>
        <v>1200</v>
      </c>
      <c r="Q22" s="13">
        <f>IFERROR(SalesData[[#This Row],[Profit]]/SalesData[[#This Row],[Sales]],0)</f>
        <v>0.42857142857142855</v>
      </c>
      <c r="R22" t="str">
        <f>TEXT(SalesData[[#This Row],[Order Date]],"mmm-yyyy")</f>
        <v>Sep-2025</v>
      </c>
      <c r="S22">
        <f>YEAR(SalesData[[#This Row],[Order Date]])</f>
        <v>2025</v>
      </c>
      <c r="T22" t="str">
        <f>IF(SalesData[[#This Row],[Profit Margin]]&gt;=30%,"High",IF(SalesData[[#This Row],[Profit Margin]]&gt;=15%,"Medium","Low"))</f>
        <v>High</v>
      </c>
    </row>
    <row r="23" spans="1:20" x14ac:dyDescent="0.35">
      <c r="A23" t="s">
        <v>98</v>
      </c>
      <c r="B23" s="23" t="s">
        <v>92</v>
      </c>
      <c r="C23" t="s">
        <v>99</v>
      </c>
      <c r="D23" t="s">
        <v>25</v>
      </c>
      <c r="E23" t="s">
        <v>26</v>
      </c>
      <c r="F23" t="s">
        <v>45</v>
      </c>
      <c r="G23" t="s">
        <v>46</v>
      </c>
      <c r="H23" t="s">
        <v>47</v>
      </c>
      <c r="I23">
        <v>7</v>
      </c>
      <c r="J23" s="4">
        <v>600</v>
      </c>
      <c r="K23" s="6">
        <v>0</v>
      </c>
      <c r="L23" s="8">
        <v>4200</v>
      </c>
      <c r="M23" s="8">
        <v>2310</v>
      </c>
      <c r="N23" s="8">
        <v>1890</v>
      </c>
      <c r="O23" s="8">
        <f>SalesData[[#This Row],[Quantity]]*SalesData[[#This Row],[Unit Price]]*(1-SalesData[[#This Row],[Discount]])</f>
        <v>4200</v>
      </c>
      <c r="P23" s="8">
        <f>SalesData[[#This Row],[Sales_Check]]-SalesData[[#This Row],[Cost]]</f>
        <v>1890</v>
      </c>
      <c r="Q23" s="13">
        <f>IFERROR(SalesData[[#This Row],[Profit]]/SalesData[[#This Row],[Sales]],0)</f>
        <v>0.45</v>
      </c>
      <c r="R23" t="str">
        <f>TEXT(SalesData[[#This Row],[Order Date]],"mmm-yyyy")</f>
        <v>Sep-2025</v>
      </c>
      <c r="S23">
        <f>YEAR(SalesData[[#This Row],[Order Date]])</f>
        <v>2025</v>
      </c>
      <c r="T23" t="str">
        <f>IF(SalesData[[#This Row],[Profit Margin]]&gt;=30%,"High",IF(SalesData[[#This Row],[Profit Margin]]&gt;=15%,"Medium","Low"))</f>
        <v>High</v>
      </c>
    </row>
    <row r="24" spans="1:20" x14ac:dyDescent="0.35">
      <c r="A24" t="s">
        <v>100</v>
      </c>
      <c r="B24" s="23" t="s">
        <v>101</v>
      </c>
      <c r="C24" t="s">
        <v>102</v>
      </c>
      <c r="D24" t="s">
        <v>54</v>
      </c>
      <c r="E24" t="s">
        <v>103</v>
      </c>
      <c r="F24" t="s">
        <v>45</v>
      </c>
      <c r="G24" t="s">
        <v>104</v>
      </c>
      <c r="H24" t="s">
        <v>39</v>
      </c>
      <c r="I24">
        <v>1</v>
      </c>
      <c r="J24" s="4">
        <v>150</v>
      </c>
      <c r="K24" s="6">
        <v>0</v>
      </c>
      <c r="L24" s="8">
        <v>150</v>
      </c>
      <c r="M24" s="8">
        <v>75</v>
      </c>
      <c r="N24" s="8">
        <v>75</v>
      </c>
      <c r="O24" s="8">
        <f>SalesData[[#This Row],[Quantity]]*SalesData[[#This Row],[Unit Price]]*(1-SalesData[[#This Row],[Discount]])</f>
        <v>150</v>
      </c>
      <c r="P24" s="8">
        <f>SalesData[[#This Row],[Sales_Check]]-SalesData[[#This Row],[Cost]]</f>
        <v>75</v>
      </c>
      <c r="Q24" s="13">
        <f>IFERROR(SalesData[[#This Row],[Profit]]/SalesData[[#This Row],[Sales]],0)</f>
        <v>0.5</v>
      </c>
      <c r="R24" t="str">
        <f>TEXT(SalesData[[#This Row],[Order Date]],"mmm-yyyy")</f>
        <v>Sep-2025</v>
      </c>
      <c r="S24">
        <f>YEAR(SalesData[[#This Row],[Order Date]])</f>
        <v>2025</v>
      </c>
      <c r="T24" t="str">
        <f>IF(SalesData[[#This Row],[Profit Margin]]&gt;=30%,"High",IF(SalesData[[#This Row],[Profit Margin]]&gt;=15%,"Medium","Low"))</f>
        <v>High</v>
      </c>
    </row>
    <row r="25" spans="1:20" x14ac:dyDescent="0.35">
      <c r="A25" t="s">
        <v>105</v>
      </c>
      <c r="B25" s="23" t="s">
        <v>101</v>
      </c>
      <c r="C25" t="s">
        <v>106</v>
      </c>
      <c r="D25" t="s">
        <v>54</v>
      </c>
      <c r="E25" t="s">
        <v>107</v>
      </c>
      <c r="F25" t="s">
        <v>27</v>
      </c>
      <c r="G25" t="s">
        <v>85</v>
      </c>
      <c r="H25" t="s">
        <v>29</v>
      </c>
      <c r="I25">
        <v>1</v>
      </c>
      <c r="J25" s="4">
        <v>120</v>
      </c>
      <c r="K25" s="6">
        <v>0</v>
      </c>
      <c r="L25" s="8">
        <v>120</v>
      </c>
      <c r="M25" s="8">
        <v>55</v>
      </c>
      <c r="N25" s="8">
        <v>65</v>
      </c>
      <c r="O25" s="8">
        <f>SalesData[[#This Row],[Quantity]]*SalesData[[#This Row],[Unit Price]]*(1-SalesData[[#This Row],[Discount]])</f>
        <v>120</v>
      </c>
      <c r="P25" s="8">
        <f>SalesData[[#This Row],[Sales_Check]]-SalesData[[#This Row],[Cost]]</f>
        <v>65</v>
      </c>
      <c r="Q25" s="13">
        <f>IFERROR(SalesData[[#This Row],[Profit]]/SalesData[[#This Row],[Sales]],0)</f>
        <v>0.54166666666666663</v>
      </c>
      <c r="R25" t="str">
        <f>TEXT(SalesData[[#This Row],[Order Date]],"mmm-yyyy")</f>
        <v>Sep-2025</v>
      </c>
      <c r="S25">
        <f>YEAR(SalesData[[#This Row],[Order Date]])</f>
        <v>2025</v>
      </c>
      <c r="T25" t="str">
        <f>IF(SalesData[[#This Row],[Profit Margin]]&gt;=30%,"High",IF(SalesData[[#This Row],[Profit Margin]]&gt;=15%,"Medium","Low"))</f>
        <v>High</v>
      </c>
    </row>
    <row r="26" spans="1:20" x14ac:dyDescent="0.35">
      <c r="A26" t="s">
        <v>108</v>
      </c>
      <c r="B26" s="23" t="s">
        <v>101</v>
      </c>
      <c r="C26" t="s">
        <v>109</v>
      </c>
      <c r="D26" t="s">
        <v>54</v>
      </c>
      <c r="E26" t="s">
        <v>110</v>
      </c>
      <c r="F26" t="s">
        <v>27</v>
      </c>
      <c r="G26" t="s">
        <v>51</v>
      </c>
      <c r="H26" t="s">
        <v>47</v>
      </c>
      <c r="I26">
        <v>2</v>
      </c>
      <c r="J26" s="4">
        <v>280</v>
      </c>
      <c r="K26" s="6">
        <v>0</v>
      </c>
      <c r="L26" s="8">
        <v>560</v>
      </c>
      <c r="M26" s="8">
        <v>300</v>
      </c>
      <c r="N26" s="8">
        <v>260</v>
      </c>
      <c r="O26" s="8">
        <f>SalesData[[#This Row],[Quantity]]*SalesData[[#This Row],[Unit Price]]*(1-SalesData[[#This Row],[Discount]])</f>
        <v>560</v>
      </c>
      <c r="P26" s="8">
        <f>SalesData[[#This Row],[Sales_Check]]-SalesData[[#This Row],[Cost]]</f>
        <v>260</v>
      </c>
      <c r="Q26" s="13">
        <f>IFERROR(SalesData[[#This Row],[Profit]]/SalesData[[#This Row],[Sales]],0)</f>
        <v>0.4642857142857143</v>
      </c>
      <c r="R26" t="str">
        <f>TEXT(SalesData[[#This Row],[Order Date]],"mmm-yyyy")</f>
        <v>Sep-2025</v>
      </c>
      <c r="S26">
        <f>YEAR(SalesData[[#This Row],[Order Date]])</f>
        <v>2025</v>
      </c>
      <c r="T26" t="str">
        <f>IF(SalesData[[#This Row],[Profit Margin]]&gt;=30%,"High",IF(SalesData[[#This Row],[Profit Margin]]&gt;=15%,"Medium","Low"))</f>
        <v>High</v>
      </c>
    </row>
    <row r="27" spans="1:20" x14ac:dyDescent="0.35">
      <c r="A27" t="s">
        <v>111</v>
      </c>
      <c r="B27" s="23" t="s">
        <v>101</v>
      </c>
      <c r="C27" t="s">
        <v>112</v>
      </c>
      <c r="D27" t="s">
        <v>54</v>
      </c>
      <c r="E27" t="s">
        <v>110</v>
      </c>
      <c r="F27" t="s">
        <v>19</v>
      </c>
      <c r="G27" t="s">
        <v>113</v>
      </c>
      <c r="H27" t="s">
        <v>47</v>
      </c>
      <c r="I27">
        <v>1</v>
      </c>
      <c r="J27" s="4">
        <v>280</v>
      </c>
      <c r="K27" s="6">
        <v>0</v>
      </c>
      <c r="L27" s="8">
        <v>280</v>
      </c>
      <c r="M27" s="8">
        <v>150</v>
      </c>
      <c r="N27" s="8">
        <v>130</v>
      </c>
      <c r="O27" s="8">
        <f>SalesData[[#This Row],[Quantity]]*SalesData[[#This Row],[Unit Price]]*(1-SalesData[[#This Row],[Discount]])</f>
        <v>280</v>
      </c>
      <c r="P27" s="8">
        <f>SalesData[[#This Row],[Sales_Check]]-SalesData[[#This Row],[Cost]]</f>
        <v>130</v>
      </c>
      <c r="Q27" s="13">
        <f>IFERROR(SalesData[[#This Row],[Profit]]/SalesData[[#This Row],[Sales]],0)</f>
        <v>0.4642857142857143</v>
      </c>
      <c r="R27" t="str">
        <f>TEXT(SalesData[[#This Row],[Order Date]],"mmm-yyyy")</f>
        <v>Sep-2025</v>
      </c>
      <c r="S27">
        <f>YEAR(SalesData[[#This Row],[Order Date]])</f>
        <v>2025</v>
      </c>
      <c r="T27" t="str">
        <f>IF(SalesData[[#This Row],[Profit Margin]]&gt;=30%,"High",IF(SalesData[[#This Row],[Profit Margin]]&gt;=15%,"Medium","Low"))</f>
        <v>High</v>
      </c>
    </row>
    <row r="28" spans="1:20" x14ac:dyDescent="0.35">
      <c r="A28" t="s">
        <v>114</v>
      </c>
      <c r="B28" s="23" t="s">
        <v>101</v>
      </c>
      <c r="C28" t="s">
        <v>115</v>
      </c>
      <c r="D28" t="s">
        <v>54</v>
      </c>
      <c r="E28" t="s">
        <v>116</v>
      </c>
      <c r="F28" t="s">
        <v>37</v>
      </c>
      <c r="G28" t="s">
        <v>38</v>
      </c>
      <c r="H28" t="s">
        <v>33</v>
      </c>
      <c r="I28">
        <v>1</v>
      </c>
      <c r="J28" s="4">
        <v>450</v>
      </c>
      <c r="K28" s="6">
        <v>0</v>
      </c>
      <c r="L28" s="8">
        <v>450</v>
      </c>
      <c r="M28" s="8">
        <v>250</v>
      </c>
      <c r="N28" s="8">
        <v>200</v>
      </c>
      <c r="O28" s="8">
        <f>SalesData[[#This Row],[Quantity]]*SalesData[[#This Row],[Unit Price]]*(1-SalesData[[#This Row],[Discount]])</f>
        <v>450</v>
      </c>
      <c r="P28" s="8">
        <f>SalesData[[#This Row],[Sales_Check]]-SalesData[[#This Row],[Cost]]</f>
        <v>200</v>
      </c>
      <c r="Q28" s="13">
        <f>IFERROR(SalesData[[#This Row],[Profit]]/SalesData[[#This Row],[Sales]],0)</f>
        <v>0.44444444444444442</v>
      </c>
      <c r="R28" t="str">
        <f>TEXT(SalesData[[#This Row],[Order Date]],"mmm-yyyy")</f>
        <v>Sep-2025</v>
      </c>
      <c r="S28">
        <f>YEAR(SalesData[[#This Row],[Order Date]])</f>
        <v>2025</v>
      </c>
      <c r="T28" t="str">
        <f>IF(SalesData[[#This Row],[Profit Margin]]&gt;=30%,"High",IF(SalesData[[#This Row],[Profit Margin]]&gt;=15%,"Medium","Low"))</f>
        <v>High</v>
      </c>
    </row>
    <row r="29" spans="1:20" x14ac:dyDescent="0.35">
      <c r="A29" t="s">
        <v>117</v>
      </c>
      <c r="B29" s="23" t="s">
        <v>118</v>
      </c>
      <c r="C29" t="s">
        <v>119</v>
      </c>
      <c r="D29" t="s">
        <v>17</v>
      </c>
      <c r="E29" t="s">
        <v>18</v>
      </c>
      <c r="F29" t="s">
        <v>27</v>
      </c>
      <c r="G29" t="s">
        <v>51</v>
      </c>
      <c r="H29" t="s">
        <v>29</v>
      </c>
      <c r="I29">
        <v>10</v>
      </c>
      <c r="J29" s="4">
        <v>1800</v>
      </c>
      <c r="K29" s="6">
        <v>0.05</v>
      </c>
      <c r="L29" s="8">
        <v>17100</v>
      </c>
      <c r="M29" s="8">
        <v>11000</v>
      </c>
      <c r="N29" s="8">
        <v>6100</v>
      </c>
      <c r="O29" s="8">
        <f>SalesData[[#This Row],[Quantity]]*SalesData[[#This Row],[Unit Price]]*(1-SalesData[[#This Row],[Discount]])</f>
        <v>17100</v>
      </c>
      <c r="P29" s="8">
        <f>SalesData[[#This Row],[Sales_Check]]-SalesData[[#This Row],[Cost]]</f>
        <v>6100</v>
      </c>
      <c r="Q29" s="13">
        <f>IFERROR(SalesData[[#This Row],[Profit]]/SalesData[[#This Row],[Sales]],0)</f>
        <v>0.35672514619883039</v>
      </c>
      <c r="R29" t="str">
        <f>TEXT(SalesData[[#This Row],[Order Date]],"mmm-yyyy")</f>
        <v>Sep-2025</v>
      </c>
      <c r="S29">
        <f>YEAR(SalesData[[#This Row],[Order Date]])</f>
        <v>2025</v>
      </c>
      <c r="T29" t="str">
        <f>IF(SalesData[[#This Row],[Profit Margin]]&gt;=30%,"High",IF(SalesData[[#This Row],[Profit Margin]]&gt;=15%,"Medium","Low"))</f>
        <v>High</v>
      </c>
    </row>
    <row r="30" spans="1:20" x14ac:dyDescent="0.35">
      <c r="A30" t="s">
        <v>120</v>
      </c>
      <c r="B30" s="23" t="s">
        <v>118</v>
      </c>
      <c r="C30" t="s">
        <v>121</v>
      </c>
      <c r="D30" t="s">
        <v>25</v>
      </c>
      <c r="E30" t="s">
        <v>36</v>
      </c>
      <c r="F30" t="s">
        <v>45</v>
      </c>
      <c r="G30" t="s">
        <v>122</v>
      </c>
      <c r="H30" t="s">
        <v>21</v>
      </c>
      <c r="I30">
        <v>9</v>
      </c>
      <c r="J30" s="4">
        <v>700</v>
      </c>
      <c r="K30" s="6">
        <v>0</v>
      </c>
      <c r="L30" s="8">
        <v>6300</v>
      </c>
      <c r="M30" s="8">
        <v>3600</v>
      </c>
      <c r="N30" s="8">
        <v>2700</v>
      </c>
      <c r="O30" s="8">
        <f>SalesData[[#This Row],[Quantity]]*SalesData[[#This Row],[Unit Price]]*(1-SalesData[[#This Row],[Discount]])</f>
        <v>6300</v>
      </c>
      <c r="P30" s="8">
        <f>SalesData[[#This Row],[Sales_Check]]-SalesData[[#This Row],[Cost]]</f>
        <v>2700</v>
      </c>
      <c r="Q30" s="13">
        <f>IFERROR(SalesData[[#This Row],[Profit]]/SalesData[[#This Row],[Sales]],0)</f>
        <v>0.42857142857142855</v>
      </c>
      <c r="R30" t="str">
        <f>TEXT(SalesData[[#This Row],[Order Date]],"mmm-yyyy")</f>
        <v>Sep-2025</v>
      </c>
      <c r="S30">
        <f>YEAR(SalesData[[#This Row],[Order Date]])</f>
        <v>2025</v>
      </c>
      <c r="T30" t="str">
        <f>IF(SalesData[[#This Row],[Profit Margin]]&gt;=30%,"High",IF(SalesData[[#This Row],[Profit Margin]]&gt;=15%,"Medium","Low"))</f>
        <v>High</v>
      </c>
    </row>
    <row r="31" spans="1:20" x14ac:dyDescent="0.35">
      <c r="A31" t="s">
        <v>123</v>
      </c>
      <c r="B31" s="23" t="s">
        <v>118</v>
      </c>
      <c r="C31" t="s">
        <v>61</v>
      </c>
      <c r="D31" t="s">
        <v>17</v>
      </c>
      <c r="E31" t="s">
        <v>124</v>
      </c>
      <c r="F31" t="s">
        <v>37</v>
      </c>
      <c r="G31" t="s">
        <v>73</v>
      </c>
      <c r="H31" t="s">
        <v>125</v>
      </c>
      <c r="I31">
        <v>4</v>
      </c>
      <c r="J31" s="4">
        <v>1200</v>
      </c>
      <c r="K31" s="6">
        <v>0.1</v>
      </c>
      <c r="L31" s="8">
        <v>4320</v>
      </c>
      <c r="M31" s="8">
        <v>2880</v>
      </c>
      <c r="N31" s="8">
        <v>1440</v>
      </c>
      <c r="O31" s="8">
        <f>SalesData[[#This Row],[Quantity]]*SalesData[[#This Row],[Unit Price]]*(1-SalesData[[#This Row],[Discount]])</f>
        <v>4320</v>
      </c>
      <c r="P31" s="8">
        <f>SalesData[[#This Row],[Sales_Check]]-SalesData[[#This Row],[Cost]]</f>
        <v>1440</v>
      </c>
      <c r="Q31" s="13">
        <f>IFERROR(SalesData[[#This Row],[Profit]]/SalesData[[#This Row],[Sales]],0)</f>
        <v>0.33333333333333331</v>
      </c>
      <c r="R31" t="str">
        <f>TEXT(SalesData[[#This Row],[Order Date]],"mmm-yyyy")</f>
        <v>Sep-2025</v>
      </c>
      <c r="S31">
        <f>YEAR(SalesData[[#This Row],[Order Date]])</f>
        <v>2025</v>
      </c>
      <c r="T31" t="str">
        <f>IF(SalesData[[#This Row],[Profit Margin]]&gt;=30%,"High",IF(SalesData[[#This Row],[Profit Margin]]&gt;=15%,"Medium","Low"))</f>
        <v>High</v>
      </c>
    </row>
    <row r="32" spans="1:20" x14ac:dyDescent="0.35">
      <c r="A32" t="s">
        <v>126</v>
      </c>
      <c r="B32" s="23" t="s">
        <v>118</v>
      </c>
      <c r="C32" t="s">
        <v>127</v>
      </c>
      <c r="D32" t="s">
        <v>54</v>
      </c>
      <c r="E32" t="s">
        <v>55</v>
      </c>
      <c r="F32" t="s">
        <v>27</v>
      </c>
      <c r="G32" t="s">
        <v>90</v>
      </c>
      <c r="H32" t="s">
        <v>47</v>
      </c>
      <c r="I32">
        <v>7</v>
      </c>
      <c r="J32" s="4">
        <v>180</v>
      </c>
      <c r="K32" s="6">
        <v>0.05</v>
      </c>
      <c r="L32" s="8">
        <v>1197</v>
      </c>
      <c r="M32" s="8">
        <v>630</v>
      </c>
      <c r="N32" s="8">
        <v>567</v>
      </c>
      <c r="O32" s="8">
        <f>SalesData[[#This Row],[Quantity]]*SalesData[[#This Row],[Unit Price]]*(1-SalesData[[#This Row],[Discount]])</f>
        <v>1197</v>
      </c>
      <c r="P32" s="8">
        <f>SalesData[[#This Row],[Sales_Check]]-SalesData[[#This Row],[Cost]]</f>
        <v>567</v>
      </c>
      <c r="Q32" s="13">
        <f>IFERROR(SalesData[[#This Row],[Profit]]/SalesData[[#This Row],[Sales]],0)</f>
        <v>0.47368421052631576</v>
      </c>
      <c r="R32" t="str">
        <f>TEXT(SalesData[[#This Row],[Order Date]],"mmm-yyyy")</f>
        <v>Sep-2025</v>
      </c>
      <c r="S32">
        <f>YEAR(SalesData[[#This Row],[Order Date]])</f>
        <v>2025</v>
      </c>
      <c r="T32" t="str">
        <f>IF(SalesData[[#This Row],[Profit Margin]]&gt;=30%,"High",IF(SalesData[[#This Row],[Profit Margin]]&gt;=15%,"Medium","Low"))</f>
        <v>High</v>
      </c>
    </row>
    <row r="33" spans="1:20" x14ac:dyDescent="0.35">
      <c r="A33" t="s">
        <v>128</v>
      </c>
      <c r="B33" s="23" t="s">
        <v>118</v>
      </c>
      <c r="C33" t="s">
        <v>129</v>
      </c>
      <c r="D33" t="s">
        <v>54</v>
      </c>
      <c r="E33" t="s">
        <v>55</v>
      </c>
      <c r="F33" t="s">
        <v>37</v>
      </c>
      <c r="G33" t="s">
        <v>38</v>
      </c>
      <c r="H33" t="s">
        <v>39</v>
      </c>
      <c r="I33">
        <v>5</v>
      </c>
      <c r="J33" s="4">
        <v>180</v>
      </c>
      <c r="K33" s="6">
        <v>0.05</v>
      </c>
      <c r="L33" s="8">
        <v>855</v>
      </c>
      <c r="M33" s="8">
        <v>450</v>
      </c>
      <c r="N33" s="8">
        <v>405</v>
      </c>
      <c r="O33" s="8">
        <f>SalesData[[#This Row],[Quantity]]*SalesData[[#This Row],[Unit Price]]*(1-SalesData[[#This Row],[Discount]])</f>
        <v>855</v>
      </c>
      <c r="P33" s="8">
        <f>SalesData[[#This Row],[Sales_Check]]-SalesData[[#This Row],[Cost]]</f>
        <v>405</v>
      </c>
      <c r="Q33" s="13">
        <f>IFERROR(SalesData[[#This Row],[Profit]]/SalesData[[#This Row],[Sales]],0)</f>
        <v>0.47368421052631576</v>
      </c>
      <c r="R33" t="str">
        <f>TEXT(SalesData[[#This Row],[Order Date]],"mmm-yyyy")</f>
        <v>Sep-2025</v>
      </c>
      <c r="S33">
        <f>YEAR(SalesData[[#This Row],[Order Date]])</f>
        <v>2025</v>
      </c>
      <c r="T33" t="str">
        <f>IF(SalesData[[#This Row],[Profit Margin]]&gt;=30%,"High",IF(SalesData[[#This Row],[Profit Margin]]&gt;=15%,"Medium","Low"))</f>
        <v>High</v>
      </c>
    </row>
    <row r="34" spans="1:20" x14ac:dyDescent="0.35">
      <c r="A34" t="s">
        <v>130</v>
      </c>
      <c r="B34" s="23" t="s">
        <v>118</v>
      </c>
      <c r="C34" t="s">
        <v>131</v>
      </c>
      <c r="D34" t="s">
        <v>54</v>
      </c>
      <c r="E34" t="s">
        <v>103</v>
      </c>
      <c r="F34" t="s">
        <v>37</v>
      </c>
      <c r="G34" t="s">
        <v>97</v>
      </c>
      <c r="H34" t="s">
        <v>39</v>
      </c>
      <c r="I34">
        <v>1</v>
      </c>
      <c r="J34" s="4">
        <v>150</v>
      </c>
      <c r="K34" s="6">
        <v>0.1</v>
      </c>
      <c r="L34" s="8">
        <v>135</v>
      </c>
      <c r="M34" s="8">
        <v>75</v>
      </c>
      <c r="N34" s="8">
        <v>60</v>
      </c>
      <c r="O34" s="8">
        <f>SalesData[[#This Row],[Quantity]]*SalesData[[#This Row],[Unit Price]]*(1-SalesData[[#This Row],[Discount]])</f>
        <v>135</v>
      </c>
      <c r="P34" s="8">
        <f>SalesData[[#This Row],[Sales_Check]]-SalesData[[#This Row],[Cost]]</f>
        <v>60</v>
      </c>
      <c r="Q34" s="13">
        <f>IFERROR(SalesData[[#This Row],[Profit]]/SalesData[[#This Row],[Sales]],0)</f>
        <v>0.44444444444444442</v>
      </c>
      <c r="R34" t="str">
        <f>TEXT(SalesData[[#This Row],[Order Date]],"mmm-yyyy")</f>
        <v>Sep-2025</v>
      </c>
      <c r="S34">
        <f>YEAR(SalesData[[#This Row],[Order Date]])</f>
        <v>2025</v>
      </c>
      <c r="T34" t="str">
        <f>IF(SalesData[[#This Row],[Profit Margin]]&gt;=30%,"High",IF(SalesData[[#This Row],[Profit Margin]]&gt;=15%,"Medium","Low"))</f>
        <v>High</v>
      </c>
    </row>
    <row r="35" spans="1:20" x14ac:dyDescent="0.35">
      <c r="A35" t="s">
        <v>132</v>
      </c>
      <c r="B35" s="23" t="s">
        <v>133</v>
      </c>
      <c r="C35" t="s">
        <v>134</v>
      </c>
      <c r="D35" t="s">
        <v>17</v>
      </c>
      <c r="E35" t="s">
        <v>18</v>
      </c>
      <c r="F35" t="s">
        <v>45</v>
      </c>
      <c r="G35" t="s">
        <v>104</v>
      </c>
      <c r="H35" t="s">
        <v>47</v>
      </c>
      <c r="I35">
        <v>5</v>
      </c>
      <c r="J35" s="4">
        <v>1800</v>
      </c>
      <c r="K35" s="6">
        <v>0.1</v>
      </c>
      <c r="L35" s="8">
        <v>8100</v>
      </c>
      <c r="M35" s="8">
        <v>5500</v>
      </c>
      <c r="N35" s="8">
        <v>2600</v>
      </c>
      <c r="O35" s="8">
        <f>SalesData[[#This Row],[Quantity]]*SalesData[[#This Row],[Unit Price]]*(1-SalesData[[#This Row],[Discount]])</f>
        <v>8100</v>
      </c>
      <c r="P35" s="8">
        <f>SalesData[[#This Row],[Sales_Check]]-SalesData[[#This Row],[Cost]]</f>
        <v>2600</v>
      </c>
      <c r="Q35" s="13">
        <f>IFERROR(SalesData[[#This Row],[Profit]]/SalesData[[#This Row],[Sales]],0)</f>
        <v>0.32098765432098764</v>
      </c>
      <c r="R35" t="str">
        <f>TEXT(SalesData[[#This Row],[Order Date]],"mmm-yyyy")</f>
        <v>Sep-2025</v>
      </c>
      <c r="S35">
        <f>YEAR(SalesData[[#This Row],[Order Date]])</f>
        <v>2025</v>
      </c>
      <c r="T35" t="str">
        <f>IF(SalesData[[#This Row],[Profit Margin]]&gt;=30%,"High",IF(SalesData[[#This Row],[Profit Margin]]&gt;=15%,"Medium","Low"))</f>
        <v>High</v>
      </c>
    </row>
    <row r="36" spans="1:20" x14ac:dyDescent="0.35">
      <c r="A36" t="s">
        <v>135</v>
      </c>
      <c r="B36" s="23" t="s">
        <v>133</v>
      </c>
      <c r="C36" t="s">
        <v>109</v>
      </c>
      <c r="D36" t="s">
        <v>17</v>
      </c>
      <c r="E36" t="s">
        <v>18</v>
      </c>
      <c r="F36" t="s">
        <v>27</v>
      </c>
      <c r="G36" t="s">
        <v>51</v>
      </c>
      <c r="H36" t="s">
        <v>125</v>
      </c>
      <c r="I36">
        <v>2</v>
      </c>
      <c r="J36" s="4">
        <v>1800</v>
      </c>
      <c r="K36" s="6">
        <v>0</v>
      </c>
      <c r="L36" s="8">
        <v>3600</v>
      </c>
      <c r="M36" s="8">
        <v>2200</v>
      </c>
      <c r="N36" s="8">
        <v>1400</v>
      </c>
      <c r="O36" s="8">
        <f>SalesData[[#This Row],[Quantity]]*SalesData[[#This Row],[Unit Price]]*(1-SalesData[[#This Row],[Discount]])</f>
        <v>3600</v>
      </c>
      <c r="P36" s="8">
        <f>SalesData[[#This Row],[Sales_Check]]-SalesData[[#This Row],[Cost]]</f>
        <v>1400</v>
      </c>
      <c r="Q36" s="13">
        <f>IFERROR(SalesData[[#This Row],[Profit]]/SalesData[[#This Row],[Sales]],0)</f>
        <v>0.3888888888888889</v>
      </c>
      <c r="R36" t="str">
        <f>TEXT(SalesData[[#This Row],[Order Date]],"mmm-yyyy")</f>
        <v>Sep-2025</v>
      </c>
      <c r="S36">
        <f>YEAR(SalesData[[#This Row],[Order Date]])</f>
        <v>2025</v>
      </c>
      <c r="T36" t="str">
        <f>IF(SalesData[[#This Row],[Profit Margin]]&gt;=30%,"High",IF(SalesData[[#This Row],[Profit Margin]]&gt;=15%,"Medium","Low"))</f>
        <v>High</v>
      </c>
    </row>
    <row r="37" spans="1:20" x14ac:dyDescent="0.35">
      <c r="A37" t="s">
        <v>136</v>
      </c>
      <c r="B37" s="23" t="s">
        <v>137</v>
      </c>
      <c r="C37" t="s">
        <v>138</v>
      </c>
      <c r="D37" t="s">
        <v>25</v>
      </c>
      <c r="E37" t="s">
        <v>69</v>
      </c>
      <c r="F37" t="s">
        <v>37</v>
      </c>
      <c r="G37" t="s">
        <v>38</v>
      </c>
      <c r="H37" t="s">
        <v>21</v>
      </c>
      <c r="I37">
        <v>1</v>
      </c>
      <c r="J37" s="4">
        <v>350</v>
      </c>
      <c r="K37" s="6">
        <v>0.05</v>
      </c>
      <c r="L37" s="8">
        <v>332.5</v>
      </c>
      <c r="M37" s="8">
        <v>180</v>
      </c>
      <c r="N37" s="8">
        <v>152.5</v>
      </c>
      <c r="O37" s="8">
        <f>SalesData[[#This Row],[Quantity]]*SalesData[[#This Row],[Unit Price]]*(1-SalesData[[#This Row],[Discount]])</f>
        <v>332.5</v>
      </c>
      <c r="P37" s="8">
        <f>SalesData[[#This Row],[Sales_Check]]-SalesData[[#This Row],[Cost]]</f>
        <v>152.5</v>
      </c>
      <c r="Q37" s="13">
        <f>IFERROR(SalesData[[#This Row],[Profit]]/SalesData[[#This Row],[Sales]],0)</f>
        <v>0.45864661654135336</v>
      </c>
      <c r="R37" t="str">
        <f>TEXT(SalesData[[#This Row],[Order Date]],"mmm-yyyy")</f>
        <v>Sep-2025</v>
      </c>
      <c r="S37">
        <f>YEAR(SalesData[[#This Row],[Order Date]])</f>
        <v>2025</v>
      </c>
      <c r="T37" t="str">
        <f>IF(SalesData[[#This Row],[Profit Margin]]&gt;=30%,"High",IF(SalesData[[#This Row],[Profit Margin]]&gt;=15%,"Medium","Low"))</f>
        <v>High</v>
      </c>
    </row>
    <row r="38" spans="1:20" x14ac:dyDescent="0.35">
      <c r="A38" t="s">
        <v>139</v>
      </c>
      <c r="B38" s="23" t="s">
        <v>137</v>
      </c>
      <c r="C38" t="s">
        <v>115</v>
      </c>
      <c r="D38" t="s">
        <v>17</v>
      </c>
      <c r="E38" t="s">
        <v>124</v>
      </c>
      <c r="F38" t="s">
        <v>37</v>
      </c>
      <c r="G38" t="s">
        <v>140</v>
      </c>
      <c r="H38" t="s">
        <v>29</v>
      </c>
      <c r="I38">
        <v>1</v>
      </c>
      <c r="J38" s="4">
        <v>1200</v>
      </c>
      <c r="K38" s="6">
        <v>0</v>
      </c>
      <c r="L38" s="8">
        <v>1200</v>
      </c>
      <c r="M38" s="8">
        <v>720</v>
      </c>
      <c r="N38" s="8">
        <v>480</v>
      </c>
      <c r="O38" s="8">
        <f>SalesData[[#This Row],[Quantity]]*SalesData[[#This Row],[Unit Price]]*(1-SalesData[[#This Row],[Discount]])</f>
        <v>1200</v>
      </c>
      <c r="P38" s="8">
        <f>SalesData[[#This Row],[Sales_Check]]-SalesData[[#This Row],[Cost]]</f>
        <v>480</v>
      </c>
      <c r="Q38" s="13">
        <f>IFERROR(SalesData[[#This Row],[Profit]]/SalesData[[#This Row],[Sales]],0)</f>
        <v>0.4</v>
      </c>
      <c r="R38" t="str">
        <f>TEXT(SalesData[[#This Row],[Order Date]],"mmm-yyyy")</f>
        <v>Sep-2025</v>
      </c>
      <c r="S38">
        <f>YEAR(SalesData[[#This Row],[Order Date]])</f>
        <v>2025</v>
      </c>
      <c r="T38" t="str">
        <f>IF(SalesData[[#This Row],[Profit Margin]]&gt;=30%,"High",IF(SalesData[[#This Row],[Profit Margin]]&gt;=15%,"Medium","Low"))</f>
        <v>High</v>
      </c>
    </row>
    <row r="39" spans="1:20" x14ac:dyDescent="0.35">
      <c r="A39" t="s">
        <v>141</v>
      </c>
      <c r="B39" s="23" t="s">
        <v>137</v>
      </c>
      <c r="C39" t="s">
        <v>142</v>
      </c>
      <c r="D39" t="s">
        <v>43</v>
      </c>
      <c r="E39" t="s">
        <v>143</v>
      </c>
      <c r="F39" t="s">
        <v>27</v>
      </c>
      <c r="G39" t="s">
        <v>51</v>
      </c>
      <c r="H39" t="s">
        <v>125</v>
      </c>
      <c r="I39">
        <v>7</v>
      </c>
      <c r="J39" s="4">
        <v>650</v>
      </c>
      <c r="K39" s="6">
        <v>0</v>
      </c>
      <c r="L39" s="8">
        <v>4550</v>
      </c>
      <c r="M39" s="8">
        <v>2450</v>
      </c>
      <c r="N39" s="8">
        <v>2100</v>
      </c>
      <c r="O39" s="8">
        <f>SalesData[[#This Row],[Quantity]]*SalesData[[#This Row],[Unit Price]]*(1-SalesData[[#This Row],[Discount]])</f>
        <v>4550</v>
      </c>
      <c r="P39" s="8">
        <f>SalesData[[#This Row],[Sales_Check]]-SalesData[[#This Row],[Cost]]</f>
        <v>2100</v>
      </c>
      <c r="Q39" s="13">
        <f>IFERROR(SalesData[[#This Row],[Profit]]/SalesData[[#This Row],[Sales]],0)</f>
        <v>0.46153846153846156</v>
      </c>
      <c r="R39" t="str">
        <f>TEXT(SalesData[[#This Row],[Order Date]],"mmm-yyyy")</f>
        <v>Sep-2025</v>
      </c>
      <c r="S39">
        <f>YEAR(SalesData[[#This Row],[Order Date]])</f>
        <v>2025</v>
      </c>
      <c r="T39" t="str">
        <f>IF(SalesData[[#This Row],[Profit Margin]]&gt;=30%,"High",IF(SalesData[[#This Row],[Profit Margin]]&gt;=15%,"Medium","Low"))</f>
        <v>High</v>
      </c>
    </row>
    <row r="40" spans="1:20" x14ac:dyDescent="0.35">
      <c r="A40" t="s">
        <v>144</v>
      </c>
      <c r="B40" s="23" t="s">
        <v>137</v>
      </c>
      <c r="C40" t="s">
        <v>145</v>
      </c>
      <c r="D40" t="s">
        <v>25</v>
      </c>
      <c r="E40" t="s">
        <v>89</v>
      </c>
      <c r="F40" t="s">
        <v>19</v>
      </c>
      <c r="G40" t="s">
        <v>20</v>
      </c>
      <c r="H40" t="s">
        <v>21</v>
      </c>
      <c r="I40">
        <v>8</v>
      </c>
      <c r="J40" s="4">
        <v>550</v>
      </c>
      <c r="K40" s="6">
        <v>0</v>
      </c>
      <c r="L40" s="8">
        <v>4400</v>
      </c>
      <c r="M40" s="8">
        <v>2400</v>
      </c>
      <c r="N40" s="8">
        <v>2000</v>
      </c>
      <c r="O40" s="8">
        <f>SalesData[[#This Row],[Quantity]]*SalesData[[#This Row],[Unit Price]]*(1-SalesData[[#This Row],[Discount]])</f>
        <v>4400</v>
      </c>
      <c r="P40" s="8">
        <f>SalesData[[#This Row],[Sales_Check]]-SalesData[[#This Row],[Cost]]</f>
        <v>2000</v>
      </c>
      <c r="Q40" s="13">
        <f>IFERROR(SalesData[[#This Row],[Profit]]/SalesData[[#This Row],[Sales]],0)</f>
        <v>0.45454545454545453</v>
      </c>
      <c r="R40" t="str">
        <f>TEXT(SalesData[[#This Row],[Order Date]],"mmm-yyyy")</f>
        <v>Sep-2025</v>
      </c>
      <c r="S40">
        <f>YEAR(SalesData[[#This Row],[Order Date]])</f>
        <v>2025</v>
      </c>
      <c r="T40" t="str">
        <f>IF(SalesData[[#This Row],[Profit Margin]]&gt;=30%,"High",IF(SalesData[[#This Row],[Profit Margin]]&gt;=15%,"Medium","Low"))</f>
        <v>High</v>
      </c>
    </row>
    <row r="41" spans="1:20" x14ac:dyDescent="0.35">
      <c r="A41" t="s">
        <v>146</v>
      </c>
      <c r="B41" s="23" t="s">
        <v>147</v>
      </c>
      <c r="C41" t="s">
        <v>148</v>
      </c>
      <c r="D41" t="s">
        <v>17</v>
      </c>
      <c r="E41" t="s">
        <v>32</v>
      </c>
      <c r="F41" t="s">
        <v>45</v>
      </c>
      <c r="G41" t="s">
        <v>122</v>
      </c>
      <c r="H41" t="s">
        <v>33</v>
      </c>
      <c r="I41">
        <v>10</v>
      </c>
      <c r="J41" s="4">
        <v>1500</v>
      </c>
      <c r="K41" s="6">
        <v>0.1</v>
      </c>
      <c r="L41" s="8">
        <v>13500</v>
      </c>
      <c r="M41" s="8">
        <v>9000</v>
      </c>
      <c r="N41" s="8">
        <v>4500</v>
      </c>
      <c r="O41" s="8">
        <f>SalesData[[#This Row],[Quantity]]*SalesData[[#This Row],[Unit Price]]*(1-SalesData[[#This Row],[Discount]])</f>
        <v>13500</v>
      </c>
      <c r="P41" s="8">
        <f>SalesData[[#This Row],[Sales_Check]]-SalesData[[#This Row],[Cost]]</f>
        <v>4500</v>
      </c>
      <c r="Q41" s="13">
        <f>IFERROR(SalesData[[#This Row],[Profit]]/SalesData[[#This Row],[Sales]],0)</f>
        <v>0.33333333333333331</v>
      </c>
      <c r="R41" t="str">
        <f>TEXT(SalesData[[#This Row],[Order Date]],"mmm-yyyy")</f>
        <v>Sep-2025</v>
      </c>
      <c r="S41">
        <f>YEAR(SalesData[[#This Row],[Order Date]])</f>
        <v>2025</v>
      </c>
      <c r="T41" t="str">
        <f>IF(SalesData[[#This Row],[Profit Margin]]&gt;=30%,"High",IF(SalesData[[#This Row],[Profit Margin]]&gt;=15%,"Medium","Low"))</f>
        <v>High</v>
      </c>
    </row>
    <row r="42" spans="1:20" x14ac:dyDescent="0.35">
      <c r="A42" t="s">
        <v>149</v>
      </c>
      <c r="B42" s="23" t="s">
        <v>147</v>
      </c>
      <c r="C42" t="s">
        <v>79</v>
      </c>
      <c r="D42" t="s">
        <v>54</v>
      </c>
      <c r="E42" t="s">
        <v>107</v>
      </c>
      <c r="F42" t="s">
        <v>27</v>
      </c>
      <c r="G42" t="s">
        <v>51</v>
      </c>
      <c r="H42" t="s">
        <v>21</v>
      </c>
      <c r="I42">
        <v>6</v>
      </c>
      <c r="J42" s="4">
        <v>120</v>
      </c>
      <c r="K42" s="6">
        <v>0</v>
      </c>
      <c r="L42" s="8">
        <v>720</v>
      </c>
      <c r="M42" s="8">
        <v>330</v>
      </c>
      <c r="N42" s="8">
        <v>390</v>
      </c>
      <c r="O42" s="8">
        <f>SalesData[[#This Row],[Quantity]]*SalesData[[#This Row],[Unit Price]]*(1-SalesData[[#This Row],[Discount]])</f>
        <v>720</v>
      </c>
      <c r="P42" s="8">
        <f>SalesData[[#This Row],[Sales_Check]]-SalesData[[#This Row],[Cost]]</f>
        <v>390</v>
      </c>
      <c r="Q42" s="13">
        <f>IFERROR(SalesData[[#This Row],[Profit]]/SalesData[[#This Row],[Sales]],0)</f>
        <v>0.54166666666666663</v>
      </c>
      <c r="R42" t="str">
        <f>TEXT(SalesData[[#This Row],[Order Date]],"mmm-yyyy")</f>
        <v>Sep-2025</v>
      </c>
      <c r="S42">
        <f>YEAR(SalesData[[#This Row],[Order Date]])</f>
        <v>2025</v>
      </c>
      <c r="T42" t="str">
        <f>IF(SalesData[[#This Row],[Profit Margin]]&gt;=30%,"High",IF(SalesData[[#This Row],[Profit Margin]]&gt;=15%,"Medium","Low"))</f>
        <v>High</v>
      </c>
    </row>
    <row r="43" spans="1:20" x14ac:dyDescent="0.35">
      <c r="A43" t="s">
        <v>150</v>
      </c>
      <c r="B43" s="23" t="s">
        <v>151</v>
      </c>
      <c r="C43" t="s">
        <v>152</v>
      </c>
      <c r="D43" t="s">
        <v>17</v>
      </c>
      <c r="E43" t="s">
        <v>124</v>
      </c>
      <c r="F43" t="s">
        <v>19</v>
      </c>
      <c r="G43" t="s">
        <v>56</v>
      </c>
      <c r="H43" t="s">
        <v>47</v>
      </c>
      <c r="I43">
        <v>2</v>
      </c>
      <c r="J43" s="4">
        <v>1200</v>
      </c>
      <c r="K43" s="6">
        <v>0.05</v>
      </c>
      <c r="L43" s="8">
        <v>2280</v>
      </c>
      <c r="M43" s="8">
        <v>1440</v>
      </c>
      <c r="N43" s="8">
        <v>840</v>
      </c>
      <c r="O43" s="8">
        <f>SalesData[[#This Row],[Quantity]]*SalesData[[#This Row],[Unit Price]]*(1-SalesData[[#This Row],[Discount]])</f>
        <v>2280</v>
      </c>
      <c r="P43" s="8">
        <f>SalesData[[#This Row],[Sales_Check]]-SalesData[[#This Row],[Cost]]</f>
        <v>840</v>
      </c>
      <c r="Q43" s="13">
        <f>IFERROR(SalesData[[#This Row],[Profit]]/SalesData[[#This Row],[Sales]],0)</f>
        <v>0.36842105263157893</v>
      </c>
      <c r="R43" t="str">
        <f>TEXT(SalesData[[#This Row],[Order Date]],"mmm-yyyy")</f>
        <v>Sep-2025</v>
      </c>
      <c r="S43">
        <f>YEAR(SalesData[[#This Row],[Order Date]])</f>
        <v>2025</v>
      </c>
      <c r="T43" t="str">
        <f>IF(SalesData[[#This Row],[Profit Margin]]&gt;=30%,"High",IF(SalesData[[#This Row],[Profit Margin]]&gt;=15%,"Medium","Low"))</f>
        <v>High</v>
      </c>
    </row>
    <row r="44" spans="1:20" x14ac:dyDescent="0.35">
      <c r="A44" t="s">
        <v>153</v>
      </c>
      <c r="B44" s="23" t="s">
        <v>154</v>
      </c>
      <c r="C44" t="s">
        <v>155</v>
      </c>
      <c r="D44" t="s">
        <v>43</v>
      </c>
      <c r="E44" t="s">
        <v>62</v>
      </c>
      <c r="F44" t="s">
        <v>27</v>
      </c>
      <c r="G44" t="s">
        <v>28</v>
      </c>
      <c r="H44" t="s">
        <v>47</v>
      </c>
      <c r="I44">
        <v>3</v>
      </c>
      <c r="J44" s="4">
        <v>500</v>
      </c>
      <c r="K44" s="6">
        <v>0.05</v>
      </c>
      <c r="L44" s="8">
        <v>1425</v>
      </c>
      <c r="M44" s="8">
        <v>840</v>
      </c>
      <c r="N44" s="8">
        <v>585</v>
      </c>
      <c r="O44" s="8">
        <f>SalesData[[#This Row],[Quantity]]*SalesData[[#This Row],[Unit Price]]*(1-SalesData[[#This Row],[Discount]])</f>
        <v>1425</v>
      </c>
      <c r="P44" s="8">
        <f>SalesData[[#This Row],[Sales_Check]]-SalesData[[#This Row],[Cost]]</f>
        <v>585</v>
      </c>
      <c r="Q44" s="13">
        <f>IFERROR(SalesData[[#This Row],[Profit]]/SalesData[[#This Row],[Sales]],0)</f>
        <v>0.41052631578947368</v>
      </c>
      <c r="R44" t="str">
        <f>TEXT(SalesData[[#This Row],[Order Date]],"mmm-yyyy")</f>
        <v>Sep-2025</v>
      </c>
      <c r="S44">
        <f>YEAR(SalesData[[#This Row],[Order Date]])</f>
        <v>2025</v>
      </c>
      <c r="T44" t="str">
        <f>IF(SalesData[[#This Row],[Profit Margin]]&gt;=30%,"High",IF(SalesData[[#This Row],[Profit Margin]]&gt;=15%,"Medium","Low"))</f>
        <v>High</v>
      </c>
    </row>
    <row r="45" spans="1:20" x14ac:dyDescent="0.35">
      <c r="A45" t="s">
        <v>156</v>
      </c>
      <c r="B45" s="23" t="s">
        <v>154</v>
      </c>
      <c r="C45" t="s">
        <v>142</v>
      </c>
      <c r="D45" t="s">
        <v>17</v>
      </c>
      <c r="E45" t="s">
        <v>18</v>
      </c>
      <c r="F45" t="s">
        <v>27</v>
      </c>
      <c r="G45" t="s">
        <v>28</v>
      </c>
      <c r="H45" t="s">
        <v>39</v>
      </c>
      <c r="I45">
        <v>9</v>
      </c>
      <c r="J45" s="4">
        <v>1800</v>
      </c>
      <c r="K45" s="6">
        <v>0</v>
      </c>
      <c r="L45" s="8">
        <v>16200</v>
      </c>
      <c r="M45" s="8">
        <v>9900</v>
      </c>
      <c r="N45" s="8">
        <v>6300</v>
      </c>
      <c r="O45" s="8">
        <f>SalesData[[#This Row],[Quantity]]*SalesData[[#This Row],[Unit Price]]*(1-SalesData[[#This Row],[Discount]])</f>
        <v>16200</v>
      </c>
      <c r="P45" s="8">
        <f>SalesData[[#This Row],[Sales_Check]]-SalesData[[#This Row],[Cost]]</f>
        <v>6300</v>
      </c>
      <c r="Q45" s="13">
        <f>IFERROR(SalesData[[#This Row],[Profit]]/SalesData[[#This Row],[Sales]],0)</f>
        <v>0.3888888888888889</v>
      </c>
      <c r="R45" t="str">
        <f>TEXT(SalesData[[#This Row],[Order Date]],"mmm-yyyy")</f>
        <v>Sep-2025</v>
      </c>
      <c r="S45">
        <f>YEAR(SalesData[[#This Row],[Order Date]])</f>
        <v>2025</v>
      </c>
      <c r="T45" t="str">
        <f>IF(SalesData[[#This Row],[Profit Margin]]&gt;=30%,"High",IF(SalesData[[#This Row],[Profit Margin]]&gt;=15%,"Medium","Low"))</f>
        <v>High</v>
      </c>
    </row>
    <row r="46" spans="1:20" x14ac:dyDescent="0.35">
      <c r="A46" t="s">
        <v>157</v>
      </c>
      <c r="B46" s="23" t="s">
        <v>154</v>
      </c>
      <c r="C46" t="s">
        <v>158</v>
      </c>
      <c r="D46" t="s">
        <v>25</v>
      </c>
      <c r="E46" t="s">
        <v>89</v>
      </c>
      <c r="F46" t="s">
        <v>19</v>
      </c>
      <c r="G46" t="s">
        <v>113</v>
      </c>
      <c r="H46" t="s">
        <v>47</v>
      </c>
      <c r="I46">
        <v>5</v>
      </c>
      <c r="J46" s="4">
        <v>550</v>
      </c>
      <c r="K46" s="6">
        <v>0</v>
      </c>
      <c r="L46" s="8">
        <v>2750</v>
      </c>
      <c r="M46" s="8">
        <v>1500</v>
      </c>
      <c r="N46" s="8">
        <v>1250</v>
      </c>
      <c r="O46" s="8">
        <f>SalesData[[#This Row],[Quantity]]*SalesData[[#This Row],[Unit Price]]*(1-SalesData[[#This Row],[Discount]])</f>
        <v>2750</v>
      </c>
      <c r="P46" s="8">
        <f>SalesData[[#This Row],[Sales_Check]]-SalesData[[#This Row],[Cost]]</f>
        <v>1250</v>
      </c>
      <c r="Q46" s="13">
        <f>IFERROR(SalesData[[#This Row],[Profit]]/SalesData[[#This Row],[Sales]],0)</f>
        <v>0.45454545454545453</v>
      </c>
      <c r="R46" t="str">
        <f>TEXT(SalesData[[#This Row],[Order Date]],"mmm-yyyy")</f>
        <v>Sep-2025</v>
      </c>
      <c r="S46">
        <f>YEAR(SalesData[[#This Row],[Order Date]])</f>
        <v>2025</v>
      </c>
      <c r="T46" t="str">
        <f>IF(SalesData[[#This Row],[Profit Margin]]&gt;=30%,"High",IF(SalesData[[#This Row],[Profit Margin]]&gt;=15%,"Medium","Low"))</f>
        <v>High</v>
      </c>
    </row>
    <row r="47" spans="1:20" x14ac:dyDescent="0.35">
      <c r="A47" t="s">
        <v>159</v>
      </c>
      <c r="B47" s="23" t="s">
        <v>160</v>
      </c>
      <c r="C47" t="s">
        <v>161</v>
      </c>
      <c r="D47" t="s">
        <v>25</v>
      </c>
      <c r="E47" t="s">
        <v>89</v>
      </c>
      <c r="F47" t="s">
        <v>37</v>
      </c>
      <c r="G47" t="s">
        <v>38</v>
      </c>
      <c r="H47" t="s">
        <v>21</v>
      </c>
      <c r="I47">
        <v>8</v>
      </c>
      <c r="J47" s="4">
        <v>550</v>
      </c>
      <c r="K47" s="6">
        <v>0</v>
      </c>
      <c r="L47" s="8">
        <v>4400</v>
      </c>
      <c r="M47" s="8">
        <v>2400</v>
      </c>
      <c r="N47" s="8">
        <v>2000</v>
      </c>
      <c r="O47" s="8">
        <f>SalesData[[#This Row],[Quantity]]*SalesData[[#This Row],[Unit Price]]*(1-SalesData[[#This Row],[Discount]])</f>
        <v>4400</v>
      </c>
      <c r="P47" s="8">
        <f>SalesData[[#This Row],[Sales_Check]]-SalesData[[#This Row],[Cost]]</f>
        <v>2000</v>
      </c>
      <c r="Q47" s="13">
        <f>IFERROR(SalesData[[#This Row],[Profit]]/SalesData[[#This Row],[Sales]],0)</f>
        <v>0.45454545454545453</v>
      </c>
      <c r="R47" t="str">
        <f>TEXT(SalesData[[#This Row],[Order Date]],"mmm-yyyy")</f>
        <v>Sep-2025</v>
      </c>
      <c r="S47">
        <f>YEAR(SalesData[[#This Row],[Order Date]])</f>
        <v>2025</v>
      </c>
      <c r="T47" t="str">
        <f>IF(SalesData[[#This Row],[Profit Margin]]&gt;=30%,"High",IF(SalesData[[#This Row],[Profit Margin]]&gt;=15%,"Medium","Low"))</f>
        <v>High</v>
      </c>
    </row>
    <row r="48" spans="1:20" x14ac:dyDescent="0.35">
      <c r="A48" t="s">
        <v>162</v>
      </c>
      <c r="B48" s="23" t="s">
        <v>160</v>
      </c>
      <c r="C48" t="s">
        <v>163</v>
      </c>
      <c r="D48" t="s">
        <v>17</v>
      </c>
      <c r="E48" t="s">
        <v>50</v>
      </c>
      <c r="F48" t="s">
        <v>37</v>
      </c>
      <c r="G48" t="s">
        <v>140</v>
      </c>
      <c r="H48" t="s">
        <v>125</v>
      </c>
      <c r="I48">
        <v>5</v>
      </c>
      <c r="J48" s="4">
        <v>650</v>
      </c>
      <c r="K48" s="6">
        <v>0</v>
      </c>
      <c r="L48" s="8">
        <v>3250</v>
      </c>
      <c r="M48" s="8">
        <v>1900</v>
      </c>
      <c r="N48" s="8">
        <v>1350</v>
      </c>
      <c r="O48" s="8">
        <f>SalesData[[#This Row],[Quantity]]*SalesData[[#This Row],[Unit Price]]*(1-SalesData[[#This Row],[Discount]])</f>
        <v>3250</v>
      </c>
      <c r="P48" s="8">
        <f>SalesData[[#This Row],[Sales_Check]]-SalesData[[#This Row],[Cost]]</f>
        <v>1350</v>
      </c>
      <c r="Q48" s="13">
        <f>IFERROR(SalesData[[#This Row],[Profit]]/SalesData[[#This Row],[Sales]],0)</f>
        <v>0.41538461538461541</v>
      </c>
      <c r="R48" t="str">
        <f>TEXT(SalesData[[#This Row],[Order Date]],"mmm-yyyy")</f>
        <v>Sep-2025</v>
      </c>
      <c r="S48">
        <f>YEAR(SalesData[[#This Row],[Order Date]])</f>
        <v>2025</v>
      </c>
      <c r="T48" t="str">
        <f>IF(SalesData[[#This Row],[Profit Margin]]&gt;=30%,"High",IF(SalesData[[#This Row],[Profit Margin]]&gt;=15%,"Medium","Low"))</f>
        <v>High</v>
      </c>
    </row>
    <row r="49" spans="1:20" x14ac:dyDescent="0.35">
      <c r="A49" t="s">
        <v>164</v>
      </c>
      <c r="B49" s="23" t="s">
        <v>160</v>
      </c>
      <c r="C49" t="s">
        <v>165</v>
      </c>
      <c r="D49" t="s">
        <v>17</v>
      </c>
      <c r="E49" t="s">
        <v>32</v>
      </c>
      <c r="F49" t="s">
        <v>37</v>
      </c>
      <c r="G49" t="s">
        <v>97</v>
      </c>
      <c r="H49" t="s">
        <v>125</v>
      </c>
      <c r="I49">
        <v>3</v>
      </c>
      <c r="J49" s="4">
        <v>1500</v>
      </c>
      <c r="K49" s="6">
        <v>0</v>
      </c>
      <c r="L49" s="8">
        <v>4500</v>
      </c>
      <c r="M49" s="8">
        <v>2700</v>
      </c>
      <c r="N49" s="8">
        <v>1800</v>
      </c>
      <c r="O49" s="8">
        <f>SalesData[[#This Row],[Quantity]]*SalesData[[#This Row],[Unit Price]]*(1-SalesData[[#This Row],[Discount]])</f>
        <v>4500</v>
      </c>
      <c r="P49" s="8">
        <f>SalesData[[#This Row],[Sales_Check]]-SalesData[[#This Row],[Cost]]</f>
        <v>1800</v>
      </c>
      <c r="Q49" s="13">
        <f>IFERROR(SalesData[[#This Row],[Profit]]/SalesData[[#This Row],[Sales]],0)</f>
        <v>0.4</v>
      </c>
      <c r="R49" t="str">
        <f>TEXT(SalesData[[#This Row],[Order Date]],"mmm-yyyy")</f>
        <v>Sep-2025</v>
      </c>
      <c r="S49">
        <f>YEAR(SalesData[[#This Row],[Order Date]])</f>
        <v>2025</v>
      </c>
      <c r="T49" t="str">
        <f>IF(SalesData[[#This Row],[Profit Margin]]&gt;=30%,"High",IF(SalesData[[#This Row],[Profit Margin]]&gt;=15%,"Medium","Low"))</f>
        <v>High</v>
      </c>
    </row>
    <row r="50" spans="1:20" x14ac:dyDescent="0.35">
      <c r="A50" t="s">
        <v>166</v>
      </c>
      <c r="B50" s="23" t="s">
        <v>167</v>
      </c>
      <c r="C50" t="s">
        <v>168</v>
      </c>
      <c r="D50" t="s">
        <v>43</v>
      </c>
      <c r="E50" t="s">
        <v>169</v>
      </c>
      <c r="F50" t="s">
        <v>37</v>
      </c>
      <c r="G50" t="s">
        <v>140</v>
      </c>
      <c r="H50" t="s">
        <v>39</v>
      </c>
      <c r="I50">
        <v>7</v>
      </c>
      <c r="J50" s="4">
        <v>350</v>
      </c>
      <c r="K50" s="6">
        <v>0.05</v>
      </c>
      <c r="L50" s="8">
        <v>2327.5</v>
      </c>
      <c r="M50" s="8">
        <v>1190</v>
      </c>
      <c r="N50" s="8">
        <v>1137.5</v>
      </c>
      <c r="O50" s="8">
        <f>SalesData[[#This Row],[Quantity]]*SalesData[[#This Row],[Unit Price]]*(1-SalesData[[#This Row],[Discount]])</f>
        <v>2327.5</v>
      </c>
      <c r="P50" s="8">
        <f>SalesData[[#This Row],[Sales_Check]]-SalesData[[#This Row],[Cost]]</f>
        <v>1137.5</v>
      </c>
      <c r="Q50" s="13">
        <f>IFERROR(SalesData[[#This Row],[Profit]]/SalesData[[#This Row],[Sales]],0)</f>
        <v>0.48872180451127817</v>
      </c>
      <c r="R50" t="str">
        <f>TEXT(SalesData[[#This Row],[Order Date]],"mmm-yyyy")</f>
        <v>Sep-2025</v>
      </c>
      <c r="S50">
        <f>YEAR(SalesData[[#This Row],[Order Date]])</f>
        <v>2025</v>
      </c>
      <c r="T50" t="str">
        <f>IF(SalesData[[#This Row],[Profit Margin]]&gt;=30%,"High",IF(SalesData[[#This Row],[Profit Margin]]&gt;=15%,"Medium","Low"))</f>
        <v>High</v>
      </c>
    </row>
    <row r="51" spans="1:20" x14ac:dyDescent="0.35">
      <c r="A51" t="s">
        <v>170</v>
      </c>
      <c r="B51" s="23" t="s">
        <v>167</v>
      </c>
      <c r="C51" t="s">
        <v>171</v>
      </c>
      <c r="D51" t="s">
        <v>17</v>
      </c>
      <c r="E51" t="s">
        <v>124</v>
      </c>
      <c r="F51" t="s">
        <v>27</v>
      </c>
      <c r="G51" t="s">
        <v>51</v>
      </c>
      <c r="H51" t="s">
        <v>125</v>
      </c>
      <c r="I51">
        <v>1</v>
      </c>
      <c r="J51" s="4">
        <v>1200</v>
      </c>
      <c r="K51" s="6">
        <v>0</v>
      </c>
      <c r="L51" s="8">
        <v>1200</v>
      </c>
      <c r="M51" s="8">
        <v>720</v>
      </c>
      <c r="N51" s="8">
        <v>480</v>
      </c>
      <c r="O51" s="8">
        <f>SalesData[[#This Row],[Quantity]]*SalesData[[#This Row],[Unit Price]]*(1-SalesData[[#This Row],[Discount]])</f>
        <v>1200</v>
      </c>
      <c r="P51" s="8">
        <f>SalesData[[#This Row],[Sales_Check]]-SalesData[[#This Row],[Cost]]</f>
        <v>480</v>
      </c>
      <c r="Q51" s="13">
        <f>IFERROR(SalesData[[#This Row],[Profit]]/SalesData[[#This Row],[Sales]],0)</f>
        <v>0.4</v>
      </c>
      <c r="R51" t="str">
        <f>TEXT(SalesData[[#This Row],[Order Date]],"mmm-yyyy")</f>
        <v>Sep-2025</v>
      </c>
      <c r="S51">
        <f>YEAR(SalesData[[#This Row],[Order Date]])</f>
        <v>2025</v>
      </c>
      <c r="T51" t="str">
        <f>IF(SalesData[[#This Row],[Profit Margin]]&gt;=30%,"High",IF(SalesData[[#This Row],[Profit Margin]]&gt;=15%,"Medium","Low"))</f>
        <v>High</v>
      </c>
    </row>
    <row r="52" spans="1:20" x14ac:dyDescent="0.35">
      <c r="A52" t="s">
        <v>172</v>
      </c>
      <c r="B52" s="23" t="s">
        <v>167</v>
      </c>
      <c r="C52" t="s">
        <v>173</v>
      </c>
      <c r="D52" t="s">
        <v>17</v>
      </c>
      <c r="E52" t="s">
        <v>50</v>
      </c>
      <c r="F52" t="s">
        <v>27</v>
      </c>
      <c r="G52" t="s">
        <v>51</v>
      </c>
      <c r="H52" t="s">
        <v>125</v>
      </c>
      <c r="I52">
        <v>2</v>
      </c>
      <c r="J52" s="4">
        <v>650</v>
      </c>
      <c r="K52" s="6">
        <v>0</v>
      </c>
      <c r="L52" s="8">
        <v>1300</v>
      </c>
      <c r="M52" s="8">
        <v>760</v>
      </c>
      <c r="N52" s="8">
        <v>540</v>
      </c>
      <c r="O52" s="8">
        <f>SalesData[[#This Row],[Quantity]]*SalesData[[#This Row],[Unit Price]]*(1-SalesData[[#This Row],[Discount]])</f>
        <v>1300</v>
      </c>
      <c r="P52" s="8">
        <f>SalesData[[#This Row],[Sales_Check]]-SalesData[[#This Row],[Cost]]</f>
        <v>540</v>
      </c>
      <c r="Q52" s="13">
        <f>IFERROR(SalesData[[#This Row],[Profit]]/SalesData[[#This Row],[Sales]],0)</f>
        <v>0.41538461538461541</v>
      </c>
      <c r="R52" t="str">
        <f>TEXT(SalesData[[#This Row],[Order Date]],"mmm-yyyy")</f>
        <v>Sep-2025</v>
      </c>
      <c r="S52">
        <f>YEAR(SalesData[[#This Row],[Order Date]])</f>
        <v>2025</v>
      </c>
      <c r="T52" t="str">
        <f>IF(SalesData[[#This Row],[Profit Margin]]&gt;=30%,"High",IF(SalesData[[#This Row],[Profit Margin]]&gt;=15%,"Medium","Low"))</f>
        <v>High</v>
      </c>
    </row>
    <row r="53" spans="1:20" x14ac:dyDescent="0.35">
      <c r="A53" t="s">
        <v>174</v>
      </c>
      <c r="B53" s="23" t="s">
        <v>167</v>
      </c>
      <c r="C53" t="s">
        <v>175</v>
      </c>
      <c r="D53" t="s">
        <v>25</v>
      </c>
      <c r="E53" t="s">
        <v>26</v>
      </c>
      <c r="F53" t="s">
        <v>37</v>
      </c>
      <c r="G53" t="s">
        <v>38</v>
      </c>
      <c r="H53" t="s">
        <v>29</v>
      </c>
      <c r="I53">
        <v>7</v>
      </c>
      <c r="J53" s="4">
        <v>600</v>
      </c>
      <c r="K53" s="6">
        <v>0</v>
      </c>
      <c r="L53" s="8">
        <v>4200</v>
      </c>
      <c r="M53" s="8">
        <v>2310</v>
      </c>
      <c r="N53" s="8">
        <v>1890</v>
      </c>
      <c r="O53" s="8">
        <f>SalesData[[#This Row],[Quantity]]*SalesData[[#This Row],[Unit Price]]*(1-SalesData[[#This Row],[Discount]])</f>
        <v>4200</v>
      </c>
      <c r="P53" s="8">
        <f>SalesData[[#This Row],[Sales_Check]]-SalesData[[#This Row],[Cost]]</f>
        <v>1890</v>
      </c>
      <c r="Q53" s="13">
        <f>IFERROR(SalesData[[#This Row],[Profit]]/SalesData[[#This Row],[Sales]],0)</f>
        <v>0.45</v>
      </c>
      <c r="R53" t="str">
        <f>TEXT(SalesData[[#This Row],[Order Date]],"mmm-yyyy")</f>
        <v>Sep-2025</v>
      </c>
      <c r="S53">
        <f>YEAR(SalesData[[#This Row],[Order Date]])</f>
        <v>2025</v>
      </c>
      <c r="T53" t="str">
        <f>IF(SalesData[[#This Row],[Profit Margin]]&gt;=30%,"High",IF(SalesData[[#This Row],[Profit Margin]]&gt;=15%,"Medium","Low"))</f>
        <v>High</v>
      </c>
    </row>
    <row r="54" spans="1:20" x14ac:dyDescent="0.35">
      <c r="A54" t="s">
        <v>176</v>
      </c>
      <c r="B54" s="23" t="s">
        <v>177</v>
      </c>
      <c r="C54" t="s">
        <v>178</v>
      </c>
      <c r="D54" t="s">
        <v>54</v>
      </c>
      <c r="E54" t="s">
        <v>103</v>
      </c>
      <c r="F54" t="s">
        <v>27</v>
      </c>
      <c r="G54" t="s">
        <v>85</v>
      </c>
      <c r="H54" t="s">
        <v>21</v>
      </c>
      <c r="I54">
        <v>6</v>
      </c>
      <c r="J54" s="4">
        <v>150</v>
      </c>
      <c r="K54" s="6">
        <v>0</v>
      </c>
      <c r="L54" s="8">
        <v>900</v>
      </c>
      <c r="M54" s="8">
        <v>450</v>
      </c>
      <c r="N54" s="8">
        <v>450</v>
      </c>
      <c r="O54" s="8">
        <f>SalesData[[#This Row],[Quantity]]*SalesData[[#This Row],[Unit Price]]*(1-SalesData[[#This Row],[Discount]])</f>
        <v>900</v>
      </c>
      <c r="P54" s="8">
        <f>SalesData[[#This Row],[Sales_Check]]-SalesData[[#This Row],[Cost]]</f>
        <v>450</v>
      </c>
      <c r="Q54" s="13">
        <f>IFERROR(SalesData[[#This Row],[Profit]]/SalesData[[#This Row],[Sales]],0)</f>
        <v>0.5</v>
      </c>
      <c r="R54" t="str">
        <f>TEXT(SalesData[[#This Row],[Order Date]],"mmm-yyyy")</f>
        <v>Sep-2025</v>
      </c>
      <c r="S54">
        <f>YEAR(SalesData[[#This Row],[Order Date]])</f>
        <v>2025</v>
      </c>
      <c r="T54" t="str">
        <f>IF(SalesData[[#This Row],[Profit Margin]]&gt;=30%,"High",IF(SalesData[[#This Row],[Profit Margin]]&gt;=15%,"Medium","Low"))</f>
        <v>High</v>
      </c>
    </row>
    <row r="55" spans="1:20" x14ac:dyDescent="0.35">
      <c r="A55" t="s">
        <v>179</v>
      </c>
      <c r="B55" s="23" t="s">
        <v>177</v>
      </c>
      <c r="C55" t="s">
        <v>180</v>
      </c>
      <c r="D55" t="s">
        <v>54</v>
      </c>
      <c r="E55" t="s">
        <v>103</v>
      </c>
      <c r="F55" t="s">
        <v>27</v>
      </c>
      <c r="G55" t="s">
        <v>51</v>
      </c>
      <c r="H55" t="s">
        <v>33</v>
      </c>
      <c r="I55">
        <v>9</v>
      </c>
      <c r="J55" s="4">
        <v>150</v>
      </c>
      <c r="K55" s="6">
        <v>0</v>
      </c>
      <c r="L55" s="8">
        <v>1350</v>
      </c>
      <c r="M55" s="8">
        <v>675</v>
      </c>
      <c r="N55" s="8">
        <v>675</v>
      </c>
      <c r="O55" s="8">
        <f>SalesData[[#This Row],[Quantity]]*SalesData[[#This Row],[Unit Price]]*(1-SalesData[[#This Row],[Discount]])</f>
        <v>1350</v>
      </c>
      <c r="P55" s="8">
        <f>SalesData[[#This Row],[Sales_Check]]-SalesData[[#This Row],[Cost]]</f>
        <v>675</v>
      </c>
      <c r="Q55" s="13">
        <f>IFERROR(SalesData[[#This Row],[Profit]]/SalesData[[#This Row],[Sales]],0)</f>
        <v>0.5</v>
      </c>
      <c r="R55" t="str">
        <f>TEXT(SalesData[[#This Row],[Order Date]],"mmm-yyyy")</f>
        <v>Sep-2025</v>
      </c>
      <c r="S55">
        <f>YEAR(SalesData[[#This Row],[Order Date]])</f>
        <v>2025</v>
      </c>
      <c r="T55" t="str">
        <f>IF(SalesData[[#This Row],[Profit Margin]]&gt;=30%,"High",IF(SalesData[[#This Row],[Profit Margin]]&gt;=15%,"Medium","Low"))</f>
        <v>High</v>
      </c>
    </row>
    <row r="56" spans="1:20" x14ac:dyDescent="0.35">
      <c r="A56" t="s">
        <v>181</v>
      </c>
      <c r="B56" s="23" t="s">
        <v>177</v>
      </c>
      <c r="C56" t="s">
        <v>182</v>
      </c>
      <c r="D56" t="s">
        <v>17</v>
      </c>
      <c r="E56" t="s">
        <v>32</v>
      </c>
      <c r="F56" t="s">
        <v>45</v>
      </c>
      <c r="G56" t="s">
        <v>122</v>
      </c>
      <c r="H56" t="s">
        <v>47</v>
      </c>
      <c r="I56">
        <v>6</v>
      </c>
      <c r="J56" s="4">
        <v>1500</v>
      </c>
      <c r="K56" s="6">
        <v>0.15</v>
      </c>
      <c r="L56" s="8">
        <v>7650</v>
      </c>
      <c r="M56" s="8">
        <v>5400</v>
      </c>
      <c r="N56" s="8">
        <v>2250</v>
      </c>
      <c r="O56" s="8">
        <f>SalesData[[#This Row],[Quantity]]*SalesData[[#This Row],[Unit Price]]*(1-SalesData[[#This Row],[Discount]])</f>
        <v>7650</v>
      </c>
      <c r="P56" s="8">
        <f>SalesData[[#This Row],[Sales_Check]]-SalesData[[#This Row],[Cost]]</f>
        <v>2250</v>
      </c>
      <c r="Q56" s="13">
        <f>IFERROR(SalesData[[#This Row],[Profit]]/SalesData[[#This Row],[Sales]],0)</f>
        <v>0.29411764705882354</v>
      </c>
      <c r="R56" t="str">
        <f>TEXT(SalesData[[#This Row],[Order Date]],"mmm-yyyy")</f>
        <v>Sep-2025</v>
      </c>
      <c r="S56">
        <f>YEAR(SalesData[[#This Row],[Order Date]])</f>
        <v>2025</v>
      </c>
      <c r="T56" t="str">
        <f>IF(SalesData[[#This Row],[Profit Margin]]&gt;=30%,"High",IF(SalesData[[#This Row],[Profit Margin]]&gt;=15%,"Medium","Low"))</f>
        <v>Medium</v>
      </c>
    </row>
    <row r="57" spans="1:20" x14ac:dyDescent="0.35">
      <c r="A57" t="s">
        <v>183</v>
      </c>
      <c r="B57" s="23" t="s">
        <v>184</v>
      </c>
      <c r="C57" t="s">
        <v>185</v>
      </c>
      <c r="D57" t="s">
        <v>17</v>
      </c>
      <c r="E57" t="s">
        <v>50</v>
      </c>
      <c r="F57" t="s">
        <v>45</v>
      </c>
      <c r="G57" t="s">
        <v>46</v>
      </c>
      <c r="H57" t="s">
        <v>39</v>
      </c>
      <c r="I57">
        <v>9</v>
      </c>
      <c r="J57" s="4">
        <v>650</v>
      </c>
      <c r="K57" s="6">
        <v>0.15</v>
      </c>
      <c r="L57" s="8">
        <v>4972.5</v>
      </c>
      <c r="M57" s="8">
        <v>3420</v>
      </c>
      <c r="N57" s="8">
        <v>1552.5</v>
      </c>
      <c r="O57" s="8">
        <f>SalesData[[#This Row],[Quantity]]*SalesData[[#This Row],[Unit Price]]*(1-SalesData[[#This Row],[Discount]])</f>
        <v>4972.5</v>
      </c>
      <c r="P57" s="8">
        <f>SalesData[[#This Row],[Sales_Check]]-SalesData[[#This Row],[Cost]]</f>
        <v>1552.5</v>
      </c>
      <c r="Q57" s="13">
        <f>IFERROR(SalesData[[#This Row],[Profit]]/SalesData[[#This Row],[Sales]],0)</f>
        <v>0.31221719457013575</v>
      </c>
      <c r="R57" t="str">
        <f>TEXT(SalesData[[#This Row],[Order Date]],"mmm-yyyy")</f>
        <v>Sep-2025</v>
      </c>
      <c r="S57">
        <f>YEAR(SalesData[[#This Row],[Order Date]])</f>
        <v>2025</v>
      </c>
      <c r="T57" t="str">
        <f>IF(SalesData[[#This Row],[Profit Margin]]&gt;=30%,"High",IF(SalesData[[#This Row],[Profit Margin]]&gt;=15%,"Medium","Low"))</f>
        <v>High</v>
      </c>
    </row>
    <row r="58" spans="1:20" x14ac:dyDescent="0.35">
      <c r="A58" t="s">
        <v>186</v>
      </c>
      <c r="B58" s="23" t="s">
        <v>184</v>
      </c>
      <c r="C58" t="s">
        <v>187</v>
      </c>
      <c r="D58" t="s">
        <v>43</v>
      </c>
      <c r="E58" t="s">
        <v>169</v>
      </c>
      <c r="F58" t="s">
        <v>37</v>
      </c>
      <c r="G58" t="s">
        <v>73</v>
      </c>
      <c r="H58" t="s">
        <v>39</v>
      </c>
      <c r="I58">
        <v>10</v>
      </c>
      <c r="J58" s="4">
        <v>350</v>
      </c>
      <c r="K58" s="6">
        <v>0</v>
      </c>
      <c r="L58" s="8">
        <v>3500</v>
      </c>
      <c r="M58" s="8">
        <v>1700</v>
      </c>
      <c r="N58" s="8">
        <v>1800</v>
      </c>
      <c r="O58" s="8">
        <f>SalesData[[#This Row],[Quantity]]*SalesData[[#This Row],[Unit Price]]*(1-SalesData[[#This Row],[Discount]])</f>
        <v>3500</v>
      </c>
      <c r="P58" s="8">
        <f>SalesData[[#This Row],[Sales_Check]]-SalesData[[#This Row],[Cost]]</f>
        <v>1800</v>
      </c>
      <c r="Q58" s="13">
        <f>IFERROR(SalesData[[#This Row],[Profit]]/SalesData[[#This Row],[Sales]],0)</f>
        <v>0.51428571428571423</v>
      </c>
      <c r="R58" t="str">
        <f>TEXT(SalesData[[#This Row],[Order Date]],"mmm-yyyy")</f>
        <v>Sep-2025</v>
      </c>
      <c r="S58">
        <f>YEAR(SalesData[[#This Row],[Order Date]])</f>
        <v>2025</v>
      </c>
      <c r="T58" t="str">
        <f>IF(SalesData[[#This Row],[Profit Margin]]&gt;=30%,"High",IF(SalesData[[#This Row],[Profit Margin]]&gt;=15%,"Medium","Low"))</f>
        <v>High</v>
      </c>
    </row>
    <row r="59" spans="1:20" x14ac:dyDescent="0.35">
      <c r="A59" t="s">
        <v>188</v>
      </c>
      <c r="B59" s="23" t="s">
        <v>184</v>
      </c>
      <c r="C59" t="s">
        <v>189</v>
      </c>
      <c r="D59" t="s">
        <v>54</v>
      </c>
      <c r="E59" t="s">
        <v>116</v>
      </c>
      <c r="F59" t="s">
        <v>37</v>
      </c>
      <c r="G59" t="s">
        <v>38</v>
      </c>
      <c r="H59" t="s">
        <v>33</v>
      </c>
      <c r="I59">
        <v>2</v>
      </c>
      <c r="J59" s="4">
        <v>450</v>
      </c>
      <c r="K59" s="6">
        <v>0.1</v>
      </c>
      <c r="L59" s="8">
        <v>810</v>
      </c>
      <c r="M59" s="8">
        <v>500</v>
      </c>
      <c r="N59" s="8">
        <v>310</v>
      </c>
      <c r="O59" s="8">
        <f>SalesData[[#This Row],[Quantity]]*SalesData[[#This Row],[Unit Price]]*(1-SalesData[[#This Row],[Discount]])</f>
        <v>810</v>
      </c>
      <c r="P59" s="8">
        <f>SalesData[[#This Row],[Sales_Check]]-SalesData[[#This Row],[Cost]]</f>
        <v>310</v>
      </c>
      <c r="Q59" s="13">
        <f>IFERROR(SalesData[[#This Row],[Profit]]/SalesData[[#This Row],[Sales]],0)</f>
        <v>0.38271604938271603</v>
      </c>
      <c r="R59" t="str">
        <f>TEXT(SalesData[[#This Row],[Order Date]],"mmm-yyyy")</f>
        <v>Sep-2025</v>
      </c>
      <c r="S59">
        <f>YEAR(SalesData[[#This Row],[Order Date]])</f>
        <v>2025</v>
      </c>
      <c r="T59" t="str">
        <f>IF(SalesData[[#This Row],[Profit Margin]]&gt;=30%,"High",IF(SalesData[[#This Row],[Profit Margin]]&gt;=15%,"Medium","Low"))</f>
        <v>High</v>
      </c>
    </row>
    <row r="60" spans="1:20" x14ac:dyDescent="0.35">
      <c r="A60" t="s">
        <v>190</v>
      </c>
      <c r="B60" s="23" t="s">
        <v>191</v>
      </c>
      <c r="C60" t="s">
        <v>192</v>
      </c>
      <c r="D60" t="s">
        <v>54</v>
      </c>
      <c r="E60" t="s">
        <v>116</v>
      </c>
      <c r="F60" t="s">
        <v>37</v>
      </c>
      <c r="G60" t="s">
        <v>140</v>
      </c>
      <c r="H60" t="s">
        <v>29</v>
      </c>
      <c r="I60">
        <v>1</v>
      </c>
      <c r="J60" s="4">
        <v>450</v>
      </c>
      <c r="K60" s="6">
        <v>0.05</v>
      </c>
      <c r="L60" s="8">
        <v>427.5</v>
      </c>
      <c r="M60" s="8">
        <v>250</v>
      </c>
      <c r="N60" s="8">
        <v>177.5</v>
      </c>
      <c r="O60" s="8">
        <f>SalesData[[#This Row],[Quantity]]*SalesData[[#This Row],[Unit Price]]*(1-SalesData[[#This Row],[Discount]])</f>
        <v>427.5</v>
      </c>
      <c r="P60" s="8">
        <f>SalesData[[#This Row],[Sales_Check]]-SalesData[[#This Row],[Cost]]</f>
        <v>177.5</v>
      </c>
      <c r="Q60" s="13">
        <f>IFERROR(SalesData[[#This Row],[Profit]]/SalesData[[#This Row],[Sales]],0)</f>
        <v>0.41520467836257308</v>
      </c>
      <c r="R60" t="str">
        <f>TEXT(SalesData[[#This Row],[Order Date]],"mmm-yyyy")</f>
        <v>Sep-2025</v>
      </c>
      <c r="S60">
        <f>YEAR(SalesData[[#This Row],[Order Date]])</f>
        <v>2025</v>
      </c>
      <c r="T60" t="str">
        <f>IF(SalesData[[#This Row],[Profit Margin]]&gt;=30%,"High",IF(SalesData[[#This Row],[Profit Margin]]&gt;=15%,"Medium","Low"))</f>
        <v>High</v>
      </c>
    </row>
    <row r="61" spans="1:20" x14ac:dyDescent="0.35">
      <c r="A61" t="s">
        <v>193</v>
      </c>
      <c r="B61" s="23" t="s">
        <v>191</v>
      </c>
      <c r="C61" t="s">
        <v>194</v>
      </c>
      <c r="D61" t="s">
        <v>17</v>
      </c>
      <c r="E61" t="s">
        <v>65</v>
      </c>
      <c r="F61" t="s">
        <v>45</v>
      </c>
      <c r="G61" t="s">
        <v>104</v>
      </c>
      <c r="H61" t="s">
        <v>39</v>
      </c>
      <c r="I61">
        <v>10</v>
      </c>
      <c r="J61" s="4">
        <v>2200</v>
      </c>
      <c r="K61" s="6">
        <v>0.05</v>
      </c>
      <c r="L61" s="8">
        <v>20900</v>
      </c>
      <c r="M61" s="8">
        <v>14000</v>
      </c>
      <c r="N61" s="8">
        <v>6900</v>
      </c>
      <c r="O61" s="8">
        <f>SalesData[[#This Row],[Quantity]]*SalesData[[#This Row],[Unit Price]]*(1-SalesData[[#This Row],[Discount]])</f>
        <v>20900</v>
      </c>
      <c r="P61" s="8">
        <f>SalesData[[#This Row],[Sales_Check]]-SalesData[[#This Row],[Cost]]</f>
        <v>6900</v>
      </c>
      <c r="Q61" s="13">
        <f>IFERROR(SalesData[[#This Row],[Profit]]/SalesData[[#This Row],[Sales]],0)</f>
        <v>0.33014354066985646</v>
      </c>
      <c r="R61" t="str">
        <f>TEXT(SalesData[[#This Row],[Order Date]],"mmm-yyyy")</f>
        <v>Sep-2025</v>
      </c>
      <c r="S61">
        <f>YEAR(SalesData[[#This Row],[Order Date]])</f>
        <v>2025</v>
      </c>
      <c r="T61" t="str">
        <f>IF(SalesData[[#This Row],[Profit Margin]]&gt;=30%,"High",IF(SalesData[[#This Row],[Profit Margin]]&gt;=15%,"Medium","Low"))</f>
        <v>High</v>
      </c>
    </row>
    <row r="62" spans="1:20" x14ac:dyDescent="0.35">
      <c r="A62" t="s">
        <v>195</v>
      </c>
      <c r="B62" s="23" t="s">
        <v>191</v>
      </c>
      <c r="C62" t="s">
        <v>196</v>
      </c>
      <c r="D62" t="s">
        <v>17</v>
      </c>
      <c r="E62" t="s">
        <v>124</v>
      </c>
      <c r="F62" t="s">
        <v>37</v>
      </c>
      <c r="G62" t="s">
        <v>73</v>
      </c>
      <c r="H62" t="s">
        <v>47</v>
      </c>
      <c r="I62">
        <v>5</v>
      </c>
      <c r="J62" s="4">
        <v>1200</v>
      </c>
      <c r="K62" s="6">
        <v>0</v>
      </c>
      <c r="L62" s="8">
        <v>6000</v>
      </c>
      <c r="M62" s="8">
        <v>3600</v>
      </c>
      <c r="N62" s="8">
        <v>2400</v>
      </c>
      <c r="O62" s="8">
        <f>SalesData[[#This Row],[Quantity]]*SalesData[[#This Row],[Unit Price]]*(1-SalesData[[#This Row],[Discount]])</f>
        <v>6000</v>
      </c>
      <c r="P62" s="8">
        <f>SalesData[[#This Row],[Sales_Check]]-SalesData[[#This Row],[Cost]]</f>
        <v>2400</v>
      </c>
      <c r="Q62" s="13">
        <f>IFERROR(SalesData[[#This Row],[Profit]]/SalesData[[#This Row],[Sales]],0)</f>
        <v>0.4</v>
      </c>
      <c r="R62" t="str">
        <f>TEXT(SalesData[[#This Row],[Order Date]],"mmm-yyyy")</f>
        <v>Sep-2025</v>
      </c>
      <c r="S62">
        <f>YEAR(SalesData[[#This Row],[Order Date]])</f>
        <v>2025</v>
      </c>
      <c r="T62" t="str">
        <f>IF(SalesData[[#This Row],[Profit Margin]]&gt;=30%,"High",IF(SalesData[[#This Row],[Profit Margin]]&gt;=15%,"Medium","Low"))</f>
        <v>High</v>
      </c>
    </row>
    <row r="63" spans="1:20" x14ac:dyDescent="0.35">
      <c r="A63" t="s">
        <v>197</v>
      </c>
      <c r="B63" s="23" t="s">
        <v>191</v>
      </c>
      <c r="C63" t="s">
        <v>198</v>
      </c>
      <c r="D63" t="s">
        <v>54</v>
      </c>
      <c r="E63" t="s">
        <v>116</v>
      </c>
      <c r="F63" t="s">
        <v>19</v>
      </c>
      <c r="G63" t="s">
        <v>113</v>
      </c>
      <c r="H63" t="s">
        <v>29</v>
      </c>
      <c r="I63">
        <v>7</v>
      </c>
      <c r="J63" s="4">
        <v>450</v>
      </c>
      <c r="K63" s="6">
        <v>0</v>
      </c>
      <c r="L63" s="8">
        <v>3150</v>
      </c>
      <c r="M63" s="8">
        <v>1750</v>
      </c>
      <c r="N63" s="8">
        <v>1400</v>
      </c>
      <c r="O63" s="8">
        <f>SalesData[[#This Row],[Quantity]]*SalesData[[#This Row],[Unit Price]]*(1-SalesData[[#This Row],[Discount]])</f>
        <v>3150</v>
      </c>
      <c r="P63" s="8">
        <f>SalesData[[#This Row],[Sales_Check]]-SalesData[[#This Row],[Cost]]</f>
        <v>1400</v>
      </c>
      <c r="Q63" s="13">
        <f>IFERROR(SalesData[[#This Row],[Profit]]/SalesData[[#This Row],[Sales]],0)</f>
        <v>0.44444444444444442</v>
      </c>
      <c r="R63" t="str">
        <f>TEXT(SalesData[[#This Row],[Order Date]],"mmm-yyyy")</f>
        <v>Sep-2025</v>
      </c>
      <c r="S63">
        <f>YEAR(SalesData[[#This Row],[Order Date]])</f>
        <v>2025</v>
      </c>
      <c r="T63" t="str">
        <f>IF(SalesData[[#This Row],[Profit Margin]]&gt;=30%,"High",IF(SalesData[[#This Row],[Profit Margin]]&gt;=15%,"Medium","Low"))</f>
        <v>High</v>
      </c>
    </row>
    <row r="64" spans="1:20" x14ac:dyDescent="0.35">
      <c r="A64" t="s">
        <v>199</v>
      </c>
      <c r="B64" s="23" t="s">
        <v>200</v>
      </c>
      <c r="C64" t="s">
        <v>201</v>
      </c>
      <c r="D64" t="s">
        <v>17</v>
      </c>
      <c r="E64" t="s">
        <v>65</v>
      </c>
      <c r="F64" t="s">
        <v>37</v>
      </c>
      <c r="G64" t="s">
        <v>97</v>
      </c>
      <c r="H64" t="s">
        <v>125</v>
      </c>
      <c r="I64">
        <v>5</v>
      </c>
      <c r="J64" s="4">
        <v>2200</v>
      </c>
      <c r="K64" s="6">
        <v>0.15</v>
      </c>
      <c r="L64" s="8">
        <v>9350</v>
      </c>
      <c r="M64" s="8">
        <v>7000</v>
      </c>
      <c r="N64" s="8">
        <v>2350</v>
      </c>
      <c r="O64" s="8">
        <f>SalesData[[#This Row],[Quantity]]*SalesData[[#This Row],[Unit Price]]*(1-SalesData[[#This Row],[Discount]])</f>
        <v>9350</v>
      </c>
      <c r="P64" s="8">
        <f>SalesData[[#This Row],[Sales_Check]]-SalesData[[#This Row],[Cost]]</f>
        <v>2350</v>
      </c>
      <c r="Q64" s="13">
        <f>IFERROR(SalesData[[#This Row],[Profit]]/SalesData[[#This Row],[Sales]],0)</f>
        <v>0.25133689839572193</v>
      </c>
      <c r="R64" t="str">
        <f>TEXT(SalesData[[#This Row],[Order Date]],"mmm-yyyy")</f>
        <v>Sep-2025</v>
      </c>
      <c r="S64">
        <f>YEAR(SalesData[[#This Row],[Order Date]])</f>
        <v>2025</v>
      </c>
      <c r="T64" t="str">
        <f>IF(SalesData[[#This Row],[Profit Margin]]&gt;=30%,"High",IF(SalesData[[#This Row],[Profit Margin]]&gt;=15%,"Medium","Low"))</f>
        <v>Medium</v>
      </c>
    </row>
    <row r="65" spans="1:20" x14ac:dyDescent="0.35">
      <c r="A65" t="s">
        <v>202</v>
      </c>
      <c r="B65" s="23" t="s">
        <v>200</v>
      </c>
      <c r="C65" t="s">
        <v>187</v>
      </c>
      <c r="D65" t="s">
        <v>25</v>
      </c>
      <c r="E65" t="s">
        <v>69</v>
      </c>
      <c r="F65" t="s">
        <v>19</v>
      </c>
      <c r="G65" t="s">
        <v>20</v>
      </c>
      <c r="H65" t="s">
        <v>29</v>
      </c>
      <c r="I65">
        <v>1</v>
      </c>
      <c r="J65" s="4">
        <v>350</v>
      </c>
      <c r="K65" s="6">
        <v>0</v>
      </c>
      <c r="L65" s="8">
        <v>350</v>
      </c>
      <c r="M65" s="8">
        <v>180</v>
      </c>
      <c r="N65" s="8">
        <v>170</v>
      </c>
      <c r="O65" s="8">
        <f>SalesData[[#This Row],[Quantity]]*SalesData[[#This Row],[Unit Price]]*(1-SalesData[[#This Row],[Discount]])</f>
        <v>350</v>
      </c>
      <c r="P65" s="8">
        <f>SalesData[[#This Row],[Sales_Check]]-SalesData[[#This Row],[Cost]]</f>
        <v>170</v>
      </c>
      <c r="Q65" s="13">
        <f>IFERROR(SalesData[[#This Row],[Profit]]/SalesData[[#This Row],[Sales]],0)</f>
        <v>0.48571428571428571</v>
      </c>
      <c r="R65" t="str">
        <f>TEXT(SalesData[[#This Row],[Order Date]],"mmm-yyyy")</f>
        <v>Sep-2025</v>
      </c>
      <c r="S65">
        <f>YEAR(SalesData[[#This Row],[Order Date]])</f>
        <v>2025</v>
      </c>
      <c r="T65" t="str">
        <f>IF(SalesData[[#This Row],[Profit Margin]]&gt;=30%,"High",IF(SalesData[[#This Row],[Profit Margin]]&gt;=15%,"Medium","Low"))</f>
        <v>High</v>
      </c>
    </row>
    <row r="66" spans="1:20" x14ac:dyDescent="0.35">
      <c r="A66" t="s">
        <v>203</v>
      </c>
      <c r="B66" s="23" t="s">
        <v>204</v>
      </c>
      <c r="C66" t="s">
        <v>205</v>
      </c>
      <c r="D66" t="s">
        <v>25</v>
      </c>
      <c r="E66" t="s">
        <v>89</v>
      </c>
      <c r="F66" t="s">
        <v>19</v>
      </c>
      <c r="G66" t="s">
        <v>20</v>
      </c>
      <c r="H66" t="s">
        <v>125</v>
      </c>
      <c r="I66">
        <v>10</v>
      </c>
      <c r="J66" s="4">
        <v>550</v>
      </c>
      <c r="K66" s="6">
        <v>0.05</v>
      </c>
      <c r="L66" s="8">
        <v>5225</v>
      </c>
      <c r="M66" s="8">
        <v>3000</v>
      </c>
      <c r="N66" s="8">
        <v>2225</v>
      </c>
      <c r="O66" s="8">
        <f>SalesData[[#This Row],[Quantity]]*SalesData[[#This Row],[Unit Price]]*(1-SalesData[[#This Row],[Discount]])</f>
        <v>5225</v>
      </c>
      <c r="P66" s="8">
        <f>SalesData[[#This Row],[Sales_Check]]-SalesData[[#This Row],[Cost]]</f>
        <v>2225</v>
      </c>
      <c r="Q66" s="13">
        <f>IFERROR(SalesData[[#This Row],[Profit]]/SalesData[[#This Row],[Sales]],0)</f>
        <v>0.42583732057416268</v>
      </c>
      <c r="R66" t="str">
        <f>TEXT(SalesData[[#This Row],[Order Date]],"mmm-yyyy")</f>
        <v>Sep-2025</v>
      </c>
      <c r="S66">
        <f>YEAR(SalesData[[#This Row],[Order Date]])</f>
        <v>2025</v>
      </c>
      <c r="T66" t="str">
        <f>IF(SalesData[[#This Row],[Profit Margin]]&gt;=30%,"High",IF(SalesData[[#This Row],[Profit Margin]]&gt;=15%,"Medium","Low"))</f>
        <v>High</v>
      </c>
    </row>
    <row r="67" spans="1:20" x14ac:dyDescent="0.35">
      <c r="A67" t="s">
        <v>206</v>
      </c>
      <c r="B67" s="23" t="s">
        <v>204</v>
      </c>
      <c r="C67" t="s">
        <v>207</v>
      </c>
      <c r="D67" t="s">
        <v>43</v>
      </c>
      <c r="E67" t="s">
        <v>62</v>
      </c>
      <c r="F67" t="s">
        <v>45</v>
      </c>
      <c r="G67" t="s">
        <v>104</v>
      </c>
      <c r="H67" t="s">
        <v>39</v>
      </c>
      <c r="I67">
        <v>3</v>
      </c>
      <c r="J67" s="4">
        <v>500</v>
      </c>
      <c r="K67" s="6">
        <v>0</v>
      </c>
      <c r="L67" s="8">
        <v>1500</v>
      </c>
      <c r="M67" s="8">
        <v>840</v>
      </c>
      <c r="N67" s="8">
        <v>660</v>
      </c>
      <c r="O67" s="8">
        <f>SalesData[[#This Row],[Quantity]]*SalesData[[#This Row],[Unit Price]]*(1-SalesData[[#This Row],[Discount]])</f>
        <v>1500</v>
      </c>
      <c r="P67" s="8">
        <f>SalesData[[#This Row],[Sales_Check]]-SalesData[[#This Row],[Cost]]</f>
        <v>660</v>
      </c>
      <c r="Q67" s="13">
        <f>IFERROR(SalesData[[#This Row],[Profit]]/SalesData[[#This Row],[Sales]],0)</f>
        <v>0.44</v>
      </c>
      <c r="R67" t="str">
        <f>TEXT(SalesData[[#This Row],[Order Date]],"mmm-yyyy")</f>
        <v>Sep-2025</v>
      </c>
      <c r="S67">
        <f>YEAR(SalesData[[#This Row],[Order Date]])</f>
        <v>2025</v>
      </c>
      <c r="T67" t="str">
        <f>IF(SalesData[[#This Row],[Profit Margin]]&gt;=30%,"High",IF(SalesData[[#This Row],[Profit Margin]]&gt;=15%,"Medium","Low"))</f>
        <v>High</v>
      </c>
    </row>
    <row r="68" spans="1:20" x14ac:dyDescent="0.35">
      <c r="A68" t="s">
        <v>208</v>
      </c>
      <c r="B68" s="23" t="s">
        <v>204</v>
      </c>
      <c r="C68" t="s">
        <v>209</v>
      </c>
      <c r="D68" t="s">
        <v>17</v>
      </c>
      <c r="E68" t="s">
        <v>18</v>
      </c>
      <c r="F68" t="s">
        <v>45</v>
      </c>
      <c r="G68" t="s">
        <v>46</v>
      </c>
      <c r="H68" t="s">
        <v>39</v>
      </c>
      <c r="I68">
        <v>7</v>
      </c>
      <c r="J68" s="4">
        <v>1800</v>
      </c>
      <c r="K68" s="6">
        <v>0.05</v>
      </c>
      <c r="L68" s="8">
        <v>11970</v>
      </c>
      <c r="M68" s="8">
        <v>7700</v>
      </c>
      <c r="N68" s="8">
        <v>4270</v>
      </c>
      <c r="O68" s="8">
        <f>SalesData[[#This Row],[Quantity]]*SalesData[[#This Row],[Unit Price]]*(1-SalesData[[#This Row],[Discount]])</f>
        <v>11970</v>
      </c>
      <c r="P68" s="8">
        <f>SalesData[[#This Row],[Sales_Check]]-SalesData[[#This Row],[Cost]]</f>
        <v>4270</v>
      </c>
      <c r="Q68" s="13">
        <f>IFERROR(SalesData[[#This Row],[Profit]]/SalesData[[#This Row],[Sales]],0)</f>
        <v>0.35672514619883039</v>
      </c>
      <c r="R68" t="str">
        <f>TEXT(SalesData[[#This Row],[Order Date]],"mmm-yyyy")</f>
        <v>Sep-2025</v>
      </c>
      <c r="S68">
        <f>YEAR(SalesData[[#This Row],[Order Date]])</f>
        <v>2025</v>
      </c>
      <c r="T68" t="str">
        <f>IF(SalesData[[#This Row],[Profit Margin]]&gt;=30%,"High",IF(SalesData[[#This Row],[Profit Margin]]&gt;=15%,"Medium","Low"))</f>
        <v>High</v>
      </c>
    </row>
    <row r="69" spans="1:20" x14ac:dyDescent="0.35">
      <c r="A69" t="s">
        <v>210</v>
      </c>
      <c r="B69" s="23" t="s">
        <v>204</v>
      </c>
      <c r="C69" t="s">
        <v>211</v>
      </c>
      <c r="D69" t="s">
        <v>25</v>
      </c>
      <c r="E69" t="s">
        <v>80</v>
      </c>
      <c r="F69" t="s">
        <v>27</v>
      </c>
      <c r="G69" t="s">
        <v>90</v>
      </c>
      <c r="H69" t="s">
        <v>125</v>
      </c>
      <c r="I69">
        <v>3</v>
      </c>
      <c r="J69" s="4">
        <v>950</v>
      </c>
      <c r="K69" s="6">
        <v>0</v>
      </c>
      <c r="L69" s="8">
        <v>2850</v>
      </c>
      <c r="M69" s="8">
        <v>1680</v>
      </c>
      <c r="N69" s="8">
        <v>1170</v>
      </c>
      <c r="O69" s="8">
        <f>SalesData[[#This Row],[Quantity]]*SalesData[[#This Row],[Unit Price]]*(1-SalesData[[#This Row],[Discount]])</f>
        <v>2850</v>
      </c>
      <c r="P69" s="8">
        <f>SalesData[[#This Row],[Sales_Check]]-SalesData[[#This Row],[Cost]]</f>
        <v>1170</v>
      </c>
      <c r="Q69" s="13">
        <f>IFERROR(SalesData[[#This Row],[Profit]]/SalesData[[#This Row],[Sales]],0)</f>
        <v>0.41052631578947368</v>
      </c>
      <c r="R69" t="str">
        <f>TEXT(SalesData[[#This Row],[Order Date]],"mmm-yyyy")</f>
        <v>Sep-2025</v>
      </c>
      <c r="S69">
        <f>YEAR(SalesData[[#This Row],[Order Date]])</f>
        <v>2025</v>
      </c>
      <c r="T69" t="str">
        <f>IF(SalesData[[#This Row],[Profit Margin]]&gt;=30%,"High",IF(SalesData[[#This Row],[Profit Margin]]&gt;=15%,"Medium","Low"))</f>
        <v>High</v>
      </c>
    </row>
    <row r="70" spans="1:20" x14ac:dyDescent="0.35">
      <c r="A70" t="s">
        <v>212</v>
      </c>
      <c r="B70" s="23" t="s">
        <v>204</v>
      </c>
      <c r="C70" t="s">
        <v>49</v>
      </c>
      <c r="D70" t="s">
        <v>25</v>
      </c>
      <c r="E70" t="s">
        <v>80</v>
      </c>
      <c r="F70" t="s">
        <v>19</v>
      </c>
      <c r="G70" t="s">
        <v>56</v>
      </c>
      <c r="H70" t="s">
        <v>47</v>
      </c>
      <c r="I70">
        <v>6</v>
      </c>
      <c r="J70" s="4">
        <v>950</v>
      </c>
      <c r="K70" s="6">
        <v>0.05</v>
      </c>
      <c r="L70" s="8">
        <v>5415</v>
      </c>
      <c r="M70" s="8">
        <v>3360</v>
      </c>
      <c r="N70" s="8">
        <v>2055</v>
      </c>
      <c r="O70" s="8">
        <f>SalesData[[#This Row],[Quantity]]*SalesData[[#This Row],[Unit Price]]*(1-SalesData[[#This Row],[Discount]])</f>
        <v>5415</v>
      </c>
      <c r="P70" s="8">
        <f>SalesData[[#This Row],[Sales_Check]]-SalesData[[#This Row],[Cost]]</f>
        <v>2055</v>
      </c>
      <c r="Q70" s="13">
        <f>IFERROR(SalesData[[#This Row],[Profit]]/SalesData[[#This Row],[Sales]],0)</f>
        <v>0.37950138504155123</v>
      </c>
      <c r="R70" t="str">
        <f>TEXT(SalesData[[#This Row],[Order Date]],"mmm-yyyy")</f>
        <v>Sep-2025</v>
      </c>
      <c r="S70">
        <f>YEAR(SalesData[[#This Row],[Order Date]])</f>
        <v>2025</v>
      </c>
      <c r="T70" t="str">
        <f>IF(SalesData[[#This Row],[Profit Margin]]&gt;=30%,"High",IF(SalesData[[#This Row],[Profit Margin]]&gt;=15%,"Medium","Low"))</f>
        <v>High</v>
      </c>
    </row>
    <row r="71" spans="1:20" x14ac:dyDescent="0.35">
      <c r="A71" t="s">
        <v>213</v>
      </c>
      <c r="B71" s="23" t="s">
        <v>214</v>
      </c>
      <c r="C71" t="s">
        <v>131</v>
      </c>
      <c r="D71" t="s">
        <v>43</v>
      </c>
      <c r="E71" t="s">
        <v>44</v>
      </c>
      <c r="F71" t="s">
        <v>19</v>
      </c>
      <c r="G71" t="s">
        <v>215</v>
      </c>
      <c r="H71" t="s">
        <v>33</v>
      </c>
      <c r="I71">
        <v>10</v>
      </c>
      <c r="J71" s="4">
        <v>2200</v>
      </c>
      <c r="K71" s="6">
        <v>0</v>
      </c>
      <c r="L71" s="8">
        <v>22000</v>
      </c>
      <c r="M71" s="8">
        <v>14500</v>
      </c>
      <c r="N71" s="8">
        <v>7500</v>
      </c>
      <c r="O71" s="8">
        <f>SalesData[[#This Row],[Quantity]]*SalesData[[#This Row],[Unit Price]]*(1-SalesData[[#This Row],[Discount]])</f>
        <v>22000</v>
      </c>
      <c r="P71" s="8">
        <f>SalesData[[#This Row],[Sales_Check]]-SalesData[[#This Row],[Cost]]</f>
        <v>7500</v>
      </c>
      <c r="Q71" s="13">
        <f>IFERROR(SalesData[[#This Row],[Profit]]/SalesData[[#This Row],[Sales]],0)</f>
        <v>0.34090909090909088</v>
      </c>
      <c r="R71" t="str">
        <f>TEXT(SalesData[[#This Row],[Order Date]],"mmm-yyyy")</f>
        <v>Sep-2025</v>
      </c>
      <c r="S71">
        <f>YEAR(SalesData[[#This Row],[Order Date]])</f>
        <v>2025</v>
      </c>
      <c r="T71" t="str">
        <f>IF(SalesData[[#This Row],[Profit Margin]]&gt;=30%,"High",IF(SalesData[[#This Row],[Profit Margin]]&gt;=15%,"Medium","Low"))</f>
        <v>High</v>
      </c>
    </row>
    <row r="72" spans="1:20" x14ac:dyDescent="0.35">
      <c r="A72" t="s">
        <v>216</v>
      </c>
      <c r="B72" s="23" t="s">
        <v>214</v>
      </c>
      <c r="C72" t="s">
        <v>217</v>
      </c>
      <c r="D72" t="s">
        <v>43</v>
      </c>
      <c r="E72" t="s">
        <v>143</v>
      </c>
      <c r="F72" t="s">
        <v>19</v>
      </c>
      <c r="G72" t="s">
        <v>20</v>
      </c>
      <c r="H72" t="s">
        <v>47</v>
      </c>
      <c r="I72">
        <v>2</v>
      </c>
      <c r="J72" s="4">
        <v>650</v>
      </c>
      <c r="K72" s="6">
        <v>0</v>
      </c>
      <c r="L72" s="8">
        <v>1300</v>
      </c>
      <c r="M72" s="8">
        <v>700</v>
      </c>
      <c r="N72" s="8">
        <v>600</v>
      </c>
      <c r="O72" s="8">
        <f>SalesData[[#This Row],[Quantity]]*SalesData[[#This Row],[Unit Price]]*(1-SalesData[[#This Row],[Discount]])</f>
        <v>1300</v>
      </c>
      <c r="P72" s="8">
        <f>SalesData[[#This Row],[Sales_Check]]-SalesData[[#This Row],[Cost]]</f>
        <v>600</v>
      </c>
      <c r="Q72" s="13">
        <f>IFERROR(SalesData[[#This Row],[Profit]]/SalesData[[#This Row],[Sales]],0)</f>
        <v>0.46153846153846156</v>
      </c>
      <c r="R72" t="str">
        <f>TEXT(SalesData[[#This Row],[Order Date]],"mmm-yyyy")</f>
        <v>Sep-2025</v>
      </c>
      <c r="S72">
        <f>YEAR(SalesData[[#This Row],[Order Date]])</f>
        <v>2025</v>
      </c>
      <c r="T72" t="str">
        <f>IF(SalesData[[#This Row],[Profit Margin]]&gt;=30%,"High",IF(SalesData[[#This Row],[Profit Margin]]&gt;=15%,"Medium","Low"))</f>
        <v>High</v>
      </c>
    </row>
    <row r="73" spans="1:20" x14ac:dyDescent="0.35">
      <c r="A73" t="s">
        <v>218</v>
      </c>
      <c r="B73" s="23" t="s">
        <v>214</v>
      </c>
      <c r="C73" t="s">
        <v>168</v>
      </c>
      <c r="D73" t="s">
        <v>17</v>
      </c>
      <c r="E73" t="s">
        <v>18</v>
      </c>
      <c r="F73" t="s">
        <v>37</v>
      </c>
      <c r="G73" t="s">
        <v>97</v>
      </c>
      <c r="H73" t="s">
        <v>33</v>
      </c>
      <c r="I73">
        <v>8</v>
      </c>
      <c r="J73" s="4">
        <v>1800</v>
      </c>
      <c r="K73" s="6">
        <v>0.15</v>
      </c>
      <c r="L73" s="8">
        <v>12240</v>
      </c>
      <c r="M73" s="8">
        <v>8800</v>
      </c>
      <c r="N73" s="8">
        <v>3440</v>
      </c>
      <c r="O73" s="8">
        <f>SalesData[[#This Row],[Quantity]]*SalesData[[#This Row],[Unit Price]]*(1-SalesData[[#This Row],[Discount]])</f>
        <v>12240</v>
      </c>
      <c r="P73" s="8">
        <f>SalesData[[#This Row],[Sales_Check]]-SalesData[[#This Row],[Cost]]</f>
        <v>3440</v>
      </c>
      <c r="Q73" s="13">
        <f>IFERROR(SalesData[[#This Row],[Profit]]/SalesData[[#This Row],[Sales]],0)</f>
        <v>0.28104575163398693</v>
      </c>
      <c r="R73" t="str">
        <f>TEXT(SalesData[[#This Row],[Order Date]],"mmm-yyyy")</f>
        <v>Sep-2025</v>
      </c>
      <c r="S73">
        <f>YEAR(SalesData[[#This Row],[Order Date]])</f>
        <v>2025</v>
      </c>
      <c r="T73" t="str">
        <f>IF(SalesData[[#This Row],[Profit Margin]]&gt;=30%,"High",IF(SalesData[[#This Row],[Profit Margin]]&gt;=15%,"Medium","Low"))</f>
        <v>Medium</v>
      </c>
    </row>
    <row r="74" spans="1:20" x14ac:dyDescent="0.35">
      <c r="A74" t="s">
        <v>219</v>
      </c>
      <c r="B74" s="23" t="s">
        <v>214</v>
      </c>
      <c r="C74" t="s">
        <v>220</v>
      </c>
      <c r="D74" t="s">
        <v>17</v>
      </c>
      <c r="E74" t="s">
        <v>65</v>
      </c>
      <c r="F74" t="s">
        <v>27</v>
      </c>
      <c r="G74" t="s">
        <v>28</v>
      </c>
      <c r="H74" t="s">
        <v>39</v>
      </c>
      <c r="I74">
        <v>10</v>
      </c>
      <c r="J74" s="4">
        <v>2200</v>
      </c>
      <c r="K74" s="6">
        <v>0</v>
      </c>
      <c r="L74" s="8">
        <v>22000</v>
      </c>
      <c r="M74" s="8">
        <v>14000</v>
      </c>
      <c r="N74" s="8">
        <v>8000</v>
      </c>
      <c r="O74" s="8">
        <f>SalesData[[#This Row],[Quantity]]*SalesData[[#This Row],[Unit Price]]*(1-SalesData[[#This Row],[Discount]])</f>
        <v>22000</v>
      </c>
      <c r="P74" s="8">
        <f>SalesData[[#This Row],[Sales_Check]]-SalesData[[#This Row],[Cost]]</f>
        <v>8000</v>
      </c>
      <c r="Q74" s="13">
        <f>IFERROR(SalesData[[#This Row],[Profit]]/SalesData[[#This Row],[Sales]],0)</f>
        <v>0.36363636363636365</v>
      </c>
      <c r="R74" t="str">
        <f>TEXT(SalesData[[#This Row],[Order Date]],"mmm-yyyy")</f>
        <v>Sep-2025</v>
      </c>
      <c r="S74">
        <f>YEAR(SalesData[[#This Row],[Order Date]])</f>
        <v>2025</v>
      </c>
      <c r="T74" t="str">
        <f>IF(SalesData[[#This Row],[Profit Margin]]&gt;=30%,"High",IF(SalesData[[#This Row],[Profit Margin]]&gt;=15%,"Medium","Low"))</f>
        <v>High</v>
      </c>
    </row>
    <row r="75" spans="1:20" x14ac:dyDescent="0.35">
      <c r="A75" t="s">
        <v>221</v>
      </c>
      <c r="B75" s="23" t="s">
        <v>214</v>
      </c>
      <c r="C75" t="s">
        <v>222</v>
      </c>
      <c r="D75" t="s">
        <v>54</v>
      </c>
      <c r="E75" t="s">
        <v>110</v>
      </c>
      <c r="F75" t="s">
        <v>45</v>
      </c>
      <c r="G75" t="s">
        <v>46</v>
      </c>
      <c r="H75" t="s">
        <v>21</v>
      </c>
      <c r="I75">
        <v>6</v>
      </c>
      <c r="J75" s="4">
        <v>280</v>
      </c>
      <c r="K75" s="6">
        <v>0.05</v>
      </c>
      <c r="L75" s="8">
        <v>1596</v>
      </c>
      <c r="M75" s="8">
        <v>900</v>
      </c>
      <c r="N75" s="8">
        <v>696</v>
      </c>
      <c r="O75" s="8">
        <f>SalesData[[#This Row],[Quantity]]*SalesData[[#This Row],[Unit Price]]*(1-SalesData[[#This Row],[Discount]])</f>
        <v>1596</v>
      </c>
      <c r="P75" s="8">
        <f>SalesData[[#This Row],[Sales_Check]]-SalesData[[#This Row],[Cost]]</f>
        <v>696</v>
      </c>
      <c r="Q75" s="13">
        <f>IFERROR(SalesData[[#This Row],[Profit]]/SalesData[[#This Row],[Sales]],0)</f>
        <v>0.43609022556390975</v>
      </c>
      <c r="R75" t="str">
        <f>TEXT(SalesData[[#This Row],[Order Date]],"mmm-yyyy")</f>
        <v>Sep-2025</v>
      </c>
      <c r="S75">
        <f>YEAR(SalesData[[#This Row],[Order Date]])</f>
        <v>2025</v>
      </c>
      <c r="T75" t="str">
        <f>IF(SalesData[[#This Row],[Profit Margin]]&gt;=30%,"High",IF(SalesData[[#This Row],[Profit Margin]]&gt;=15%,"Medium","Low"))</f>
        <v>High</v>
      </c>
    </row>
    <row r="76" spans="1:20" x14ac:dyDescent="0.35">
      <c r="A76" t="s">
        <v>223</v>
      </c>
      <c r="B76" s="23" t="s">
        <v>214</v>
      </c>
      <c r="C76" t="s">
        <v>224</v>
      </c>
      <c r="D76" t="s">
        <v>54</v>
      </c>
      <c r="E76" t="s">
        <v>103</v>
      </c>
      <c r="F76" t="s">
        <v>45</v>
      </c>
      <c r="G76" t="s">
        <v>104</v>
      </c>
      <c r="H76" t="s">
        <v>47</v>
      </c>
      <c r="I76">
        <v>2</v>
      </c>
      <c r="J76" s="4">
        <v>150</v>
      </c>
      <c r="K76" s="6">
        <v>0.1</v>
      </c>
      <c r="L76" s="8">
        <v>270</v>
      </c>
      <c r="M76" s="8">
        <v>150</v>
      </c>
      <c r="N76" s="8">
        <v>120</v>
      </c>
      <c r="O76" s="8">
        <f>SalesData[[#This Row],[Quantity]]*SalesData[[#This Row],[Unit Price]]*(1-SalesData[[#This Row],[Discount]])</f>
        <v>270</v>
      </c>
      <c r="P76" s="8">
        <f>SalesData[[#This Row],[Sales_Check]]-SalesData[[#This Row],[Cost]]</f>
        <v>120</v>
      </c>
      <c r="Q76" s="13">
        <f>IFERROR(SalesData[[#This Row],[Profit]]/SalesData[[#This Row],[Sales]],0)</f>
        <v>0.44444444444444442</v>
      </c>
      <c r="R76" t="str">
        <f>TEXT(SalesData[[#This Row],[Order Date]],"mmm-yyyy")</f>
        <v>Sep-2025</v>
      </c>
      <c r="S76">
        <f>YEAR(SalesData[[#This Row],[Order Date]])</f>
        <v>2025</v>
      </c>
      <c r="T76" t="str">
        <f>IF(SalesData[[#This Row],[Profit Margin]]&gt;=30%,"High",IF(SalesData[[#This Row],[Profit Margin]]&gt;=15%,"Medium","Low"))</f>
        <v>High</v>
      </c>
    </row>
    <row r="77" spans="1:20" x14ac:dyDescent="0.35">
      <c r="A77" t="s">
        <v>225</v>
      </c>
      <c r="B77" s="23" t="s">
        <v>226</v>
      </c>
      <c r="C77" t="s">
        <v>227</v>
      </c>
      <c r="D77" t="s">
        <v>17</v>
      </c>
      <c r="E77" t="s">
        <v>32</v>
      </c>
      <c r="F77" t="s">
        <v>27</v>
      </c>
      <c r="G77" t="s">
        <v>51</v>
      </c>
      <c r="H77" t="s">
        <v>21</v>
      </c>
      <c r="I77">
        <v>5</v>
      </c>
      <c r="J77" s="4">
        <v>1500</v>
      </c>
      <c r="K77" s="6">
        <v>0</v>
      </c>
      <c r="L77" s="8">
        <v>7500</v>
      </c>
      <c r="M77" s="8">
        <v>4500</v>
      </c>
      <c r="N77" s="8">
        <v>3000</v>
      </c>
      <c r="O77" s="8">
        <f>SalesData[[#This Row],[Quantity]]*SalesData[[#This Row],[Unit Price]]*(1-SalesData[[#This Row],[Discount]])</f>
        <v>7500</v>
      </c>
      <c r="P77" s="8">
        <f>SalesData[[#This Row],[Sales_Check]]-SalesData[[#This Row],[Cost]]</f>
        <v>3000</v>
      </c>
      <c r="Q77" s="13">
        <f>IFERROR(SalesData[[#This Row],[Profit]]/SalesData[[#This Row],[Sales]],0)</f>
        <v>0.4</v>
      </c>
      <c r="R77" t="str">
        <f>TEXT(SalesData[[#This Row],[Order Date]],"mmm-yyyy")</f>
        <v>Sep-2025</v>
      </c>
      <c r="S77">
        <f>YEAR(SalesData[[#This Row],[Order Date]])</f>
        <v>2025</v>
      </c>
      <c r="T77" t="str">
        <f>IF(SalesData[[#This Row],[Profit Margin]]&gt;=30%,"High",IF(SalesData[[#This Row],[Profit Margin]]&gt;=15%,"Medium","Low"))</f>
        <v>High</v>
      </c>
    </row>
    <row r="78" spans="1:20" x14ac:dyDescent="0.35">
      <c r="A78" t="s">
        <v>228</v>
      </c>
      <c r="B78" s="23" t="s">
        <v>226</v>
      </c>
      <c r="C78" t="s">
        <v>229</v>
      </c>
      <c r="D78" t="s">
        <v>43</v>
      </c>
      <c r="E78" t="s">
        <v>169</v>
      </c>
      <c r="F78" t="s">
        <v>27</v>
      </c>
      <c r="G78" t="s">
        <v>90</v>
      </c>
      <c r="H78" t="s">
        <v>125</v>
      </c>
      <c r="I78">
        <v>8</v>
      </c>
      <c r="J78" s="4">
        <v>350</v>
      </c>
      <c r="K78" s="6">
        <v>0</v>
      </c>
      <c r="L78" s="8">
        <v>2800</v>
      </c>
      <c r="M78" s="8">
        <v>1360</v>
      </c>
      <c r="N78" s="8">
        <v>1440</v>
      </c>
      <c r="O78" s="8">
        <f>SalesData[[#This Row],[Quantity]]*SalesData[[#This Row],[Unit Price]]*(1-SalesData[[#This Row],[Discount]])</f>
        <v>2800</v>
      </c>
      <c r="P78" s="8">
        <f>SalesData[[#This Row],[Sales_Check]]-SalesData[[#This Row],[Cost]]</f>
        <v>1440</v>
      </c>
      <c r="Q78" s="13">
        <f>IFERROR(SalesData[[#This Row],[Profit]]/SalesData[[#This Row],[Sales]],0)</f>
        <v>0.51428571428571423</v>
      </c>
      <c r="R78" t="str">
        <f>TEXT(SalesData[[#This Row],[Order Date]],"mmm-yyyy")</f>
        <v>Sep-2025</v>
      </c>
      <c r="S78">
        <f>YEAR(SalesData[[#This Row],[Order Date]])</f>
        <v>2025</v>
      </c>
      <c r="T78" t="str">
        <f>IF(SalesData[[#This Row],[Profit Margin]]&gt;=30%,"High",IF(SalesData[[#This Row],[Profit Margin]]&gt;=15%,"Medium","Low"))</f>
        <v>High</v>
      </c>
    </row>
    <row r="79" spans="1:20" x14ac:dyDescent="0.35">
      <c r="A79" t="s">
        <v>230</v>
      </c>
      <c r="B79" s="23" t="s">
        <v>231</v>
      </c>
      <c r="C79" t="s">
        <v>232</v>
      </c>
      <c r="D79" t="s">
        <v>25</v>
      </c>
      <c r="E79" t="s">
        <v>36</v>
      </c>
      <c r="F79" t="s">
        <v>37</v>
      </c>
      <c r="G79" t="s">
        <v>73</v>
      </c>
      <c r="H79" t="s">
        <v>47</v>
      </c>
      <c r="I79">
        <v>7</v>
      </c>
      <c r="J79" s="4">
        <v>700</v>
      </c>
      <c r="K79" s="6">
        <v>0.05</v>
      </c>
      <c r="L79" s="8">
        <v>4655</v>
      </c>
      <c r="M79" s="8">
        <v>2800</v>
      </c>
      <c r="N79" s="8">
        <v>1855</v>
      </c>
      <c r="O79" s="8">
        <f>SalesData[[#This Row],[Quantity]]*SalesData[[#This Row],[Unit Price]]*(1-SalesData[[#This Row],[Discount]])</f>
        <v>4655</v>
      </c>
      <c r="P79" s="8">
        <f>SalesData[[#This Row],[Sales_Check]]-SalesData[[#This Row],[Cost]]</f>
        <v>1855</v>
      </c>
      <c r="Q79" s="13">
        <f>IFERROR(SalesData[[#This Row],[Profit]]/SalesData[[#This Row],[Sales]],0)</f>
        <v>0.39849624060150374</v>
      </c>
      <c r="R79" t="str">
        <f>TEXT(SalesData[[#This Row],[Order Date]],"mmm-yyyy")</f>
        <v>Sep-2025</v>
      </c>
      <c r="S79">
        <f>YEAR(SalesData[[#This Row],[Order Date]])</f>
        <v>2025</v>
      </c>
      <c r="T79" t="str">
        <f>IF(SalesData[[#This Row],[Profit Margin]]&gt;=30%,"High",IF(SalesData[[#This Row],[Profit Margin]]&gt;=15%,"Medium","Low"))</f>
        <v>High</v>
      </c>
    </row>
    <row r="80" spans="1:20" x14ac:dyDescent="0.35">
      <c r="A80" t="s">
        <v>233</v>
      </c>
      <c r="B80" s="23" t="s">
        <v>231</v>
      </c>
      <c r="C80" t="s">
        <v>234</v>
      </c>
      <c r="D80" t="s">
        <v>25</v>
      </c>
      <c r="E80" t="s">
        <v>26</v>
      </c>
      <c r="F80" t="s">
        <v>19</v>
      </c>
      <c r="G80" t="s">
        <v>215</v>
      </c>
      <c r="H80" t="s">
        <v>33</v>
      </c>
      <c r="I80">
        <v>8</v>
      </c>
      <c r="J80" s="4">
        <v>600</v>
      </c>
      <c r="K80" s="6">
        <v>0.05</v>
      </c>
      <c r="L80" s="8">
        <v>4560</v>
      </c>
      <c r="M80" s="8">
        <v>2640</v>
      </c>
      <c r="N80" s="8">
        <v>1920</v>
      </c>
      <c r="O80" s="8">
        <f>SalesData[[#This Row],[Quantity]]*SalesData[[#This Row],[Unit Price]]*(1-SalesData[[#This Row],[Discount]])</f>
        <v>4560</v>
      </c>
      <c r="P80" s="8">
        <f>SalesData[[#This Row],[Sales_Check]]-SalesData[[#This Row],[Cost]]</f>
        <v>1920</v>
      </c>
      <c r="Q80" s="13">
        <f>IFERROR(SalesData[[#This Row],[Profit]]/SalesData[[#This Row],[Sales]],0)</f>
        <v>0.42105263157894735</v>
      </c>
      <c r="R80" t="str">
        <f>TEXT(SalesData[[#This Row],[Order Date]],"mmm-yyyy")</f>
        <v>Sep-2025</v>
      </c>
      <c r="S80">
        <f>YEAR(SalesData[[#This Row],[Order Date]])</f>
        <v>2025</v>
      </c>
      <c r="T80" t="str">
        <f>IF(SalesData[[#This Row],[Profit Margin]]&gt;=30%,"High",IF(SalesData[[#This Row],[Profit Margin]]&gt;=15%,"Medium","Low"))</f>
        <v>High</v>
      </c>
    </row>
    <row r="81" spans="1:20" x14ac:dyDescent="0.35">
      <c r="A81" t="s">
        <v>235</v>
      </c>
      <c r="B81" s="23" t="s">
        <v>231</v>
      </c>
      <c r="C81" t="s">
        <v>236</v>
      </c>
      <c r="D81" t="s">
        <v>54</v>
      </c>
      <c r="E81" t="s">
        <v>103</v>
      </c>
      <c r="F81" t="s">
        <v>45</v>
      </c>
      <c r="G81" t="s">
        <v>104</v>
      </c>
      <c r="H81" t="s">
        <v>47</v>
      </c>
      <c r="I81">
        <v>7</v>
      </c>
      <c r="J81" s="4">
        <v>150</v>
      </c>
      <c r="K81" s="6">
        <v>0.1</v>
      </c>
      <c r="L81" s="8">
        <v>945</v>
      </c>
      <c r="M81" s="8">
        <v>525</v>
      </c>
      <c r="N81" s="8">
        <v>420</v>
      </c>
      <c r="O81" s="8">
        <f>SalesData[[#This Row],[Quantity]]*SalesData[[#This Row],[Unit Price]]*(1-SalesData[[#This Row],[Discount]])</f>
        <v>945</v>
      </c>
      <c r="P81" s="8">
        <f>SalesData[[#This Row],[Sales_Check]]-SalesData[[#This Row],[Cost]]</f>
        <v>420</v>
      </c>
      <c r="Q81" s="13">
        <f>IFERROR(SalesData[[#This Row],[Profit]]/SalesData[[#This Row],[Sales]],0)</f>
        <v>0.44444444444444442</v>
      </c>
      <c r="R81" t="str">
        <f>TEXT(SalesData[[#This Row],[Order Date]],"mmm-yyyy")</f>
        <v>Sep-2025</v>
      </c>
      <c r="S81">
        <f>YEAR(SalesData[[#This Row],[Order Date]])</f>
        <v>2025</v>
      </c>
      <c r="T81" t="str">
        <f>IF(SalesData[[#This Row],[Profit Margin]]&gt;=30%,"High",IF(SalesData[[#This Row],[Profit Margin]]&gt;=15%,"Medium","Low"))</f>
        <v>High</v>
      </c>
    </row>
    <row r="82" spans="1:20" x14ac:dyDescent="0.35">
      <c r="A82" t="s">
        <v>237</v>
      </c>
      <c r="B82" s="23" t="s">
        <v>231</v>
      </c>
      <c r="C82" t="s">
        <v>238</v>
      </c>
      <c r="D82" t="s">
        <v>54</v>
      </c>
      <c r="E82" t="s">
        <v>103</v>
      </c>
      <c r="F82" t="s">
        <v>37</v>
      </c>
      <c r="G82" t="s">
        <v>73</v>
      </c>
      <c r="H82" t="s">
        <v>33</v>
      </c>
      <c r="I82">
        <v>5</v>
      </c>
      <c r="J82" s="4">
        <v>150</v>
      </c>
      <c r="K82" s="6">
        <v>0</v>
      </c>
      <c r="L82" s="8">
        <v>750</v>
      </c>
      <c r="M82" s="8">
        <v>375</v>
      </c>
      <c r="N82" s="8">
        <v>375</v>
      </c>
      <c r="O82" s="8">
        <f>SalesData[[#This Row],[Quantity]]*SalesData[[#This Row],[Unit Price]]*(1-SalesData[[#This Row],[Discount]])</f>
        <v>750</v>
      </c>
      <c r="P82" s="8">
        <f>SalesData[[#This Row],[Sales_Check]]-SalesData[[#This Row],[Cost]]</f>
        <v>375</v>
      </c>
      <c r="Q82" s="13">
        <f>IFERROR(SalesData[[#This Row],[Profit]]/SalesData[[#This Row],[Sales]],0)</f>
        <v>0.5</v>
      </c>
      <c r="R82" t="str">
        <f>TEXT(SalesData[[#This Row],[Order Date]],"mmm-yyyy")</f>
        <v>Sep-2025</v>
      </c>
      <c r="S82">
        <f>YEAR(SalesData[[#This Row],[Order Date]])</f>
        <v>2025</v>
      </c>
      <c r="T82" t="str">
        <f>IF(SalesData[[#This Row],[Profit Margin]]&gt;=30%,"High",IF(SalesData[[#This Row],[Profit Margin]]&gt;=15%,"Medium","Low"))</f>
        <v>High</v>
      </c>
    </row>
    <row r="83" spans="1:20" x14ac:dyDescent="0.35">
      <c r="A83" t="s">
        <v>239</v>
      </c>
      <c r="B83" s="23" t="s">
        <v>231</v>
      </c>
      <c r="C83" t="s">
        <v>112</v>
      </c>
      <c r="D83" t="s">
        <v>43</v>
      </c>
      <c r="E83" t="s">
        <v>44</v>
      </c>
      <c r="F83" t="s">
        <v>27</v>
      </c>
      <c r="G83" t="s">
        <v>28</v>
      </c>
      <c r="H83" t="s">
        <v>47</v>
      </c>
      <c r="I83">
        <v>5</v>
      </c>
      <c r="J83" s="4">
        <v>2200</v>
      </c>
      <c r="K83" s="6">
        <v>0.1</v>
      </c>
      <c r="L83" s="8">
        <v>9900</v>
      </c>
      <c r="M83" s="8">
        <v>7250</v>
      </c>
      <c r="N83" s="8">
        <v>2650</v>
      </c>
      <c r="O83" s="8">
        <f>SalesData[[#This Row],[Quantity]]*SalesData[[#This Row],[Unit Price]]*(1-SalesData[[#This Row],[Discount]])</f>
        <v>9900</v>
      </c>
      <c r="P83" s="8">
        <f>SalesData[[#This Row],[Sales_Check]]-SalesData[[#This Row],[Cost]]</f>
        <v>2650</v>
      </c>
      <c r="Q83" s="13">
        <f>IFERROR(SalesData[[#This Row],[Profit]]/SalesData[[#This Row],[Sales]],0)</f>
        <v>0.26767676767676768</v>
      </c>
      <c r="R83" t="str">
        <f>TEXT(SalesData[[#This Row],[Order Date]],"mmm-yyyy")</f>
        <v>Sep-2025</v>
      </c>
      <c r="S83">
        <f>YEAR(SalesData[[#This Row],[Order Date]])</f>
        <v>2025</v>
      </c>
      <c r="T83" t="str">
        <f>IF(SalesData[[#This Row],[Profit Margin]]&gt;=30%,"High",IF(SalesData[[#This Row],[Profit Margin]]&gt;=15%,"Medium","Low"))</f>
        <v>Medium</v>
      </c>
    </row>
    <row r="84" spans="1:20" x14ac:dyDescent="0.35">
      <c r="A84" t="s">
        <v>240</v>
      </c>
      <c r="B84" s="23" t="s">
        <v>241</v>
      </c>
      <c r="C84" t="s">
        <v>242</v>
      </c>
      <c r="D84" t="s">
        <v>25</v>
      </c>
      <c r="E84" t="s">
        <v>69</v>
      </c>
      <c r="F84" t="s">
        <v>37</v>
      </c>
      <c r="G84" t="s">
        <v>73</v>
      </c>
      <c r="H84" t="s">
        <v>29</v>
      </c>
      <c r="I84">
        <v>10</v>
      </c>
      <c r="J84" s="4">
        <v>350</v>
      </c>
      <c r="K84" s="6">
        <v>0</v>
      </c>
      <c r="L84" s="8">
        <v>3500</v>
      </c>
      <c r="M84" s="8">
        <v>1800</v>
      </c>
      <c r="N84" s="8">
        <v>1700</v>
      </c>
      <c r="O84" s="8">
        <f>SalesData[[#This Row],[Quantity]]*SalesData[[#This Row],[Unit Price]]*(1-SalesData[[#This Row],[Discount]])</f>
        <v>3500</v>
      </c>
      <c r="P84" s="8">
        <f>SalesData[[#This Row],[Sales_Check]]-SalesData[[#This Row],[Cost]]</f>
        <v>1700</v>
      </c>
      <c r="Q84" s="13">
        <f>IFERROR(SalesData[[#This Row],[Profit]]/SalesData[[#This Row],[Sales]],0)</f>
        <v>0.48571428571428571</v>
      </c>
      <c r="R84" t="str">
        <f>TEXT(SalesData[[#This Row],[Order Date]],"mmm-yyyy")</f>
        <v>Sep-2025</v>
      </c>
      <c r="S84">
        <f>YEAR(SalesData[[#This Row],[Order Date]])</f>
        <v>2025</v>
      </c>
      <c r="T84" t="str">
        <f>IF(SalesData[[#This Row],[Profit Margin]]&gt;=30%,"High",IF(SalesData[[#This Row],[Profit Margin]]&gt;=15%,"Medium","Low"))</f>
        <v>High</v>
      </c>
    </row>
    <row r="85" spans="1:20" x14ac:dyDescent="0.35">
      <c r="A85" t="s">
        <v>243</v>
      </c>
      <c r="B85" s="23" t="s">
        <v>241</v>
      </c>
      <c r="C85" t="s">
        <v>244</v>
      </c>
      <c r="D85" t="s">
        <v>17</v>
      </c>
      <c r="E85" t="s">
        <v>18</v>
      </c>
      <c r="F85" t="s">
        <v>45</v>
      </c>
      <c r="G85" t="s">
        <v>70</v>
      </c>
      <c r="H85" t="s">
        <v>29</v>
      </c>
      <c r="I85">
        <v>7</v>
      </c>
      <c r="J85" s="4">
        <v>1800</v>
      </c>
      <c r="K85" s="6">
        <v>0.1</v>
      </c>
      <c r="L85" s="8">
        <v>11340</v>
      </c>
      <c r="M85" s="8">
        <v>7700</v>
      </c>
      <c r="N85" s="8">
        <v>3640</v>
      </c>
      <c r="O85" s="8">
        <f>SalesData[[#This Row],[Quantity]]*SalesData[[#This Row],[Unit Price]]*(1-SalesData[[#This Row],[Discount]])</f>
        <v>11340</v>
      </c>
      <c r="P85" s="8">
        <f>SalesData[[#This Row],[Sales_Check]]-SalesData[[#This Row],[Cost]]</f>
        <v>3640</v>
      </c>
      <c r="Q85" s="13">
        <f>IFERROR(SalesData[[#This Row],[Profit]]/SalesData[[#This Row],[Sales]],0)</f>
        <v>0.32098765432098764</v>
      </c>
      <c r="R85" t="str">
        <f>TEXT(SalesData[[#This Row],[Order Date]],"mmm-yyyy")</f>
        <v>Sep-2025</v>
      </c>
      <c r="S85">
        <f>YEAR(SalesData[[#This Row],[Order Date]])</f>
        <v>2025</v>
      </c>
      <c r="T85" t="str">
        <f>IF(SalesData[[#This Row],[Profit Margin]]&gt;=30%,"High",IF(SalesData[[#This Row],[Profit Margin]]&gt;=15%,"Medium","Low"))</f>
        <v>High</v>
      </c>
    </row>
    <row r="86" spans="1:20" x14ac:dyDescent="0.35">
      <c r="A86" t="s">
        <v>245</v>
      </c>
      <c r="B86" s="23" t="s">
        <v>241</v>
      </c>
      <c r="C86" t="s">
        <v>180</v>
      </c>
      <c r="D86" t="s">
        <v>54</v>
      </c>
      <c r="E86" t="s">
        <v>107</v>
      </c>
      <c r="F86" t="s">
        <v>45</v>
      </c>
      <c r="G86" t="s">
        <v>122</v>
      </c>
      <c r="H86" t="s">
        <v>33</v>
      </c>
      <c r="I86">
        <v>3</v>
      </c>
      <c r="J86" s="4">
        <v>120</v>
      </c>
      <c r="K86" s="6">
        <v>0</v>
      </c>
      <c r="L86" s="8">
        <v>360</v>
      </c>
      <c r="M86" s="8">
        <v>165</v>
      </c>
      <c r="N86" s="8">
        <v>195</v>
      </c>
      <c r="O86" s="8">
        <f>SalesData[[#This Row],[Quantity]]*SalesData[[#This Row],[Unit Price]]*(1-SalesData[[#This Row],[Discount]])</f>
        <v>360</v>
      </c>
      <c r="P86" s="8">
        <f>SalesData[[#This Row],[Sales_Check]]-SalesData[[#This Row],[Cost]]</f>
        <v>195</v>
      </c>
      <c r="Q86" s="13">
        <f>IFERROR(SalesData[[#This Row],[Profit]]/SalesData[[#This Row],[Sales]],0)</f>
        <v>0.54166666666666663</v>
      </c>
      <c r="R86" t="str">
        <f>TEXT(SalesData[[#This Row],[Order Date]],"mmm-yyyy")</f>
        <v>Sep-2025</v>
      </c>
      <c r="S86">
        <f>YEAR(SalesData[[#This Row],[Order Date]])</f>
        <v>2025</v>
      </c>
      <c r="T86" t="str">
        <f>IF(SalesData[[#This Row],[Profit Margin]]&gt;=30%,"High",IF(SalesData[[#This Row],[Profit Margin]]&gt;=15%,"Medium","Low"))</f>
        <v>High</v>
      </c>
    </row>
    <row r="87" spans="1:20" x14ac:dyDescent="0.35">
      <c r="A87" t="s">
        <v>246</v>
      </c>
      <c r="B87" s="23" t="s">
        <v>247</v>
      </c>
      <c r="C87" t="s">
        <v>248</v>
      </c>
      <c r="D87" t="s">
        <v>25</v>
      </c>
      <c r="E87" t="s">
        <v>89</v>
      </c>
      <c r="F87" t="s">
        <v>37</v>
      </c>
      <c r="G87" t="s">
        <v>97</v>
      </c>
      <c r="H87" t="s">
        <v>125</v>
      </c>
      <c r="I87">
        <v>7</v>
      </c>
      <c r="J87" s="4">
        <v>550</v>
      </c>
      <c r="K87" s="6">
        <v>0.05</v>
      </c>
      <c r="L87" s="8">
        <v>3657.5</v>
      </c>
      <c r="M87" s="8">
        <v>2100</v>
      </c>
      <c r="N87" s="8">
        <v>1557.5</v>
      </c>
      <c r="O87" s="8">
        <f>SalesData[[#This Row],[Quantity]]*SalesData[[#This Row],[Unit Price]]*(1-SalesData[[#This Row],[Discount]])</f>
        <v>3657.5</v>
      </c>
      <c r="P87" s="8">
        <f>SalesData[[#This Row],[Sales_Check]]-SalesData[[#This Row],[Cost]]</f>
        <v>1557.5</v>
      </c>
      <c r="Q87" s="13">
        <f>IFERROR(SalesData[[#This Row],[Profit]]/SalesData[[#This Row],[Sales]],0)</f>
        <v>0.42583732057416268</v>
      </c>
      <c r="R87" t="str">
        <f>TEXT(SalesData[[#This Row],[Order Date]],"mmm-yyyy")</f>
        <v>Sep-2025</v>
      </c>
      <c r="S87">
        <f>YEAR(SalesData[[#This Row],[Order Date]])</f>
        <v>2025</v>
      </c>
      <c r="T87" t="str">
        <f>IF(SalesData[[#This Row],[Profit Margin]]&gt;=30%,"High",IF(SalesData[[#This Row],[Profit Margin]]&gt;=15%,"Medium","Low"))</f>
        <v>High</v>
      </c>
    </row>
    <row r="88" spans="1:20" x14ac:dyDescent="0.35">
      <c r="A88" t="s">
        <v>249</v>
      </c>
      <c r="B88" s="23" t="s">
        <v>247</v>
      </c>
      <c r="C88" t="s">
        <v>173</v>
      </c>
      <c r="D88" t="s">
        <v>43</v>
      </c>
      <c r="E88" t="s">
        <v>250</v>
      </c>
      <c r="F88" t="s">
        <v>37</v>
      </c>
      <c r="G88" t="s">
        <v>38</v>
      </c>
      <c r="H88" t="s">
        <v>33</v>
      </c>
      <c r="I88">
        <v>3</v>
      </c>
      <c r="J88" s="4">
        <v>900</v>
      </c>
      <c r="K88" s="6">
        <v>0</v>
      </c>
      <c r="L88" s="8">
        <v>2700</v>
      </c>
      <c r="M88" s="8">
        <v>1560</v>
      </c>
      <c r="N88" s="8">
        <v>1140</v>
      </c>
      <c r="O88" s="8">
        <f>SalesData[[#This Row],[Quantity]]*SalesData[[#This Row],[Unit Price]]*(1-SalesData[[#This Row],[Discount]])</f>
        <v>2700</v>
      </c>
      <c r="P88" s="8">
        <f>SalesData[[#This Row],[Sales_Check]]-SalesData[[#This Row],[Cost]]</f>
        <v>1140</v>
      </c>
      <c r="Q88" s="13">
        <f>IFERROR(SalesData[[#This Row],[Profit]]/SalesData[[#This Row],[Sales]],0)</f>
        <v>0.42222222222222222</v>
      </c>
      <c r="R88" t="str">
        <f>TEXT(SalesData[[#This Row],[Order Date]],"mmm-yyyy")</f>
        <v>Sep-2025</v>
      </c>
      <c r="S88">
        <f>YEAR(SalesData[[#This Row],[Order Date]])</f>
        <v>2025</v>
      </c>
      <c r="T88" t="str">
        <f>IF(SalesData[[#This Row],[Profit Margin]]&gt;=30%,"High",IF(SalesData[[#This Row],[Profit Margin]]&gt;=15%,"Medium","Low"))</f>
        <v>High</v>
      </c>
    </row>
    <row r="89" spans="1:20" x14ac:dyDescent="0.35">
      <c r="A89" t="s">
        <v>251</v>
      </c>
      <c r="B89" s="23" t="s">
        <v>247</v>
      </c>
      <c r="C89" t="s">
        <v>252</v>
      </c>
      <c r="D89" t="s">
        <v>43</v>
      </c>
      <c r="E89" t="s">
        <v>62</v>
      </c>
      <c r="F89" t="s">
        <v>45</v>
      </c>
      <c r="G89" t="s">
        <v>46</v>
      </c>
      <c r="H89" t="s">
        <v>125</v>
      </c>
      <c r="I89">
        <v>8</v>
      </c>
      <c r="J89" s="4">
        <v>500</v>
      </c>
      <c r="K89" s="6">
        <v>0.05</v>
      </c>
      <c r="L89" s="8">
        <v>3800</v>
      </c>
      <c r="M89" s="8">
        <v>2240</v>
      </c>
      <c r="N89" s="8">
        <v>1560</v>
      </c>
      <c r="O89" s="8">
        <f>SalesData[[#This Row],[Quantity]]*SalesData[[#This Row],[Unit Price]]*(1-SalesData[[#This Row],[Discount]])</f>
        <v>3800</v>
      </c>
      <c r="P89" s="8">
        <f>SalesData[[#This Row],[Sales_Check]]-SalesData[[#This Row],[Cost]]</f>
        <v>1560</v>
      </c>
      <c r="Q89" s="13">
        <f>IFERROR(SalesData[[#This Row],[Profit]]/SalesData[[#This Row],[Sales]],0)</f>
        <v>0.41052631578947368</v>
      </c>
      <c r="R89" t="str">
        <f>TEXT(SalesData[[#This Row],[Order Date]],"mmm-yyyy")</f>
        <v>Sep-2025</v>
      </c>
      <c r="S89">
        <f>YEAR(SalesData[[#This Row],[Order Date]])</f>
        <v>2025</v>
      </c>
      <c r="T89" t="str">
        <f>IF(SalesData[[#This Row],[Profit Margin]]&gt;=30%,"High",IF(SalesData[[#This Row],[Profit Margin]]&gt;=15%,"Medium","Low"))</f>
        <v>High</v>
      </c>
    </row>
    <row r="90" spans="1:20" x14ac:dyDescent="0.35">
      <c r="A90" t="s">
        <v>253</v>
      </c>
      <c r="B90" s="23" t="s">
        <v>247</v>
      </c>
      <c r="C90" t="s">
        <v>254</v>
      </c>
      <c r="D90" t="s">
        <v>17</v>
      </c>
      <c r="E90" t="s">
        <v>65</v>
      </c>
      <c r="F90" t="s">
        <v>45</v>
      </c>
      <c r="G90" t="s">
        <v>104</v>
      </c>
      <c r="H90" t="s">
        <v>33</v>
      </c>
      <c r="I90">
        <v>2</v>
      </c>
      <c r="J90" s="4">
        <v>2200</v>
      </c>
      <c r="K90" s="6">
        <v>0</v>
      </c>
      <c r="L90" s="8">
        <v>4400</v>
      </c>
      <c r="M90" s="8">
        <v>2800</v>
      </c>
      <c r="N90" s="8">
        <v>1600</v>
      </c>
      <c r="O90" s="8">
        <f>SalesData[[#This Row],[Quantity]]*SalesData[[#This Row],[Unit Price]]*(1-SalesData[[#This Row],[Discount]])</f>
        <v>4400</v>
      </c>
      <c r="P90" s="8">
        <f>SalesData[[#This Row],[Sales_Check]]-SalesData[[#This Row],[Cost]]</f>
        <v>1600</v>
      </c>
      <c r="Q90" s="13">
        <f>IFERROR(SalesData[[#This Row],[Profit]]/SalesData[[#This Row],[Sales]],0)</f>
        <v>0.36363636363636365</v>
      </c>
      <c r="R90" t="str">
        <f>TEXT(SalesData[[#This Row],[Order Date]],"mmm-yyyy")</f>
        <v>Sep-2025</v>
      </c>
      <c r="S90">
        <f>YEAR(SalesData[[#This Row],[Order Date]])</f>
        <v>2025</v>
      </c>
      <c r="T90" t="str">
        <f>IF(SalesData[[#This Row],[Profit Margin]]&gt;=30%,"High",IF(SalesData[[#This Row],[Profit Margin]]&gt;=15%,"Medium","Low"))</f>
        <v>High</v>
      </c>
    </row>
    <row r="91" spans="1:20" x14ac:dyDescent="0.35">
      <c r="A91" t="s">
        <v>255</v>
      </c>
      <c r="B91" s="23" t="s">
        <v>256</v>
      </c>
      <c r="C91" t="s">
        <v>257</v>
      </c>
      <c r="D91" t="s">
        <v>25</v>
      </c>
      <c r="E91" t="s">
        <v>80</v>
      </c>
      <c r="F91" t="s">
        <v>19</v>
      </c>
      <c r="G91" t="s">
        <v>113</v>
      </c>
      <c r="H91" t="s">
        <v>33</v>
      </c>
      <c r="I91">
        <v>10</v>
      </c>
      <c r="J91" s="4">
        <v>950</v>
      </c>
      <c r="K91" s="6">
        <v>0.05</v>
      </c>
      <c r="L91" s="8">
        <v>9025</v>
      </c>
      <c r="M91" s="8">
        <v>5600</v>
      </c>
      <c r="N91" s="8">
        <v>3425</v>
      </c>
      <c r="O91" s="8">
        <f>SalesData[[#This Row],[Quantity]]*SalesData[[#This Row],[Unit Price]]*(1-SalesData[[#This Row],[Discount]])</f>
        <v>9025</v>
      </c>
      <c r="P91" s="8">
        <f>SalesData[[#This Row],[Sales_Check]]-SalesData[[#This Row],[Cost]]</f>
        <v>3425</v>
      </c>
      <c r="Q91" s="13">
        <f>IFERROR(SalesData[[#This Row],[Profit]]/SalesData[[#This Row],[Sales]],0)</f>
        <v>0.37950138504155123</v>
      </c>
      <c r="R91" t="str">
        <f>TEXT(SalesData[[#This Row],[Order Date]],"mmm-yyyy")</f>
        <v>Oct-2025</v>
      </c>
      <c r="S91">
        <f>YEAR(SalesData[[#This Row],[Order Date]])</f>
        <v>2025</v>
      </c>
      <c r="T91" t="str">
        <f>IF(SalesData[[#This Row],[Profit Margin]]&gt;=30%,"High",IF(SalesData[[#This Row],[Profit Margin]]&gt;=15%,"Medium","Low"))</f>
        <v>High</v>
      </c>
    </row>
    <row r="92" spans="1:20" x14ac:dyDescent="0.35">
      <c r="A92" t="s">
        <v>258</v>
      </c>
      <c r="B92" s="23" t="s">
        <v>259</v>
      </c>
      <c r="C92" t="s">
        <v>232</v>
      </c>
      <c r="D92" t="s">
        <v>43</v>
      </c>
      <c r="E92" t="s">
        <v>143</v>
      </c>
      <c r="F92" t="s">
        <v>19</v>
      </c>
      <c r="G92" t="s">
        <v>56</v>
      </c>
      <c r="H92" t="s">
        <v>125</v>
      </c>
      <c r="I92">
        <v>3</v>
      </c>
      <c r="J92" s="4">
        <v>650</v>
      </c>
      <c r="K92" s="6">
        <v>0.1</v>
      </c>
      <c r="L92" s="8">
        <v>1755</v>
      </c>
      <c r="M92" s="8">
        <v>1050</v>
      </c>
      <c r="N92" s="8">
        <v>705</v>
      </c>
      <c r="O92" s="8">
        <f>SalesData[[#This Row],[Quantity]]*SalesData[[#This Row],[Unit Price]]*(1-SalesData[[#This Row],[Discount]])</f>
        <v>1755</v>
      </c>
      <c r="P92" s="8">
        <f>SalesData[[#This Row],[Sales_Check]]-SalesData[[#This Row],[Cost]]</f>
        <v>705</v>
      </c>
      <c r="Q92" s="13">
        <f>IFERROR(SalesData[[#This Row],[Profit]]/SalesData[[#This Row],[Sales]],0)</f>
        <v>0.40170940170940173</v>
      </c>
      <c r="R92" t="str">
        <f>TEXT(SalesData[[#This Row],[Order Date]],"mmm-yyyy")</f>
        <v>Oct-2025</v>
      </c>
      <c r="S92">
        <f>YEAR(SalesData[[#This Row],[Order Date]])</f>
        <v>2025</v>
      </c>
      <c r="T92" t="str">
        <f>IF(SalesData[[#This Row],[Profit Margin]]&gt;=30%,"High",IF(SalesData[[#This Row],[Profit Margin]]&gt;=15%,"Medium","Low"))</f>
        <v>High</v>
      </c>
    </row>
    <row r="93" spans="1:20" x14ac:dyDescent="0.35">
      <c r="A93" t="s">
        <v>260</v>
      </c>
      <c r="B93" s="23" t="s">
        <v>259</v>
      </c>
      <c r="C93" t="s">
        <v>261</v>
      </c>
      <c r="D93" t="s">
        <v>43</v>
      </c>
      <c r="E93" t="s">
        <v>250</v>
      </c>
      <c r="F93" t="s">
        <v>37</v>
      </c>
      <c r="G93" t="s">
        <v>38</v>
      </c>
      <c r="H93" t="s">
        <v>21</v>
      </c>
      <c r="I93">
        <v>10</v>
      </c>
      <c r="J93" s="4">
        <v>900</v>
      </c>
      <c r="K93" s="6">
        <v>0</v>
      </c>
      <c r="L93" s="8">
        <v>9000</v>
      </c>
      <c r="M93" s="8">
        <v>5200</v>
      </c>
      <c r="N93" s="8">
        <v>3800</v>
      </c>
      <c r="O93" s="8">
        <f>SalesData[[#This Row],[Quantity]]*SalesData[[#This Row],[Unit Price]]*(1-SalesData[[#This Row],[Discount]])</f>
        <v>9000</v>
      </c>
      <c r="P93" s="8">
        <f>SalesData[[#This Row],[Sales_Check]]-SalesData[[#This Row],[Cost]]</f>
        <v>3800</v>
      </c>
      <c r="Q93" s="13">
        <f>IFERROR(SalesData[[#This Row],[Profit]]/SalesData[[#This Row],[Sales]],0)</f>
        <v>0.42222222222222222</v>
      </c>
      <c r="R93" t="str">
        <f>TEXT(SalesData[[#This Row],[Order Date]],"mmm-yyyy")</f>
        <v>Oct-2025</v>
      </c>
      <c r="S93">
        <f>YEAR(SalesData[[#This Row],[Order Date]])</f>
        <v>2025</v>
      </c>
      <c r="T93" t="str">
        <f>IF(SalesData[[#This Row],[Profit Margin]]&gt;=30%,"High",IF(SalesData[[#This Row],[Profit Margin]]&gt;=15%,"Medium","Low"))</f>
        <v>High</v>
      </c>
    </row>
    <row r="94" spans="1:20" x14ac:dyDescent="0.35">
      <c r="A94" t="s">
        <v>262</v>
      </c>
      <c r="B94" s="23" t="s">
        <v>263</v>
      </c>
      <c r="C94" t="s">
        <v>264</v>
      </c>
      <c r="D94" t="s">
        <v>54</v>
      </c>
      <c r="E94" t="s">
        <v>107</v>
      </c>
      <c r="F94" t="s">
        <v>19</v>
      </c>
      <c r="G94" t="s">
        <v>20</v>
      </c>
      <c r="H94" t="s">
        <v>29</v>
      </c>
      <c r="I94">
        <v>5</v>
      </c>
      <c r="J94" s="4">
        <v>120</v>
      </c>
      <c r="K94" s="6">
        <v>0</v>
      </c>
      <c r="L94" s="8">
        <v>600</v>
      </c>
      <c r="M94" s="8">
        <v>275</v>
      </c>
      <c r="N94" s="8">
        <v>325</v>
      </c>
      <c r="O94" s="8">
        <f>SalesData[[#This Row],[Quantity]]*SalesData[[#This Row],[Unit Price]]*(1-SalesData[[#This Row],[Discount]])</f>
        <v>600</v>
      </c>
      <c r="P94" s="8">
        <f>SalesData[[#This Row],[Sales_Check]]-SalesData[[#This Row],[Cost]]</f>
        <v>325</v>
      </c>
      <c r="Q94" s="13">
        <f>IFERROR(SalesData[[#This Row],[Profit]]/SalesData[[#This Row],[Sales]],0)</f>
        <v>0.54166666666666663</v>
      </c>
      <c r="R94" t="str">
        <f>TEXT(SalesData[[#This Row],[Order Date]],"mmm-yyyy")</f>
        <v>Oct-2025</v>
      </c>
      <c r="S94">
        <f>YEAR(SalesData[[#This Row],[Order Date]])</f>
        <v>2025</v>
      </c>
      <c r="T94" t="str">
        <f>IF(SalesData[[#This Row],[Profit Margin]]&gt;=30%,"High",IF(SalesData[[#This Row],[Profit Margin]]&gt;=15%,"Medium","Low"))</f>
        <v>High</v>
      </c>
    </row>
    <row r="95" spans="1:20" x14ac:dyDescent="0.35">
      <c r="A95" t="s">
        <v>265</v>
      </c>
      <c r="B95" s="23" t="s">
        <v>266</v>
      </c>
      <c r="C95" t="s">
        <v>267</v>
      </c>
      <c r="D95" t="s">
        <v>54</v>
      </c>
      <c r="E95" t="s">
        <v>55</v>
      </c>
      <c r="F95" t="s">
        <v>45</v>
      </c>
      <c r="G95" t="s">
        <v>104</v>
      </c>
      <c r="H95" t="s">
        <v>125</v>
      </c>
      <c r="I95">
        <v>4</v>
      </c>
      <c r="J95" s="4">
        <v>180</v>
      </c>
      <c r="K95" s="6">
        <v>0.05</v>
      </c>
      <c r="L95" s="8">
        <v>684</v>
      </c>
      <c r="M95" s="8">
        <v>360</v>
      </c>
      <c r="N95" s="8">
        <v>324</v>
      </c>
      <c r="O95" s="8">
        <f>SalesData[[#This Row],[Quantity]]*SalesData[[#This Row],[Unit Price]]*(1-SalesData[[#This Row],[Discount]])</f>
        <v>684</v>
      </c>
      <c r="P95" s="8">
        <f>SalesData[[#This Row],[Sales_Check]]-SalesData[[#This Row],[Cost]]</f>
        <v>324</v>
      </c>
      <c r="Q95" s="13">
        <f>IFERROR(SalesData[[#This Row],[Profit]]/SalesData[[#This Row],[Sales]],0)</f>
        <v>0.47368421052631576</v>
      </c>
      <c r="R95" t="str">
        <f>TEXT(SalesData[[#This Row],[Order Date]],"mmm-yyyy")</f>
        <v>Oct-2025</v>
      </c>
      <c r="S95">
        <f>YEAR(SalesData[[#This Row],[Order Date]])</f>
        <v>2025</v>
      </c>
      <c r="T95" t="str">
        <f>IF(SalesData[[#This Row],[Profit Margin]]&gt;=30%,"High",IF(SalesData[[#This Row],[Profit Margin]]&gt;=15%,"Medium","Low"))</f>
        <v>High</v>
      </c>
    </row>
    <row r="96" spans="1:20" x14ac:dyDescent="0.35">
      <c r="A96" t="s">
        <v>268</v>
      </c>
      <c r="B96" s="23" t="s">
        <v>269</v>
      </c>
      <c r="C96" t="s">
        <v>127</v>
      </c>
      <c r="D96" t="s">
        <v>54</v>
      </c>
      <c r="E96" t="s">
        <v>110</v>
      </c>
      <c r="F96" t="s">
        <v>19</v>
      </c>
      <c r="G96" t="s">
        <v>113</v>
      </c>
      <c r="H96" t="s">
        <v>21</v>
      </c>
      <c r="I96">
        <v>4</v>
      </c>
      <c r="J96" s="4">
        <v>280</v>
      </c>
      <c r="K96" s="6">
        <v>0</v>
      </c>
      <c r="L96" s="8">
        <v>1120</v>
      </c>
      <c r="M96" s="8">
        <v>600</v>
      </c>
      <c r="N96" s="8">
        <v>520</v>
      </c>
      <c r="O96" s="8">
        <f>SalesData[[#This Row],[Quantity]]*SalesData[[#This Row],[Unit Price]]*(1-SalesData[[#This Row],[Discount]])</f>
        <v>1120</v>
      </c>
      <c r="P96" s="8">
        <f>SalesData[[#This Row],[Sales_Check]]-SalesData[[#This Row],[Cost]]</f>
        <v>520</v>
      </c>
      <c r="Q96" s="13">
        <f>IFERROR(SalesData[[#This Row],[Profit]]/SalesData[[#This Row],[Sales]],0)</f>
        <v>0.4642857142857143</v>
      </c>
      <c r="R96" t="str">
        <f>TEXT(SalesData[[#This Row],[Order Date]],"mmm-yyyy")</f>
        <v>Oct-2025</v>
      </c>
      <c r="S96">
        <f>YEAR(SalesData[[#This Row],[Order Date]])</f>
        <v>2025</v>
      </c>
      <c r="T96" t="str">
        <f>IF(SalesData[[#This Row],[Profit Margin]]&gt;=30%,"High",IF(SalesData[[#This Row],[Profit Margin]]&gt;=15%,"Medium","Low"))</f>
        <v>High</v>
      </c>
    </row>
    <row r="97" spans="1:20" x14ac:dyDescent="0.35">
      <c r="A97" t="s">
        <v>270</v>
      </c>
      <c r="B97" s="23" t="s">
        <v>269</v>
      </c>
      <c r="C97" t="s">
        <v>201</v>
      </c>
      <c r="D97" t="s">
        <v>17</v>
      </c>
      <c r="E97" t="s">
        <v>124</v>
      </c>
      <c r="F97" t="s">
        <v>19</v>
      </c>
      <c r="G97" t="s">
        <v>113</v>
      </c>
      <c r="H97" t="s">
        <v>33</v>
      </c>
      <c r="I97">
        <v>7</v>
      </c>
      <c r="J97" s="4">
        <v>1200</v>
      </c>
      <c r="K97" s="6">
        <v>0.1</v>
      </c>
      <c r="L97" s="8">
        <v>7560</v>
      </c>
      <c r="M97" s="8">
        <v>5040</v>
      </c>
      <c r="N97" s="8">
        <v>2520</v>
      </c>
      <c r="O97" s="8">
        <f>SalesData[[#This Row],[Quantity]]*SalesData[[#This Row],[Unit Price]]*(1-SalesData[[#This Row],[Discount]])</f>
        <v>7560</v>
      </c>
      <c r="P97" s="8">
        <f>SalesData[[#This Row],[Sales_Check]]-SalesData[[#This Row],[Cost]]</f>
        <v>2520</v>
      </c>
      <c r="Q97" s="13">
        <f>IFERROR(SalesData[[#This Row],[Profit]]/SalesData[[#This Row],[Sales]],0)</f>
        <v>0.33333333333333331</v>
      </c>
      <c r="R97" t="str">
        <f>TEXT(SalesData[[#This Row],[Order Date]],"mmm-yyyy")</f>
        <v>Oct-2025</v>
      </c>
      <c r="S97">
        <f>YEAR(SalesData[[#This Row],[Order Date]])</f>
        <v>2025</v>
      </c>
      <c r="T97" t="str">
        <f>IF(SalesData[[#This Row],[Profit Margin]]&gt;=30%,"High",IF(SalesData[[#This Row],[Profit Margin]]&gt;=15%,"Medium","Low"))</f>
        <v>High</v>
      </c>
    </row>
    <row r="98" spans="1:20" x14ac:dyDescent="0.35">
      <c r="A98" t="s">
        <v>271</v>
      </c>
      <c r="B98" s="23" t="s">
        <v>269</v>
      </c>
      <c r="C98" t="s">
        <v>272</v>
      </c>
      <c r="D98" t="s">
        <v>17</v>
      </c>
      <c r="E98" t="s">
        <v>50</v>
      </c>
      <c r="F98" t="s">
        <v>27</v>
      </c>
      <c r="G98" t="s">
        <v>90</v>
      </c>
      <c r="H98" t="s">
        <v>29</v>
      </c>
      <c r="I98">
        <v>9</v>
      </c>
      <c r="J98" s="4">
        <v>650</v>
      </c>
      <c r="K98" s="6">
        <v>0</v>
      </c>
      <c r="L98" s="8">
        <v>5850</v>
      </c>
      <c r="M98" s="8">
        <v>3420</v>
      </c>
      <c r="N98" s="8">
        <v>2430</v>
      </c>
      <c r="O98" s="8">
        <f>SalesData[[#This Row],[Quantity]]*SalesData[[#This Row],[Unit Price]]*(1-SalesData[[#This Row],[Discount]])</f>
        <v>5850</v>
      </c>
      <c r="P98" s="8">
        <f>SalesData[[#This Row],[Sales_Check]]-SalesData[[#This Row],[Cost]]</f>
        <v>2430</v>
      </c>
      <c r="Q98" s="13">
        <f>IFERROR(SalesData[[#This Row],[Profit]]/SalesData[[#This Row],[Sales]],0)</f>
        <v>0.41538461538461541</v>
      </c>
      <c r="R98" t="str">
        <f>TEXT(SalesData[[#This Row],[Order Date]],"mmm-yyyy")</f>
        <v>Oct-2025</v>
      </c>
      <c r="S98">
        <f>YEAR(SalesData[[#This Row],[Order Date]])</f>
        <v>2025</v>
      </c>
      <c r="T98" t="str">
        <f>IF(SalesData[[#This Row],[Profit Margin]]&gt;=30%,"High",IF(SalesData[[#This Row],[Profit Margin]]&gt;=15%,"Medium","Low"))</f>
        <v>High</v>
      </c>
    </row>
    <row r="99" spans="1:20" x14ac:dyDescent="0.35">
      <c r="A99" t="s">
        <v>273</v>
      </c>
      <c r="B99" s="23" t="s">
        <v>269</v>
      </c>
      <c r="C99" t="s">
        <v>68</v>
      </c>
      <c r="D99" t="s">
        <v>25</v>
      </c>
      <c r="E99" t="s">
        <v>89</v>
      </c>
      <c r="F99" t="s">
        <v>19</v>
      </c>
      <c r="G99" t="s">
        <v>20</v>
      </c>
      <c r="H99" t="s">
        <v>29</v>
      </c>
      <c r="I99">
        <v>8</v>
      </c>
      <c r="J99" s="4">
        <v>550</v>
      </c>
      <c r="K99" s="6">
        <v>0.1</v>
      </c>
      <c r="L99" s="8">
        <v>3960</v>
      </c>
      <c r="M99" s="8">
        <v>2400</v>
      </c>
      <c r="N99" s="8">
        <v>1560</v>
      </c>
      <c r="O99" s="8">
        <f>SalesData[[#This Row],[Quantity]]*SalesData[[#This Row],[Unit Price]]*(1-SalesData[[#This Row],[Discount]])</f>
        <v>3960</v>
      </c>
      <c r="P99" s="8">
        <f>SalesData[[#This Row],[Sales_Check]]-SalesData[[#This Row],[Cost]]</f>
        <v>1560</v>
      </c>
      <c r="Q99" s="13">
        <f>IFERROR(SalesData[[#This Row],[Profit]]/SalesData[[#This Row],[Sales]],0)</f>
        <v>0.39393939393939392</v>
      </c>
      <c r="R99" t="str">
        <f>TEXT(SalesData[[#This Row],[Order Date]],"mmm-yyyy")</f>
        <v>Oct-2025</v>
      </c>
      <c r="S99">
        <f>YEAR(SalesData[[#This Row],[Order Date]])</f>
        <v>2025</v>
      </c>
      <c r="T99" t="str">
        <f>IF(SalesData[[#This Row],[Profit Margin]]&gt;=30%,"High",IF(SalesData[[#This Row],[Profit Margin]]&gt;=15%,"Medium","Low"))</f>
        <v>High</v>
      </c>
    </row>
    <row r="100" spans="1:20" x14ac:dyDescent="0.35">
      <c r="A100" t="s">
        <v>274</v>
      </c>
      <c r="B100" s="23" t="s">
        <v>269</v>
      </c>
      <c r="C100" t="s">
        <v>275</v>
      </c>
      <c r="D100" t="s">
        <v>25</v>
      </c>
      <c r="E100" t="s">
        <v>26</v>
      </c>
      <c r="F100" t="s">
        <v>37</v>
      </c>
      <c r="G100" t="s">
        <v>73</v>
      </c>
      <c r="H100" t="s">
        <v>21</v>
      </c>
      <c r="I100">
        <v>1</v>
      </c>
      <c r="J100" s="4">
        <v>600</v>
      </c>
      <c r="K100" s="6">
        <v>0</v>
      </c>
      <c r="L100" s="8">
        <v>600</v>
      </c>
      <c r="M100" s="8">
        <v>330</v>
      </c>
      <c r="N100" s="8">
        <v>270</v>
      </c>
      <c r="O100" s="8">
        <f>SalesData[[#This Row],[Quantity]]*SalesData[[#This Row],[Unit Price]]*(1-SalesData[[#This Row],[Discount]])</f>
        <v>600</v>
      </c>
      <c r="P100" s="8">
        <f>SalesData[[#This Row],[Sales_Check]]-SalesData[[#This Row],[Cost]]</f>
        <v>270</v>
      </c>
      <c r="Q100" s="13">
        <f>IFERROR(SalesData[[#This Row],[Profit]]/SalesData[[#This Row],[Sales]],0)</f>
        <v>0.45</v>
      </c>
      <c r="R100" t="str">
        <f>TEXT(SalesData[[#This Row],[Order Date]],"mmm-yyyy")</f>
        <v>Oct-2025</v>
      </c>
      <c r="S100">
        <f>YEAR(SalesData[[#This Row],[Order Date]])</f>
        <v>2025</v>
      </c>
      <c r="T100" t="str">
        <f>IF(SalesData[[#This Row],[Profit Margin]]&gt;=30%,"High",IF(SalesData[[#This Row],[Profit Margin]]&gt;=15%,"Medium","Low"))</f>
        <v>High</v>
      </c>
    </row>
    <row r="101" spans="1:20" x14ac:dyDescent="0.35">
      <c r="A101" t="s">
        <v>276</v>
      </c>
      <c r="B101" s="23" t="s">
        <v>277</v>
      </c>
      <c r="C101" t="s">
        <v>93</v>
      </c>
      <c r="D101" t="s">
        <v>17</v>
      </c>
      <c r="E101" t="s">
        <v>50</v>
      </c>
      <c r="F101" t="s">
        <v>19</v>
      </c>
      <c r="G101" t="s">
        <v>113</v>
      </c>
      <c r="H101" t="s">
        <v>21</v>
      </c>
      <c r="I101">
        <v>3</v>
      </c>
      <c r="J101" s="4">
        <v>650</v>
      </c>
      <c r="K101" s="6">
        <v>0</v>
      </c>
      <c r="L101" s="8">
        <v>1950</v>
      </c>
      <c r="M101" s="8">
        <v>1140</v>
      </c>
      <c r="N101" s="8">
        <v>810</v>
      </c>
      <c r="O101" s="8">
        <f>SalesData[[#This Row],[Quantity]]*SalesData[[#This Row],[Unit Price]]*(1-SalesData[[#This Row],[Discount]])</f>
        <v>1950</v>
      </c>
      <c r="P101" s="8">
        <f>SalesData[[#This Row],[Sales_Check]]-SalesData[[#This Row],[Cost]]</f>
        <v>810</v>
      </c>
      <c r="Q101" s="13">
        <f>IFERROR(SalesData[[#This Row],[Profit]]/SalesData[[#This Row],[Sales]],0)</f>
        <v>0.41538461538461541</v>
      </c>
      <c r="R101" t="str">
        <f>TEXT(SalesData[[#This Row],[Order Date]],"mmm-yyyy")</f>
        <v>Oct-2025</v>
      </c>
      <c r="S101">
        <f>YEAR(SalesData[[#This Row],[Order Date]])</f>
        <v>2025</v>
      </c>
      <c r="T101" t="str">
        <f>IF(SalesData[[#This Row],[Profit Margin]]&gt;=30%,"High",IF(SalesData[[#This Row],[Profit Margin]]&gt;=15%,"Medium","Low"))</f>
        <v>High</v>
      </c>
    </row>
    <row r="102" spans="1:20" x14ac:dyDescent="0.35">
      <c r="A102" t="s">
        <v>278</v>
      </c>
      <c r="B102" s="23" t="s">
        <v>277</v>
      </c>
      <c r="C102" t="s">
        <v>192</v>
      </c>
      <c r="D102" t="s">
        <v>17</v>
      </c>
      <c r="E102" t="s">
        <v>65</v>
      </c>
      <c r="F102" t="s">
        <v>27</v>
      </c>
      <c r="G102" t="s">
        <v>85</v>
      </c>
      <c r="H102" t="s">
        <v>21</v>
      </c>
      <c r="I102">
        <v>4</v>
      </c>
      <c r="J102" s="4">
        <v>2200</v>
      </c>
      <c r="K102" s="6">
        <v>0.05</v>
      </c>
      <c r="L102" s="8">
        <v>8360</v>
      </c>
      <c r="M102" s="8">
        <v>5600</v>
      </c>
      <c r="N102" s="8">
        <v>2760</v>
      </c>
      <c r="O102" s="8">
        <f>SalesData[[#This Row],[Quantity]]*SalesData[[#This Row],[Unit Price]]*(1-SalesData[[#This Row],[Discount]])</f>
        <v>8360</v>
      </c>
      <c r="P102" s="8">
        <f>SalesData[[#This Row],[Sales_Check]]-SalesData[[#This Row],[Cost]]</f>
        <v>2760</v>
      </c>
      <c r="Q102" s="13">
        <f>IFERROR(SalesData[[#This Row],[Profit]]/SalesData[[#This Row],[Sales]],0)</f>
        <v>0.33014354066985646</v>
      </c>
      <c r="R102" t="str">
        <f>TEXT(SalesData[[#This Row],[Order Date]],"mmm-yyyy")</f>
        <v>Oct-2025</v>
      </c>
      <c r="S102">
        <f>YEAR(SalesData[[#This Row],[Order Date]])</f>
        <v>2025</v>
      </c>
      <c r="T102" t="str">
        <f>IF(SalesData[[#This Row],[Profit Margin]]&gt;=30%,"High",IF(SalesData[[#This Row],[Profit Margin]]&gt;=15%,"Medium","Low"))</f>
        <v>High</v>
      </c>
    </row>
    <row r="103" spans="1:20" x14ac:dyDescent="0.35">
      <c r="A103" t="s">
        <v>279</v>
      </c>
      <c r="B103" s="23" t="s">
        <v>277</v>
      </c>
      <c r="C103" t="s">
        <v>280</v>
      </c>
      <c r="D103" t="s">
        <v>43</v>
      </c>
      <c r="E103" t="s">
        <v>250</v>
      </c>
      <c r="F103" t="s">
        <v>37</v>
      </c>
      <c r="G103" t="s">
        <v>38</v>
      </c>
      <c r="H103" t="s">
        <v>33</v>
      </c>
      <c r="I103">
        <v>7</v>
      </c>
      <c r="J103" s="4">
        <v>900</v>
      </c>
      <c r="K103" s="6">
        <v>0.15</v>
      </c>
      <c r="L103" s="8">
        <v>5355</v>
      </c>
      <c r="M103" s="8">
        <v>3640</v>
      </c>
      <c r="N103" s="8">
        <v>1715</v>
      </c>
      <c r="O103" s="8">
        <f>SalesData[[#This Row],[Quantity]]*SalesData[[#This Row],[Unit Price]]*(1-SalesData[[#This Row],[Discount]])</f>
        <v>5355</v>
      </c>
      <c r="P103" s="8">
        <f>SalesData[[#This Row],[Sales_Check]]-SalesData[[#This Row],[Cost]]</f>
        <v>1715</v>
      </c>
      <c r="Q103" s="13">
        <f>IFERROR(SalesData[[#This Row],[Profit]]/SalesData[[#This Row],[Sales]],0)</f>
        <v>0.3202614379084967</v>
      </c>
      <c r="R103" t="str">
        <f>TEXT(SalesData[[#This Row],[Order Date]],"mmm-yyyy")</f>
        <v>Oct-2025</v>
      </c>
      <c r="S103">
        <f>YEAR(SalesData[[#This Row],[Order Date]])</f>
        <v>2025</v>
      </c>
      <c r="T103" t="str">
        <f>IF(SalesData[[#This Row],[Profit Margin]]&gt;=30%,"High",IF(SalesData[[#This Row],[Profit Margin]]&gt;=15%,"Medium","Low"))</f>
        <v>High</v>
      </c>
    </row>
    <row r="104" spans="1:20" x14ac:dyDescent="0.35">
      <c r="A104" t="s">
        <v>281</v>
      </c>
      <c r="B104" s="23" t="s">
        <v>277</v>
      </c>
      <c r="C104" t="s">
        <v>282</v>
      </c>
      <c r="D104" t="s">
        <v>17</v>
      </c>
      <c r="E104" t="s">
        <v>124</v>
      </c>
      <c r="F104" t="s">
        <v>37</v>
      </c>
      <c r="G104" t="s">
        <v>73</v>
      </c>
      <c r="H104" t="s">
        <v>125</v>
      </c>
      <c r="I104">
        <v>7</v>
      </c>
      <c r="J104" s="4">
        <v>1200</v>
      </c>
      <c r="K104" s="6">
        <v>0.05</v>
      </c>
      <c r="L104" s="8">
        <v>7980</v>
      </c>
      <c r="M104" s="8">
        <v>5040</v>
      </c>
      <c r="N104" s="8">
        <v>2940</v>
      </c>
      <c r="O104" s="8">
        <f>SalesData[[#This Row],[Quantity]]*SalesData[[#This Row],[Unit Price]]*(1-SalesData[[#This Row],[Discount]])</f>
        <v>7980</v>
      </c>
      <c r="P104" s="8">
        <f>SalesData[[#This Row],[Sales_Check]]-SalesData[[#This Row],[Cost]]</f>
        <v>2940</v>
      </c>
      <c r="Q104" s="13">
        <f>IFERROR(SalesData[[#This Row],[Profit]]/SalesData[[#This Row],[Sales]],0)</f>
        <v>0.36842105263157893</v>
      </c>
      <c r="R104" t="str">
        <f>TEXT(SalesData[[#This Row],[Order Date]],"mmm-yyyy")</f>
        <v>Oct-2025</v>
      </c>
      <c r="S104">
        <f>YEAR(SalesData[[#This Row],[Order Date]])</f>
        <v>2025</v>
      </c>
      <c r="T104" t="str">
        <f>IF(SalesData[[#This Row],[Profit Margin]]&gt;=30%,"High",IF(SalesData[[#This Row],[Profit Margin]]&gt;=15%,"Medium","Low"))</f>
        <v>High</v>
      </c>
    </row>
    <row r="105" spans="1:20" x14ac:dyDescent="0.35">
      <c r="A105" t="s">
        <v>283</v>
      </c>
      <c r="B105" s="23" t="s">
        <v>284</v>
      </c>
      <c r="C105" t="s">
        <v>211</v>
      </c>
      <c r="D105" t="s">
        <v>17</v>
      </c>
      <c r="E105" t="s">
        <v>18</v>
      </c>
      <c r="F105" t="s">
        <v>37</v>
      </c>
      <c r="G105" t="s">
        <v>140</v>
      </c>
      <c r="H105" t="s">
        <v>125</v>
      </c>
      <c r="I105">
        <v>9</v>
      </c>
      <c r="J105" s="4">
        <v>1800</v>
      </c>
      <c r="K105" s="6">
        <v>0.05</v>
      </c>
      <c r="L105" s="8">
        <v>15390</v>
      </c>
      <c r="M105" s="8">
        <v>9900</v>
      </c>
      <c r="N105" s="8">
        <v>5490</v>
      </c>
      <c r="O105" s="8">
        <f>SalesData[[#This Row],[Quantity]]*SalesData[[#This Row],[Unit Price]]*(1-SalesData[[#This Row],[Discount]])</f>
        <v>15390</v>
      </c>
      <c r="P105" s="8">
        <f>SalesData[[#This Row],[Sales_Check]]-SalesData[[#This Row],[Cost]]</f>
        <v>5490</v>
      </c>
      <c r="Q105" s="13">
        <f>IFERROR(SalesData[[#This Row],[Profit]]/SalesData[[#This Row],[Sales]],0)</f>
        <v>0.35672514619883039</v>
      </c>
      <c r="R105" t="str">
        <f>TEXT(SalesData[[#This Row],[Order Date]],"mmm-yyyy")</f>
        <v>Oct-2025</v>
      </c>
      <c r="S105">
        <f>YEAR(SalesData[[#This Row],[Order Date]])</f>
        <v>2025</v>
      </c>
      <c r="T105" t="str">
        <f>IF(SalesData[[#This Row],[Profit Margin]]&gt;=30%,"High",IF(SalesData[[#This Row],[Profit Margin]]&gt;=15%,"Medium","Low"))</f>
        <v>High</v>
      </c>
    </row>
    <row r="106" spans="1:20" x14ac:dyDescent="0.35">
      <c r="A106" t="s">
        <v>285</v>
      </c>
      <c r="B106" s="23" t="s">
        <v>286</v>
      </c>
      <c r="C106" t="s">
        <v>287</v>
      </c>
      <c r="D106" t="s">
        <v>25</v>
      </c>
      <c r="E106" t="s">
        <v>36</v>
      </c>
      <c r="F106" t="s">
        <v>19</v>
      </c>
      <c r="G106" t="s">
        <v>215</v>
      </c>
      <c r="H106" t="s">
        <v>21</v>
      </c>
      <c r="I106">
        <v>2</v>
      </c>
      <c r="J106" s="4">
        <v>700</v>
      </c>
      <c r="K106" s="6">
        <v>0</v>
      </c>
      <c r="L106" s="8">
        <v>1400</v>
      </c>
      <c r="M106" s="8">
        <v>800</v>
      </c>
      <c r="N106" s="8">
        <v>600</v>
      </c>
      <c r="O106" s="8">
        <f>SalesData[[#This Row],[Quantity]]*SalesData[[#This Row],[Unit Price]]*(1-SalesData[[#This Row],[Discount]])</f>
        <v>1400</v>
      </c>
      <c r="P106" s="8">
        <f>SalesData[[#This Row],[Sales_Check]]-SalesData[[#This Row],[Cost]]</f>
        <v>600</v>
      </c>
      <c r="Q106" s="13">
        <f>IFERROR(SalesData[[#This Row],[Profit]]/SalesData[[#This Row],[Sales]],0)</f>
        <v>0.42857142857142855</v>
      </c>
      <c r="R106" t="str">
        <f>TEXT(SalesData[[#This Row],[Order Date]],"mmm-yyyy")</f>
        <v>Oct-2025</v>
      </c>
      <c r="S106">
        <f>YEAR(SalesData[[#This Row],[Order Date]])</f>
        <v>2025</v>
      </c>
      <c r="T106" t="str">
        <f>IF(SalesData[[#This Row],[Profit Margin]]&gt;=30%,"High",IF(SalesData[[#This Row],[Profit Margin]]&gt;=15%,"Medium","Low"))</f>
        <v>High</v>
      </c>
    </row>
    <row r="107" spans="1:20" x14ac:dyDescent="0.35">
      <c r="A107" t="s">
        <v>288</v>
      </c>
      <c r="B107" s="23" t="s">
        <v>289</v>
      </c>
      <c r="C107" t="s">
        <v>290</v>
      </c>
      <c r="D107" t="s">
        <v>54</v>
      </c>
      <c r="E107" t="s">
        <v>107</v>
      </c>
      <c r="F107" t="s">
        <v>45</v>
      </c>
      <c r="G107" t="s">
        <v>104</v>
      </c>
      <c r="H107" t="s">
        <v>29</v>
      </c>
      <c r="I107">
        <v>8</v>
      </c>
      <c r="J107" s="4">
        <v>120</v>
      </c>
      <c r="K107" s="6">
        <v>0</v>
      </c>
      <c r="L107" s="8">
        <v>960</v>
      </c>
      <c r="M107" s="8">
        <v>440</v>
      </c>
      <c r="N107" s="8">
        <v>520</v>
      </c>
      <c r="O107" s="8">
        <f>SalesData[[#This Row],[Quantity]]*SalesData[[#This Row],[Unit Price]]*(1-SalesData[[#This Row],[Discount]])</f>
        <v>960</v>
      </c>
      <c r="P107" s="8">
        <f>SalesData[[#This Row],[Sales_Check]]-SalesData[[#This Row],[Cost]]</f>
        <v>520</v>
      </c>
      <c r="Q107" s="13">
        <f>IFERROR(SalesData[[#This Row],[Profit]]/SalesData[[#This Row],[Sales]],0)</f>
        <v>0.54166666666666663</v>
      </c>
      <c r="R107" t="str">
        <f>TEXT(SalesData[[#This Row],[Order Date]],"mmm-yyyy")</f>
        <v>Oct-2025</v>
      </c>
      <c r="S107">
        <f>YEAR(SalesData[[#This Row],[Order Date]])</f>
        <v>2025</v>
      </c>
      <c r="T107" t="str">
        <f>IF(SalesData[[#This Row],[Profit Margin]]&gt;=30%,"High",IF(SalesData[[#This Row],[Profit Margin]]&gt;=15%,"Medium","Low"))</f>
        <v>High</v>
      </c>
    </row>
    <row r="108" spans="1:20" x14ac:dyDescent="0.35">
      <c r="A108" t="s">
        <v>291</v>
      </c>
      <c r="B108" s="23" t="s">
        <v>289</v>
      </c>
      <c r="C108" t="s">
        <v>292</v>
      </c>
      <c r="D108" t="s">
        <v>43</v>
      </c>
      <c r="E108" t="s">
        <v>169</v>
      </c>
      <c r="F108" t="s">
        <v>27</v>
      </c>
      <c r="G108" t="s">
        <v>28</v>
      </c>
      <c r="H108" t="s">
        <v>47</v>
      </c>
      <c r="I108">
        <v>7</v>
      </c>
      <c r="J108" s="4">
        <v>350</v>
      </c>
      <c r="K108" s="6">
        <v>0</v>
      </c>
      <c r="L108" s="8">
        <v>2450</v>
      </c>
      <c r="M108" s="8">
        <v>1190</v>
      </c>
      <c r="N108" s="8">
        <v>1260</v>
      </c>
      <c r="O108" s="8">
        <f>SalesData[[#This Row],[Quantity]]*SalesData[[#This Row],[Unit Price]]*(1-SalesData[[#This Row],[Discount]])</f>
        <v>2450</v>
      </c>
      <c r="P108" s="8">
        <f>SalesData[[#This Row],[Sales_Check]]-SalesData[[#This Row],[Cost]]</f>
        <v>1260</v>
      </c>
      <c r="Q108" s="13">
        <f>IFERROR(SalesData[[#This Row],[Profit]]/SalesData[[#This Row],[Sales]],0)</f>
        <v>0.51428571428571423</v>
      </c>
      <c r="R108" t="str">
        <f>TEXT(SalesData[[#This Row],[Order Date]],"mmm-yyyy")</f>
        <v>Oct-2025</v>
      </c>
      <c r="S108">
        <f>YEAR(SalesData[[#This Row],[Order Date]])</f>
        <v>2025</v>
      </c>
      <c r="T108" t="str">
        <f>IF(SalesData[[#This Row],[Profit Margin]]&gt;=30%,"High",IF(SalesData[[#This Row],[Profit Margin]]&gt;=15%,"Medium","Low"))</f>
        <v>High</v>
      </c>
    </row>
    <row r="109" spans="1:20" x14ac:dyDescent="0.35">
      <c r="A109" t="s">
        <v>293</v>
      </c>
      <c r="B109" s="23" t="s">
        <v>289</v>
      </c>
      <c r="C109" t="s">
        <v>294</v>
      </c>
      <c r="D109" t="s">
        <v>54</v>
      </c>
      <c r="E109" t="s">
        <v>103</v>
      </c>
      <c r="F109" t="s">
        <v>37</v>
      </c>
      <c r="G109" t="s">
        <v>97</v>
      </c>
      <c r="H109" t="s">
        <v>29</v>
      </c>
      <c r="I109">
        <v>7</v>
      </c>
      <c r="J109" s="4">
        <v>150</v>
      </c>
      <c r="K109" s="6">
        <v>0.1</v>
      </c>
      <c r="L109" s="8">
        <v>945</v>
      </c>
      <c r="M109" s="8">
        <v>525</v>
      </c>
      <c r="N109" s="8">
        <v>420</v>
      </c>
      <c r="O109" s="8">
        <f>SalesData[[#This Row],[Quantity]]*SalesData[[#This Row],[Unit Price]]*(1-SalesData[[#This Row],[Discount]])</f>
        <v>945</v>
      </c>
      <c r="P109" s="8">
        <f>SalesData[[#This Row],[Sales_Check]]-SalesData[[#This Row],[Cost]]</f>
        <v>420</v>
      </c>
      <c r="Q109" s="13">
        <f>IFERROR(SalesData[[#This Row],[Profit]]/SalesData[[#This Row],[Sales]],0)</f>
        <v>0.44444444444444442</v>
      </c>
      <c r="R109" t="str">
        <f>TEXT(SalesData[[#This Row],[Order Date]],"mmm-yyyy")</f>
        <v>Oct-2025</v>
      </c>
      <c r="S109">
        <f>YEAR(SalesData[[#This Row],[Order Date]])</f>
        <v>2025</v>
      </c>
      <c r="T109" t="str">
        <f>IF(SalesData[[#This Row],[Profit Margin]]&gt;=30%,"High",IF(SalesData[[#This Row],[Profit Margin]]&gt;=15%,"Medium","Low"))</f>
        <v>High</v>
      </c>
    </row>
    <row r="110" spans="1:20" x14ac:dyDescent="0.35">
      <c r="A110" t="s">
        <v>295</v>
      </c>
      <c r="B110" s="23" t="s">
        <v>289</v>
      </c>
      <c r="C110" t="s">
        <v>296</v>
      </c>
      <c r="D110" t="s">
        <v>17</v>
      </c>
      <c r="E110" t="s">
        <v>32</v>
      </c>
      <c r="F110" t="s">
        <v>27</v>
      </c>
      <c r="G110" t="s">
        <v>28</v>
      </c>
      <c r="H110" t="s">
        <v>39</v>
      </c>
      <c r="I110">
        <v>5</v>
      </c>
      <c r="J110" s="4">
        <v>1500</v>
      </c>
      <c r="K110" s="6">
        <v>0</v>
      </c>
      <c r="L110" s="8">
        <v>7500</v>
      </c>
      <c r="M110" s="8">
        <v>4500</v>
      </c>
      <c r="N110" s="8">
        <v>3000</v>
      </c>
      <c r="O110" s="8">
        <f>SalesData[[#This Row],[Quantity]]*SalesData[[#This Row],[Unit Price]]*(1-SalesData[[#This Row],[Discount]])</f>
        <v>7500</v>
      </c>
      <c r="P110" s="8">
        <f>SalesData[[#This Row],[Sales_Check]]-SalesData[[#This Row],[Cost]]</f>
        <v>3000</v>
      </c>
      <c r="Q110" s="13">
        <f>IFERROR(SalesData[[#This Row],[Profit]]/SalesData[[#This Row],[Sales]],0)</f>
        <v>0.4</v>
      </c>
      <c r="R110" t="str">
        <f>TEXT(SalesData[[#This Row],[Order Date]],"mmm-yyyy")</f>
        <v>Oct-2025</v>
      </c>
      <c r="S110">
        <f>YEAR(SalesData[[#This Row],[Order Date]])</f>
        <v>2025</v>
      </c>
      <c r="T110" t="str">
        <f>IF(SalesData[[#This Row],[Profit Margin]]&gt;=30%,"High",IF(SalesData[[#This Row],[Profit Margin]]&gt;=15%,"Medium","Low"))</f>
        <v>High</v>
      </c>
    </row>
    <row r="111" spans="1:20" x14ac:dyDescent="0.35">
      <c r="A111" t="s">
        <v>297</v>
      </c>
      <c r="B111" s="23" t="s">
        <v>298</v>
      </c>
      <c r="C111" t="s">
        <v>161</v>
      </c>
      <c r="D111" t="s">
        <v>43</v>
      </c>
      <c r="E111" t="s">
        <v>62</v>
      </c>
      <c r="F111" t="s">
        <v>27</v>
      </c>
      <c r="G111" t="s">
        <v>90</v>
      </c>
      <c r="H111" t="s">
        <v>125</v>
      </c>
      <c r="I111">
        <v>7</v>
      </c>
      <c r="J111" s="4">
        <v>500</v>
      </c>
      <c r="K111" s="6">
        <v>0.1</v>
      </c>
      <c r="L111" s="8">
        <v>3150</v>
      </c>
      <c r="M111" s="8">
        <v>1960</v>
      </c>
      <c r="N111" s="8">
        <v>1190</v>
      </c>
      <c r="O111" s="8">
        <f>SalesData[[#This Row],[Quantity]]*SalesData[[#This Row],[Unit Price]]*(1-SalesData[[#This Row],[Discount]])</f>
        <v>3150</v>
      </c>
      <c r="P111" s="8">
        <f>SalesData[[#This Row],[Sales_Check]]-SalesData[[#This Row],[Cost]]</f>
        <v>1190</v>
      </c>
      <c r="Q111" s="13">
        <f>IFERROR(SalesData[[#This Row],[Profit]]/SalesData[[#This Row],[Sales]],0)</f>
        <v>0.37777777777777777</v>
      </c>
      <c r="R111" t="str">
        <f>TEXT(SalesData[[#This Row],[Order Date]],"mmm-yyyy")</f>
        <v>Oct-2025</v>
      </c>
      <c r="S111">
        <f>YEAR(SalesData[[#This Row],[Order Date]])</f>
        <v>2025</v>
      </c>
      <c r="T111" t="str">
        <f>IF(SalesData[[#This Row],[Profit Margin]]&gt;=30%,"High",IF(SalesData[[#This Row],[Profit Margin]]&gt;=15%,"Medium","Low"))</f>
        <v>High</v>
      </c>
    </row>
    <row r="112" spans="1:20" x14ac:dyDescent="0.35">
      <c r="A112" t="s">
        <v>299</v>
      </c>
      <c r="B112" s="23" t="s">
        <v>300</v>
      </c>
      <c r="C112" t="s">
        <v>142</v>
      </c>
      <c r="D112" t="s">
        <v>17</v>
      </c>
      <c r="E112" t="s">
        <v>32</v>
      </c>
      <c r="F112" t="s">
        <v>45</v>
      </c>
      <c r="G112" t="s">
        <v>70</v>
      </c>
      <c r="H112" t="s">
        <v>33</v>
      </c>
      <c r="I112">
        <v>7</v>
      </c>
      <c r="J112" s="4">
        <v>1500</v>
      </c>
      <c r="K112" s="6">
        <v>0.05</v>
      </c>
      <c r="L112" s="8">
        <v>9975</v>
      </c>
      <c r="M112" s="8">
        <v>6300</v>
      </c>
      <c r="N112" s="8">
        <v>3675</v>
      </c>
      <c r="O112" s="8">
        <f>SalesData[[#This Row],[Quantity]]*SalesData[[#This Row],[Unit Price]]*(1-SalesData[[#This Row],[Discount]])</f>
        <v>9975</v>
      </c>
      <c r="P112" s="8">
        <f>SalesData[[#This Row],[Sales_Check]]-SalesData[[#This Row],[Cost]]</f>
        <v>3675</v>
      </c>
      <c r="Q112" s="13">
        <f>IFERROR(SalesData[[#This Row],[Profit]]/SalesData[[#This Row],[Sales]],0)</f>
        <v>0.36842105263157893</v>
      </c>
      <c r="R112" t="str">
        <f>TEXT(SalesData[[#This Row],[Order Date]],"mmm-yyyy")</f>
        <v>Oct-2025</v>
      </c>
      <c r="S112">
        <f>YEAR(SalesData[[#This Row],[Order Date]])</f>
        <v>2025</v>
      </c>
      <c r="T112" t="str">
        <f>IF(SalesData[[#This Row],[Profit Margin]]&gt;=30%,"High",IF(SalesData[[#This Row],[Profit Margin]]&gt;=15%,"Medium","Low"))</f>
        <v>High</v>
      </c>
    </row>
    <row r="113" spans="1:20" x14ac:dyDescent="0.35">
      <c r="A113" t="s">
        <v>301</v>
      </c>
      <c r="B113" s="23" t="s">
        <v>300</v>
      </c>
      <c r="C113" t="s">
        <v>171</v>
      </c>
      <c r="D113" t="s">
        <v>17</v>
      </c>
      <c r="E113" t="s">
        <v>18</v>
      </c>
      <c r="F113" t="s">
        <v>37</v>
      </c>
      <c r="G113" t="s">
        <v>38</v>
      </c>
      <c r="H113" t="s">
        <v>21</v>
      </c>
      <c r="I113">
        <v>6</v>
      </c>
      <c r="J113" s="4">
        <v>1800</v>
      </c>
      <c r="K113" s="6">
        <v>0</v>
      </c>
      <c r="L113" s="8">
        <v>10800</v>
      </c>
      <c r="M113" s="8">
        <v>6600</v>
      </c>
      <c r="N113" s="8">
        <v>4200</v>
      </c>
      <c r="O113" s="8">
        <f>SalesData[[#This Row],[Quantity]]*SalesData[[#This Row],[Unit Price]]*(1-SalesData[[#This Row],[Discount]])</f>
        <v>10800</v>
      </c>
      <c r="P113" s="8">
        <f>SalesData[[#This Row],[Sales_Check]]-SalesData[[#This Row],[Cost]]</f>
        <v>4200</v>
      </c>
      <c r="Q113" s="13">
        <f>IFERROR(SalesData[[#This Row],[Profit]]/SalesData[[#This Row],[Sales]],0)</f>
        <v>0.3888888888888889</v>
      </c>
      <c r="R113" t="str">
        <f>TEXT(SalesData[[#This Row],[Order Date]],"mmm-yyyy")</f>
        <v>Oct-2025</v>
      </c>
      <c r="S113">
        <f>YEAR(SalesData[[#This Row],[Order Date]])</f>
        <v>2025</v>
      </c>
      <c r="T113" t="str">
        <f>IF(SalesData[[#This Row],[Profit Margin]]&gt;=30%,"High",IF(SalesData[[#This Row],[Profit Margin]]&gt;=15%,"Medium","Low"))</f>
        <v>High</v>
      </c>
    </row>
    <row r="114" spans="1:20" x14ac:dyDescent="0.35">
      <c r="A114" t="s">
        <v>302</v>
      </c>
      <c r="B114" s="23" t="s">
        <v>303</v>
      </c>
      <c r="C114" t="s">
        <v>232</v>
      </c>
      <c r="D114" t="s">
        <v>17</v>
      </c>
      <c r="E114" t="s">
        <v>18</v>
      </c>
      <c r="F114" t="s">
        <v>37</v>
      </c>
      <c r="G114" t="s">
        <v>38</v>
      </c>
      <c r="H114" t="s">
        <v>33</v>
      </c>
      <c r="I114">
        <v>8</v>
      </c>
      <c r="J114" s="4">
        <v>1800</v>
      </c>
      <c r="K114" s="6">
        <v>0.05</v>
      </c>
      <c r="L114" s="8">
        <v>13680</v>
      </c>
      <c r="M114" s="8">
        <v>8800</v>
      </c>
      <c r="N114" s="8">
        <v>4880</v>
      </c>
      <c r="O114" s="8">
        <f>SalesData[[#This Row],[Quantity]]*SalesData[[#This Row],[Unit Price]]*(1-SalesData[[#This Row],[Discount]])</f>
        <v>13680</v>
      </c>
      <c r="P114" s="8">
        <f>SalesData[[#This Row],[Sales_Check]]-SalesData[[#This Row],[Cost]]</f>
        <v>4880</v>
      </c>
      <c r="Q114" s="13">
        <f>IFERROR(SalesData[[#This Row],[Profit]]/SalesData[[#This Row],[Sales]],0)</f>
        <v>0.35672514619883039</v>
      </c>
      <c r="R114" t="str">
        <f>TEXT(SalesData[[#This Row],[Order Date]],"mmm-yyyy")</f>
        <v>Oct-2025</v>
      </c>
      <c r="S114">
        <f>YEAR(SalesData[[#This Row],[Order Date]])</f>
        <v>2025</v>
      </c>
      <c r="T114" t="str">
        <f>IF(SalesData[[#This Row],[Profit Margin]]&gt;=30%,"High",IF(SalesData[[#This Row],[Profit Margin]]&gt;=15%,"Medium","Low"))</f>
        <v>High</v>
      </c>
    </row>
    <row r="115" spans="1:20" x14ac:dyDescent="0.35">
      <c r="A115" t="s">
        <v>304</v>
      </c>
      <c r="B115" s="23" t="s">
        <v>305</v>
      </c>
      <c r="C115" t="s">
        <v>306</v>
      </c>
      <c r="D115" t="s">
        <v>54</v>
      </c>
      <c r="E115" t="s">
        <v>116</v>
      </c>
      <c r="F115" t="s">
        <v>45</v>
      </c>
      <c r="G115" t="s">
        <v>122</v>
      </c>
      <c r="H115" t="s">
        <v>47</v>
      </c>
      <c r="I115">
        <v>8</v>
      </c>
      <c r="J115" s="4">
        <v>450</v>
      </c>
      <c r="K115" s="6">
        <v>0</v>
      </c>
      <c r="L115" s="8">
        <v>3600</v>
      </c>
      <c r="M115" s="8">
        <v>2000</v>
      </c>
      <c r="N115" s="8">
        <v>1600</v>
      </c>
      <c r="O115" s="8">
        <f>SalesData[[#This Row],[Quantity]]*SalesData[[#This Row],[Unit Price]]*(1-SalesData[[#This Row],[Discount]])</f>
        <v>3600</v>
      </c>
      <c r="P115" s="8">
        <f>SalesData[[#This Row],[Sales_Check]]-SalesData[[#This Row],[Cost]]</f>
        <v>1600</v>
      </c>
      <c r="Q115" s="13">
        <f>IFERROR(SalesData[[#This Row],[Profit]]/SalesData[[#This Row],[Sales]],0)</f>
        <v>0.44444444444444442</v>
      </c>
      <c r="R115" t="str">
        <f>TEXT(SalesData[[#This Row],[Order Date]],"mmm-yyyy")</f>
        <v>Oct-2025</v>
      </c>
      <c r="S115">
        <f>YEAR(SalesData[[#This Row],[Order Date]])</f>
        <v>2025</v>
      </c>
      <c r="T115" t="str">
        <f>IF(SalesData[[#This Row],[Profit Margin]]&gt;=30%,"High",IF(SalesData[[#This Row],[Profit Margin]]&gt;=15%,"Medium","Low"))</f>
        <v>High</v>
      </c>
    </row>
    <row r="116" spans="1:20" x14ac:dyDescent="0.35">
      <c r="A116" t="s">
        <v>307</v>
      </c>
      <c r="B116" s="23" t="s">
        <v>308</v>
      </c>
      <c r="C116" t="s">
        <v>309</v>
      </c>
      <c r="D116" t="s">
        <v>25</v>
      </c>
      <c r="E116" t="s">
        <v>80</v>
      </c>
      <c r="F116" t="s">
        <v>19</v>
      </c>
      <c r="G116" t="s">
        <v>20</v>
      </c>
      <c r="H116" t="s">
        <v>125</v>
      </c>
      <c r="I116">
        <v>1</v>
      </c>
      <c r="J116" s="4">
        <v>950</v>
      </c>
      <c r="K116" s="6">
        <v>0.1</v>
      </c>
      <c r="L116" s="8">
        <v>855</v>
      </c>
      <c r="M116" s="8">
        <v>560</v>
      </c>
      <c r="N116" s="8">
        <v>295</v>
      </c>
      <c r="O116" s="8">
        <f>SalesData[[#This Row],[Quantity]]*SalesData[[#This Row],[Unit Price]]*(1-SalesData[[#This Row],[Discount]])</f>
        <v>855</v>
      </c>
      <c r="P116" s="8">
        <f>SalesData[[#This Row],[Sales_Check]]-SalesData[[#This Row],[Cost]]</f>
        <v>295</v>
      </c>
      <c r="Q116" s="13">
        <f>IFERROR(SalesData[[#This Row],[Profit]]/SalesData[[#This Row],[Sales]],0)</f>
        <v>0.34502923976608185</v>
      </c>
      <c r="R116" t="str">
        <f>TEXT(SalesData[[#This Row],[Order Date]],"mmm-yyyy")</f>
        <v>Oct-2025</v>
      </c>
      <c r="S116">
        <f>YEAR(SalesData[[#This Row],[Order Date]])</f>
        <v>2025</v>
      </c>
      <c r="T116" t="str">
        <f>IF(SalesData[[#This Row],[Profit Margin]]&gt;=30%,"High",IF(SalesData[[#This Row],[Profit Margin]]&gt;=15%,"Medium","Low"))</f>
        <v>High</v>
      </c>
    </row>
    <row r="117" spans="1:20" x14ac:dyDescent="0.35">
      <c r="A117" t="s">
        <v>310</v>
      </c>
      <c r="B117" s="23" t="s">
        <v>308</v>
      </c>
      <c r="C117" t="s">
        <v>182</v>
      </c>
      <c r="D117" t="s">
        <v>25</v>
      </c>
      <c r="E117" t="s">
        <v>36</v>
      </c>
      <c r="F117" t="s">
        <v>19</v>
      </c>
      <c r="G117" t="s">
        <v>20</v>
      </c>
      <c r="H117" t="s">
        <v>21</v>
      </c>
      <c r="I117">
        <v>4</v>
      </c>
      <c r="J117" s="4">
        <v>700</v>
      </c>
      <c r="K117" s="6">
        <v>0</v>
      </c>
      <c r="L117" s="8">
        <v>2800</v>
      </c>
      <c r="M117" s="8">
        <v>1600</v>
      </c>
      <c r="N117" s="8">
        <v>1200</v>
      </c>
      <c r="O117" s="8">
        <f>SalesData[[#This Row],[Quantity]]*SalesData[[#This Row],[Unit Price]]*(1-SalesData[[#This Row],[Discount]])</f>
        <v>2800</v>
      </c>
      <c r="P117" s="8">
        <f>SalesData[[#This Row],[Sales_Check]]-SalesData[[#This Row],[Cost]]</f>
        <v>1200</v>
      </c>
      <c r="Q117" s="13">
        <f>IFERROR(SalesData[[#This Row],[Profit]]/SalesData[[#This Row],[Sales]],0)</f>
        <v>0.42857142857142855</v>
      </c>
      <c r="R117" t="str">
        <f>TEXT(SalesData[[#This Row],[Order Date]],"mmm-yyyy")</f>
        <v>Oct-2025</v>
      </c>
      <c r="S117">
        <f>YEAR(SalesData[[#This Row],[Order Date]])</f>
        <v>2025</v>
      </c>
      <c r="T117" t="str">
        <f>IF(SalesData[[#This Row],[Profit Margin]]&gt;=30%,"High",IF(SalesData[[#This Row],[Profit Margin]]&gt;=15%,"Medium","Low"))</f>
        <v>High</v>
      </c>
    </row>
    <row r="118" spans="1:20" x14ac:dyDescent="0.35">
      <c r="A118" t="s">
        <v>311</v>
      </c>
      <c r="B118" s="23" t="s">
        <v>312</v>
      </c>
      <c r="C118" t="s">
        <v>313</v>
      </c>
      <c r="D118" t="s">
        <v>17</v>
      </c>
      <c r="E118" t="s">
        <v>18</v>
      </c>
      <c r="F118" t="s">
        <v>27</v>
      </c>
      <c r="G118" t="s">
        <v>85</v>
      </c>
      <c r="H118" t="s">
        <v>21</v>
      </c>
      <c r="I118">
        <v>7</v>
      </c>
      <c r="J118" s="4">
        <v>1800</v>
      </c>
      <c r="K118" s="6">
        <v>0.1</v>
      </c>
      <c r="L118" s="8">
        <v>11340</v>
      </c>
      <c r="M118" s="8">
        <v>7700</v>
      </c>
      <c r="N118" s="8">
        <v>3640</v>
      </c>
      <c r="O118" s="8">
        <f>SalesData[[#This Row],[Quantity]]*SalesData[[#This Row],[Unit Price]]*(1-SalesData[[#This Row],[Discount]])</f>
        <v>11340</v>
      </c>
      <c r="P118" s="8">
        <f>SalesData[[#This Row],[Sales_Check]]-SalesData[[#This Row],[Cost]]</f>
        <v>3640</v>
      </c>
      <c r="Q118" s="13">
        <f>IFERROR(SalesData[[#This Row],[Profit]]/SalesData[[#This Row],[Sales]],0)</f>
        <v>0.32098765432098764</v>
      </c>
      <c r="R118" t="str">
        <f>TEXT(SalesData[[#This Row],[Order Date]],"mmm-yyyy")</f>
        <v>Oct-2025</v>
      </c>
      <c r="S118">
        <f>YEAR(SalesData[[#This Row],[Order Date]])</f>
        <v>2025</v>
      </c>
      <c r="T118" t="str">
        <f>IF(SalesData[[#This Row],[Profit Margin]]&gt;=30%,"High",IF(SalesData[[#This Row],[Profit Margin]]&gt;=15%,"Medium","Low"))</f>
        <v>High</v>
      </c>
    </row>
    <row r="119" spans="1:20" x14ac:dyDescent="0.35">
      <c r="A119" t="s">
        <v>314</v>
      </c>
      <c r="B119" s="23" t="s">
        <v>312</v>
      </c>
      <c r="C119" t="s">
        <v>102</v>
      </c>
      <c r="D119" t="s">
        <v>43</v>
      </c>
      <c r="E119" t="s">
        <v>44</v>
      </c>
      <c r="F119" t="s">
        <v>37</v>
      </c>
      <c r="G119" t="s">
        <v>97</v>
      </c>
      <c r="H119" t="s">
        <v>21</v>
      </c>
      <c r="I119">
        <v>2</v>
      </c>
      <c r="J119" s="4">
        <v>2200</v>
      </c>
      <c r="K119" s="6">
        <v>0</v>
      </c>
      <c r="L119" s="8">
        <v>4400</v>
      </c>
      <c r="M119" s="8">
        <v>2900</v>
      </c>
      <c r="N119" s="8">
        <v>1500</v>
      </c>
      <c r="O119" s="8">
        <f>SalesData[[#This Row],[Quantity]]*SalesData[[#This Row],[Unit Price]]*(1-SalesData[[#This Row],[Discount]])</f>
        <v>4400</v>
      </c>
      <c r="P119" s="8">
        <f>SalesData[[#This Row],[Sales_Check]]-SalesData[[#This Row],[Cost]]</f>
        <v>1500</v>
      </c>
      <c r="Q119" s="13">
        <f>IFERROR(SalesData[[#This Row],[Profit]]/SalesData[[#This Row],[Sales]],0)</f>
        <v>0.34090909090909088</v>
      </c>
      <c r="R119" t="str">
        <f>TEXT(SalesData[[#This Row],[Order Date]],"mmm-yyyy")</f>
        <v>Oct-2025</v>
      </c>
      <c r="S119">
        <f>YEAR(SalesData[[#This Row],[Order Date]])</f>
        <v>2025</v>
      </c>
      <c r="T119" t="str">
        <f>IF(SalesData[[#This Row],[Profit Margin]]&gt;=30%,"High",IF(SalesData[[#This Row],[Profit Margin]]&gt;=15%,"Medium","Low"))</f>
        <v>High</v>
      </c>
    </row>
    <row r="120" spans="1:20" x14ac:dyDescent="0.35">
      <c r="A120" t="s">
        <v>315</v>
      </c>
      <c r="B120" s="23" t="s">
        <v>312</v>
      </c>
      <c r="C120" t="s">
        <v>316</v>
      </c>
      <c r="D120" t="s">
        <v>17</v>
      </c>
      <c r="E120" t="s">
        <v>65</v>
      </c>
      <c r="F120" t="s">
        <v>27</v>
      </c>
      <c r="G120" t="s">
        <v>90</v>
      </c>
      <c r="H120" t="s">
        <v>125</v>
      </c>
      <c r="I120">
        <v>2</v>
      </c>
      <c r="J120" s="4">
        <v>2200</v>
      </c>
      <c r="K120" s="6">
        <v>0</v>
      </c>
      <c r="L120" s="8">
        <v>4400</v>
      </c>
      <c r="M120" s="8">
        <v>2800</v>
      </c>
      <c r="N120" s="8">
        <v>1600</v>
      </c>
      <c r="O120" s="8">
        <f>SalesData[[#This Row],[Quantity]]*SalesData[[#This Row],[Unit Price]]*(1-SalesData[[#This Row],[Discount]])</f>
        <v>4400</v>
      </c>
      <c r="P120" s="8">
        <f>SalesData[[#This Row],[Sales_Check]]-SalesData[[#This Row],[Cost]]</f>
        <v>1600</v>
      </c>
      <c r="Q120" s="13">
        <f>IFERROR(SalesData[[#This Row],[Profit]]/SalesData[[#This Row],[Sales]],0)</f>
        <v>0.36363636363636365</v>
      </c>
      <c r="R120" t="str">
        <f>TEXT(SalesData[[#This Row],[Order Date]],"mmm-yyyy")</f>
        <v>Oct-2025</v>
      </c>
      <c r="S120">
        <f>YEAR(SalesData[[#This Row],[Order Date]])</f>
        <v>2025</v>
      </c>
      <c r="T120" t="str">
        <f>IF(SalesData[[#This Row],[Profit Margin]]&gt;=30%,"High",IF(SalesData[[#This Row],[Profit Margin]]&gt;=15%,"Medium","Low"))</f>
        <v>High</v>
      </c>
    </row>
    <row r="121" spans="1:20" x14ac:dyDescent="0.35">
      <c r="A121" t="s">
        <v>317</v>
      </c>
      <c r="B121" s="23" t="s">
        <v>312</v>
      </c>
      <c r="C121" t="s">
        <v>318</v>
      </c>
      <c r="D121" t="s">
        <v>43</v>
      </c>
      <c r="E121" t="s">
        <v>44</v>
      </c>
      <c r="F121" t="s">
        <v>45</v>
      </c>
      <c r="G121" t="s">
        <v>70</v>
      </c>
      <c r="H121" t="s">
        <v>33</v>
      </c>
      <c r="I121">
        <v>5</v>
      </c>
      <c r="J121" s="4">
        <v>2200</v>
      </c>
      <c r="K121" s="6">
        <v>0</v>
      </c>
      <c r="L121" s="8">
        <v>11000</v>
      </c>
      <c r="M121" s="8">
        <v>7250</v>
      </c>
      <c r="N121" s="8">
        <v>3750</v>
      </c>
      <c r="O121" s="8">
        <f>SalesData[[#This Row],[Quantity]]*SalesData[[#This Row],[Unit Price]]*(1-SalesData[[#This Row],[Discount]])</f>
        <v>11000</v>
      </c>
      <c r="P121" s="8">
        <f>SalesData[[#This Row],[Sales_Check]]-SalesData[[#This Row],[Cost]]</f>
        <v>3750</v>
      </c>
      <c r="Q121" s="13">
        <f>IFERROR(SalesData[[#This Row],[Profit]]/SalesData[[#This Row],[Sales]],0)</f>
        <v>0.34090909090909088</v>
      </c>
      <c r="R121" t="str">
        <f>TEXT(SalesData[[#This Row],[Order Date]],"mmm-yyyy")</f>
        <v>Oct-2025</v>
      </c>
      <c r="S121">
        <f>YEAR(SalesData[[#This Row],[Order Date]])</f>
        <v>2025</v>
      </c>
      <c r="T121" t="str">
        <f>IF(SalesData[[#This Row],[Profit Margin]]&gt;=30%,"High",IF(SalesData[[#This Row],[Profit Margin]]&gt;=15%,"Medium","Low"))</f>
        <v>High</v>
      </c>
    </row>
    <row r="122" spans="1:20" x14ac:dyDescent="0.35">
      <c r="A122" t="s">
        <v>319</v>
      </c>
      <c r="B122" s="23" t="s">
        <v>312</v>
      </c>
      <c r="C122" t="s">
        <v>59</v>
      </c>
      <c r="D122" t="s">
        <v>43</v>
      </c>
      <c r="E122" t="s">
        <v>169</v>
      </c>
      <c r="F122" t="s">
        <v>45</v>
      </c>
      <c r="G122" t="s">
        <v>122</v>
      </c>
      <c r="H122" t="s">
        <v>39</v>
      </c>
      <c r="I122">
        <v>4</v>
      </c>
      <c r="J122" s="4">
        <v>350</v>
      </c>
      <c r="K122" s="6">
        <v>0.05</v>
      </c>
      <c r="L122" s="8">
        <v>1330</v>
      </c>
      <c r="M122" s="8">
        <v>680</v>
      </c>
      <c r="N122" s="8">
        <v>650</v>
      </c>
      <c r="O122" s="8">
        <f>SalesData[[#This Row],[Quantity]]*SalesData[[#This Row],[Unit Price]]*(1-SalesData[[#This Row],[Discount]])</f>
        <v>1330</v>
      </c>
      <c r="P122" s="8">
        <f>SalesData[[#This Row],[Sales_Check]]-SalesData[[#This Row],[Cost]]</f>
        <v>650</v>
      </c>
      <c r="Q122" s="13">
        <f>IFERROR(SalesData[[#This Row],[Profit]]/SalesData[[#This Row],[Sales]],0)</f>
        <v>0.48872180451127817</v>
      </c>
      <c r="R122" t="str">
        <f>TEXT(SalesData[[#This Row],[Order Date]],"mmm-yyyy")</f>
        <v>Oct-2025</v>
      </c>
      <c r="S122">
        <f>YEAR(SalesData[[#This Row],[Order Date]])</f>
        <v>2025</v>
      </c>
      <c r="T122" t="str">
        <f>IF(SalesData[[#This Row],[Profit Margin]]&gt;=30%,"High",IF(SalesData[[#This Row],[Profit Margin]]&gt;=15%,"Medium","Low"))</f>
        <v>High</v>
      </c>
    </row>
    <row r="123" spans="1:20" x14ac:dyDescent="0.35">
      <c r="A123" t="s">
        <v>320</v>
      </c>
      <c r="B123" s="23" t="s">
        <v>321</v>
      </c>
      <c r="C123" t="s">
        <v>292</v>
      </c>
      <c r="D123" t="s">
        <v>43</v>
      </c>
      <c r="E123" t="s">
        <v>44</v>
      </c>
      <c r="F123" t="s">
        <v>19</v>
      </c>
      <c r="G123" t="s">
        <v>215</v>
      </c>
      <c r="H123" t="s">
        <v>47</v>
      </c>
      <c r="I123">
        <v>5</v>
      </c>
      <c r="J123" s="4">
        <v>2200</v>
      </c>
      <c r="K123" s="6">
        <v>0.1</v>
      </c>
      <c r="L123" s="8">
        <v>9900</v>
      </c>
      <c r="M123" s="8">
        <v>7250</v>
      </c>
      <c r="N123" s="8">
        <v>2650</v>
      </c>
      <c r="O123" s="8">
        <f>SalesData[[#This Row],[Quantity]]*SalesData[[#This Row],[Unit Price]]*(1-SalesData[[#This Row],[Discount]])</f>
        <v>9900</v>
      </c>
      <c r="P123" s="8">
        <f>SalesData[[#This Row],[Sales_Check]]-SalesData[[#This Row],[Cost]]</f>
        <v>2650</v>
      </c>
      <c r="Q123" s="13">
        <f>IFERROR(SalesData[[#This Row],[Profit]]/SalesData[[#This Row],[Sales]],0)</f>
        <v>0.26767676767676768</v>
      </c>
      <c r="R123" t="str">
        <f>TEXT(SalesData[[#This Row],[Order Date]],"mmm-yyyy")</f>
        <v>Oct-2025</v>
      </c>
      <c r="S123">
        <f>YEAR(SalesData[[#This Row],[Order Date]])</f>
        <v>2025</v>
      </c>
      <c r="T123" t="str">
        <f>IF(SalesData[[#This Row],[Profit Margin]]&gt;=30%,"High",IF(SalesData[[#This Row],[Profit Margin]]&gt;=15%,"Medium","Low"))</f>
        <v>Medium</v>
      </c>
    </row>
    <row r="124" spans="1:20" x14ac:dyDescent="0.35">
      <c r="A124" t="s">
        <v>322</v>
      </c>
      <c r="B124" s="23" t="s">
        <v>323</v>
      </c>
      <c r="C124" t="s">
        <v>306</v>
      </c>
      <c r="D124" t="s">
        <v>17</v>
      </c>
      <c r="E124" t="s">
        <v>124</v>
      </c>
      <c r="F124" t="s">
        <v>37</v>
      </c>
      <c r="G124" t="s">
        <v>38</v>
      </c>
      <c r="H124" t="s">
        <v>29</v>
      </c>
      <c r="I124">
        <v>9</v>
      </c>
      <c r="J124" s="4">
        <v>1200</v>
      </c>
      <c r="K124" s="6">
        <v>0</v>
      </c>
      <c r="L124" s="8">
        <v>10800</v>
      </c>
      <c r="M124" s="8">
        <v>6480</v>
      </c>
      <c r="N124" s="8">
        <v>4320</v>
      </c>
      <c r="O124" s="8">
        <f>SalesData[[#This Row],[Quantity]]*SalesData[[#This Row],[Unit Price]]*(1-SalesData[[#This Row],[Discount]])</f>
        <v>10800</v>
      </c>
      <c r="P124" s="8">
        <f>SalesData[[#This Row],[Sales_Check]]-SalesData[[#This Row],[Cost]]</f>
        <v>4320</v>
      </c>
      <c r="Q124" s="13">
        <f>IFERROR(SalesData[[#This Row],[Profit]]/SalesData[[#This Row],[Sales]],0)</f>
        <v>0.4</v>
      </c>
      <c r="R124" t="str">
        <f>TEXT(SalesData[[#This Row],[Order Date]],"mmm-yyyy")</f>
        <v>Oct-2025</v>
      </c>
      <c r="S124">
        <f>YEAR(SalesData[[#This Row],[Order Date]])</f>
        <v>2025</v>
      </c>
      <c r="T124" t="str">
        <f>IF(SalesData[[#This Row],[Profit Margin]]&gt;=30%,"High",IF(SalesData[[#This Row],[Profit Margin]]&gt;=15%,"Medium","Low"))</f>
        <v>High</v>
      </c>
    </row>
    <row r="125" spans="1:20" x14ac:dyDescent="0.35">
      <c r="A125" t="s">
        <v>324</v>
      </c>
      <c r="B125" s="23" t="s">
        <v>323</v>
      </c>
      <c r="C125" t="s">
        <v>325</v>
      </c>
      <c r="D125" t="s">
        <v>54</v>
      </c>
      <c r="E125" t="s">
        <v>103</v>
      </c>
      <c r="F125" t="s">
        <v>27</v>
      </c>
      <c r="G125" t="s">
        <v>90</v>
      </c>
      <c r="H125" t="s">
        <v>21</v>
      </c>
      <c r="I125">
        <v>8</v>
      </c>
      <c r="J125" s="4">
        <v>150</v>
      </c>
      <c r="K125" s="6">
        <v>0</v>
      </c>
      <c r="L125" s="8">
        <v>1200</v>
      </c>
      <c r="M125" s="8">
        <v>600</v>
      </c>
      <c r="N125" s="8">
        <v>600</v>
      </c>
      <c r="O125" s="8">
        <f>SalesData[[#This Row],[Quantity]]*SalesData[[#This Row],[Unit Price]]*(1-SalesData[[#This Row],[Discount]])</f>
        <v>1200</v>
      </c>
      <c r="P125" s="8">
        <f>SalesData[[#This Row],[Sales_Check]]-SalesData[[#This Row],[Cost]]</f>
        <v>600</v>
      </c>
      <c r="Q125" s="13">
        <f>IFERROR(SalesData[[#This Row],[Profit]]/SalesData[[#This Row],[Sales]],0)</f>
        <v>0.5</v>
      </c>
      <c r="R125" t="str">
        <f>TEXT(SalesData[[#This Row],[Order Date]],"mmm-yyyy")</f>
        <v>Oct-2025</v>
      </c>
      <c r="S125">
        <f>YEAR(SalesData[[#This Row],[Order Date]])</f>
        <v>2025</v>
      </c>
      <c r="T125" t="str">
        <f>IF(SalesData[[#This Row],[Profit Margin]]&gt;=30%,"High",IF(SalesData[[#This Row],[Profit Margin]]&gt;=15%,"Medium","Low"))</f>
        <v>High</v>
      </c>
    </row>
    <row r="126" spans="1:20" x14ac:dyDescent="0.35">
      <c r="A126" t="s">
        <v>326</v>
      </c>
      <c r="B126" s="23" t="s">
        <v>323</v>
      </c>
      <c r="C126" t="s">
        <v>229</v>
      </c>
      <c r="D126" t="s">
        <v>25</v>
      </c>
      <c r="E126" t="s">
        <v>36</v>
      </c>
      <c r="F126" t="s">
        <v>19</v>
      </c>
      <c r="G126" t="s">
        <v>20</v>
      </c>
      <c r="H126" t="s">
        <v>21</v>
      </c>
      <c r="I126">
        <v>9</v>
      </c>
      <c r="J126" s="4">
        <v>700</v>
      </c>
      <c r="K126" s="6">
        <v>0</v>
      </c>
      <c r="L126" s="8">
        <v>6300</v>
      </c>
      <c r="M126" s="8">
        <v>3600</v>
      </c>
      <c r="N126" s="8">
        <v>2700</v>
      </c>
      <c r="O126" s="8">
        <f>SalesData[[#This Row],[Quantity]]*SalesData[[#This Row],[Unit Price]]*(1-SalesData[[#This Row],[Discount]])</f>
        <v>6300</v>
      </c>
      <c r="P126" s="8">
        <f>SalesData[[#This Row],[Sales_Check]]-SalesData[[#This Row],[Cost]]</f>
        <v>2700</v>
      </c>
      <c r="Q126" s="13">
        <f>IFERROR(SalesData[[#This Row],[Profit]]/SalesData[[#This Row],[Sales]],0)</f>
        <v>0.42857142857142855</v>
      </c>
      <c r="R126" t="str">
        <f>TEXT(SalesData[[#This Row],[Order Date]],"mmm-yyyy")</f>
        <v>Oct-2025</v>
      </c>
      <c r="S126">
        <f>YEAR(SalesData[[#This Row],[Order Date]])</f>
        <v>2025</v>
      </c>
      <c r="T126" t="str">
        <f>IF(SalesData[[#This Row],[Profit Margin]]&gt;=30%,"High",IF(SalesData[[#This Row],[Profit Margin]]&gt;=15%,"Medium","Low"))</f>
        <v>High</v>
      </c>
    </row>
    <row r="127" spans="1:20" x14ac:dyDescent="0.35">
      <c r="A127" t="s">
        <v>327</v>
      </c>
      <c r="B127" s="23" t="s">
        <v>323</v>
      </c>
      <c r="C127" t="s">
        <v>328</v>
      </c>
      <c r="D127" t="s">
        <v>54</v>
      </c>
      <c r="E127" t="s">
        <v>55</v>
      </c>
      <c r="F127" t="s">
        <v>45</v>
      </c>
      <c r="G127" t="s">
        <v>104</v>
      </c>
      <c r="H127" t="s">
        <v>21</v>
      </c>
      <c r="I127">
        <v>4</v>
      </c>
      <c r="J127" s="4">
        <v>180</v>
      </c>
      <c r="K127" s="6">
        <v>0.15</v>
      </c>
      <c r="L127" s="8">
        <v>612</v>
      </c>
      <c r="M127" s="8">
        <v>360</v>
      </c>
      <c r="N127" s="8">
        <v>252</v>
      </c>
      <c r="O127" s="8">
        <f>SalesData[[#This Row],[Quantity]]*SalesData[[#This Row],[Unit Price]]*(1-SalesData[[#This Row],[Discount]])</f>
        <v>612</v>
      </c>
      <c r="P127" s="8">
        <f>SalesData[[#This Row],[Sales_Check]]-SalesData[[#This Row],[Cost]]</f>
        <v>252</v>
      </c>
      <c r="Q127" s="13">
        <f>IFERROR(SalesData[[#This Row],[Profit]]/SalesData[[#This Row],[Sales]],0)</f>
        <v>0.41176470588235292</v>
      </c>
      <c r="R127" t="str">
        <f>TEXT(SalesData[[#This Row],[Order Date]],"mmm-yyyy")</f>
        <v>Oct-2025</v>
      </c>
      <c r="S127">
        <f>YEAR(SalesData[[#This Row],[Order Date]])</f>
        <v>2025</v>
      </c>
      <c r="T127" t="str">
        <f>IF(SalesData[[#This Row],[Profit Margin]]&gt;=30%,"High",IF(SalesData[[#This Row],[Profit Margin]]&gt;=15%,"Medium","Low"))</f>
        <v>High</v>
      </c>
    </row>
    <row r="128" spans="1:20" x14ac:dyDescent="0.35">
      <c r="A128" t="s">
        <v>329</v>
      </c>
      <c r="B128" s="23" t="s">
        <v>323</v>
      </c>
      <c r="C128" t="s">
        <v>201</v>
      </c>
      <c r="D128" t="s">
        <v>17</v>
      </c>
      <c r="E128" t="s">
        <v>124</v>
      </c>
      <c r="F128" t="s">
        <v>37</v>
      </c>
      <c r="G128" t="s">
        <v>38</v>
      </c>
      <c r="H128" t="s">
        <v>39</v>
      </c>
      <c r="I128">
        <v>10</v>
      </c>
      <c r="J128" s="4">
        <v>1200</v>
      </c>
      <c r="K128" s="6">
        <v>0</v>
      </c>
      <c r="L128" s="8">
        <v>12000</v>
      </c>
      <c r="M128" s="8">
        <v>7200</v>
      </c>
      <c r="N128" s="8">
        <v>4800</v>
      </c>
      <c r="O128" s="8">
        <f>SalesData[[#This Row],[Quantity]]*SalesData[[#This Row],[Unit Price]]*(1-SalesData[[#This Row],[Discount]])</f>
        <v>12000</v>
      </c>
      <c r="P128" s="8">
        <f>SalesData[[#This Row],[Sales_Check]]-SalesData[[#This Row],[Cost]]</f>
        <v>4800</v>
      </c>
      <c r="Q128" s="13">
        <f>IFERROR(SalesData[[#This Row],[Profit]]/SalesData[[#This Row],[Sales]],0)</f>
        <v>0.4</v>
      </c>
      <c r="R128" t="str">
        <f>TEXT(SalesData[[#This Row],[Order Date]],"mmm-yyyy")</f>
        <v>Oct-2025</v>
      </c>
      <c r="S128">
        <f>YEAR(SalesData[[#This Row],[Order Date]])</f>
        <v>2025</v>
      </c>
      <c r="T128" t="str">
        <f>IF(SalesData[[#This Row],[Profit Margin]]&gt;=30%,"High",IF(SalesData[[#This Row],[Profit Margin]]&gt;=15%,"Medium","Low"))</f>
        <v>High</v>
      </c>
    </row>
    <row r="129" spans="1:20" x14ac:dyDescent="0.35">
      <c r="A129" t="s">
        <v>330</v>
      </c>
      <c r="B129" s="23" t="s">
        <v>323</v>
      </c>
      <c r="C129" t="s">
        <v>331</v>
      </c>
      <c r="D129" t="s">
        <v>17</v>
      </c>
      <c r="E129" t="s">
        <v>18</v>
      </c>
      <c r="F129" t="s">
        <v>27</v>
      </c>
      <c r="G129" t="s">
        <v>85</v>
      </c>
      <c r="H129" t="s">
        <v>125</v>
      </c>
      <c r="I129">
        <v>5</v>
      </c>
      <c r="J129" s="4">
        <v>1800</v>
      </c>
      <c r="K129" s="6">
        <v>0</v>
      </c>
      <c r="L129" s="8">
        <v>9000</v>
      </c>
      <c r="M129" s="8">
        <v>5500</v>
      </c>
      <c r="N129" s="8">
        <v>3500</v>
      </c>
      <c r="O129" s="8">
        <f>SalesData[[#This Row],[Quantity]]*SalesData[[#This Row],[Unit Price]]*(1-SalesData[[#This Row],[Discount]])</f>
        <v>9000</v>
      </c>
      <c r="P129" s="8">
        <f>SalesData[[#This Row],[Sales_Check]]-SalesData[[#This Row],[Cost]]</f>
        <v>3500</v>
      </c>
      <c r="Q129" s="13">
        <f>IFERROR(SalesData[[#This Row],[Profit]]/SalesData[[#This Row],[Sales]],0)</f>
        <v>0.3888888888888889</v>
      </c>
      <c r="R129" t="str">
        <f>TEXT(SalesData[[#This Row],[Order Date]],"mmm-yyyy")</f>
        <v>Oct-2025</v>
      </c>
      <c r="S129">
        <f>YEAR(SalesData[[#This Row],[Order Date]])</f>
        <v>2025</v>
      </c>
      <c r="T129" t="str">
        <f>IF(SalesData[[#This Row],[Profit Margin]]&gt;=30%,"High",IF(SalesData[[#This Row],[Profit Margin]]&gt;=15%,"Medium","Low"))</f>
        <v>High</v>
      </c>
    </row>
    <row r="130" spans="1:20" x14ac:dyDescent="0.35">
      <c r="A130" t="s">
        <v>332</v>
      </c>
      <c r="B130" s="23" t="s">
        <v>333</v>
      </c>
      <c r="C130" t="s">
        <v>138</v>
      </c>
      <c r="D130" t="s">
        <v>54</v>
      </c>
      <c r="E130" t="s">
        <v>103</v>
      </c>
      <c r="F130" t="s">
        <v>45</v>
      </c>
      <c r="G130" t="s">
        <v>122</v>
      </c>
      <c r="H130" t="s">
        <v>21</v>
      </c>
      <c r="I130">
        <v>7</v>
      </c>
      <c r="J130" s="4">
        <v>150</v>
      </c>
      <c r="K130" s="6">
        <v>0</v>
      </c>
      <c r="L130" s="8">
        <v>1050</v>
      </c>
      <c r="M130" s="8">
        <v>525</v>
      </c>
      <c r="N130" s="8">
        <v>525</v>
      </c>
      <c r="O130" s="8">
        <f>SalesData[[#This Row],[Quantity]]*SalesData[[#This Row],[Unit Price]]*(1-SalesData[[#This Row],[Discount]])</f>
        <v>1050</v>
      </c>
      <c r="P130" s="8">
        <f>SalesData[[#This Row],[Sales_Check]]-SalesData[[#This Row],[Cost]]</f>
        <v>525</v>
      </c>
      <c r="Q130" s="13">
        <f>IFERROR(SalesData[[#This Row],[Profit]]/SalesData[[#This Row],[Sales]],0)</f>
        <v>0.5</v>
      </c>
      <c r="R130" t="str">
        <f>TEXT(SalesData[[#This Row],[Order Date]],"mmm-yyyy")</f>
        <v>Oct-2025</v>
      </c>
      <c r="S130">
        <f>YEAR(SalesData[[#This Row],[Order Date]])</f>
        <v>2025</v>
      </c>
      <c r="T130" t="str">
        <f>IF(SalesData[[#This Row],[Profit Margin]]&gt;=30%,"High",IF(SalesData[[#This Row],[Profit Margin]]&gt;=15%,"Medium","Low"))</f>
        <v>High</v>
      </c>
    </row>
    <row r="131" spans="1:20" x14ac:dyDescent="0.35">
      <c r="A131" t="s">
        <v>334</v>
      </c>
      <c r="B131" s="23" t="s">
        <v>333</v>
      </c>
      <c r="C131" t="s">
        <v>335</v>
      </c>
      <c r="D131" t="s">
        <v>17</v>
      </c>
      <c r="E131" t="s">
        <v>50</v>
      </c>
      <c r="F131" t="s">
        <v>37</v>
      </c>
      <c r="G131" t="s">
        <v>38</v>
      </c>
      <c r="H131" t="s">
        <v>47</v>
      </c>
      <c r="I131">
        <v>5</v>
      </c>
      <c r="J131" s="4">
        <v>650</v>
      </c>
      <c r="K131" s="6">
        <v>0.1</v>
      </c>
      <c r="L131" s="8">
        <v>2925</v>
      </c>
      <c r="M131" s="8">
        <v>1900</v>
      </c>
      <c r="N131" s="8">
        <v>1025</v>
      </c>
      <c r="O131" s="8">
        <f>SalesData[[#This Row],[Quantity]]*SalesData[[#This Row],[Unit Price]]*(1-SalesData[[#This Row],[Discount]])</f>
        <v>2925</v>
      </c>
      <c r="P131" s="8">
        <f>SalesData[[#This Row],[Sales_Check]]-SalesData[[#This Row],[Cost]]</f>
        <v>1025</v>
      </c>
      <c r="Q131" s="13">
        <f>IFERROR(SalesData[[#This Row],[Profit]]/SalesData[[#This Row],[Sales]],0)</f>
        <v>0.3504273504273504</v>
      </c>
      <c r="R131" t="str">
        <f>TEXT(SalesData[[#This Row],[Order Date]],"mmm-yyyy")</f>
        <v>Oct-2025</v>
      </c>
      <c r="S131">
        <f>YEAR(SalesData[[#This Row],[Order Date]])</f>
        <v>2025</v>
      </c>
      <c r="T131" t="str">
        <f>IF(SalesData[[#This Row],[Profit Margin]]&gt;=30%,"High",IF(SalesData[[#This Row],[Profit Margin]]&gt;=15%,"Medium","Low"))</f>
        <v>High</v>
      </c>
    </row>
    <row r="132" spans="1:20" x14ac:dyDescent="0.35">
      <c r="A132" t="s">
        <v>336</v>
      </c>
      <c r="B132" s="23" t="s">
        <v>337</v>
      </c>
      <c r="C132" t="s">
        <v>121</v>
      </c>
      <c r="D132" t="s">
        <v>17</v>
      </c>
      <c r="E132" t="s">
        <v>32</v>
      </c>
      <c r="F132" t="s">
        <v>27</v>
      </c>
      <c r="G132" t="s">
        <v>90</v>
      </c>
      <c r="H132" t="s">
        <v>21</v>
      </c>
      <c r="I132">
        <v>4</v>
      </c>
      <c r="J132" s="4">
        <v>1500</v>
      </c>
      <c r="K132" s="6">
        <v>0</v>
      </c>
      <c r="L132" s="8">
        <v>6000</v>
      </c>
      <c r="M132" s="8">
        <v>3600</v>
      </c>
      <c r="N132" s="8">
        <v>2400</v>
      </c>
      <c r="O132" s="8">
        <f>SalesData[[#This Row],[Quantity]]*SalesData[[#This Row],[Unit Price]]*(1-SalesData[[#This Row],[Discount]])</f>
        <v>6000</v>
      </c>
      <c r="P132" s="8">
        <f>SalesData[[#This Row],[Sales_Check]]-SalesData[[#This Row],[Cost]]</f>
        <v>2400</v>
      </c>
      <c r="Q132" s="13">
        <f>IFERROR(SalesData[[#This Row],[Profit]]/SalesData[[#This Row],[Sales]],0)</f>
        <v>0.4</v>
      </c>
      <c r="R132" t="str">
        <f>TEXT(SalesData[[#This Row],[Order Date]],"mmm-yyyy")</f>
        <v>Oct-2025</v>
      </c>
      <c r="S132">
        <f>YEAR(SalesData[[#This Row],[Order Date]])</f>
        <v>2025</v>
      </c>
      <c r="T132" t="str">
        <f>IF(SalesData[[#This Row],[Profit Margin]]&gt;=30%,"High",IF(SalesData[[#This Row],[Profit Margin]]&gt;=15%,"Medium","Low"))</f>
        <v>High</v>
      </c>
    </row>
    <row r="133" spans="1:20" x14ac:dyDescent="0.35">
      <c r="A133" t="s">
        <v>338</v>
      </c>
      <c r="B133" s="23" t="s">
        <v>337</v>
      </c>
      <c r="C133" t="s">
        <v>339</v>
      </c>
      <c r="D133" t="s">
        <v>17</v>
      </c>
      <c r="E133" t="s">
        <v>65</v>
      </c>
      <c r="F133" t="s">
        <v>27</v>
      </c>
      <c r="G133" t="s">
        <v>85</v>
      </c>
      <c r="H133" t="s">
        <v>125</v>
      </c>
      <c r="I133">
        <v>3</v>
      </c>
      <c r="J133" s="4">
        <v>2200</v>
      </c>
      <c r="K133" s="6">
        <v>0</v>
      </c>
      <c r="L133" s="8">
        <v>6600</v>
      </c>
      <c r="M133" s="8">
        <v>4200</v>
      </c>
      <c r="N133" s="8">
        <v>2400</v>
      </c>
      <c r="O133" s="8">
        <f>SalesData[[#This Row],[Quantity]]*SalesData[[#This Row],[Unit Price]]*(1-SalesData[[#This Row],[Discount]])</f>
        <v>6600</v>
      </c>
      <c r="P133" s="8">
        <f>SalesData[[#This Row],[Sales_Check]]-SalesData[[#This Row],[Cost]]</f>
        <v>2400</v>
      </c>
      <c r="Q133" s="13">
        <f>IFERROR(SalesData[[#This Row],[Profit]]/SalesData[[#This Row],[Sales]],0)</f>
        <v>0.36363636363636365</v>
      </c>
      <c r="R133" t="str">
        <f>TEXT(SalesData[[#This Row],[Order Date]],"mmm-yyyy")</f>
        <v>Oct-2025</v>
      </c>
      <c r="S133">
        <f>YEAR(SalesData[[#This Row],[Order Date]])</f>
        <v>2025</v>
      </c>
      <c r="T133" t="str">
        <f>IF(SalesData[[#This Row],[Profit Margin]]&gt;=30%,"High",IF(SalesData[[#This Row],[Profit Margin]]&gt;=15%,"Medium","Low"))</f>
        <v>High</v>
      </c>
    </row>
    <row r="134" spans="1:20" x14ac:dyDescent="0.35">
      <c r="A134" t="s">
        <v>340</v>
      </c>
      <c r="B134" s="23" t="s">
        <v>337</v>
      </c>
      <c r="C134" t="s">
        <v>134</v>
      </c>
      <c r="D134" t="s">
        <v>25</v>
      </c>
      <c r="E134" t="s">
        <v>80</v>
      </c>
      <c r="F134" t="s">
        <v>45</v>
      </c>
      <c r="G134" t="s">
        <v>70</v>
      </c>
      <c r="H134" t="s">
        <v>125</v>
      </c>
      <c r="I134">
        <v>10</v>
      </c>
      <c r="J134" s="4">
        <v>950</v>
      </c>
      <c r="K134" s="6">
        <v>0</v>
      </c>
      <c r="L134" s="8">
        <v>9500</v>
      </c>
      <c r="M134" s="8">
        <v>5600</v>
      </c>
      <c r="N134" s="8">
        <v>3900</v>
      </c>
      <c r="O134" s="8">
        <f>SalesData[[#This Row],[Quantity]]*SalesData[[#This Row],[Unit Price]]*(1-SalesData[[#This Row],[Discount]])</f>
        <v>9500</v>
      </c>
      <c r="P134" s="8">
        <f>SalesData[[#This Row],[Sales_Check]]-SalesData[[#This Row],[Cost]]</f>
        <v>3900</v>
      </c>
      <c r="Q134" s="13">
        <f>IFERROR(SalesData[[#This Row],[Profit]]/SalesData[[#This Row],[Sales]],0)</f>
        <v>0.41052631578947368</v>
      </c>
      <c r="R134" t="str">
        <f>TEXT(SalesData[[#This Row],[Order Date]],"mmm-yyyy")</f>
        <v>Oct-2025</v>
      </c>
      <c r="S134">
        <f>YEAR(SalesData[[#This Row],[Order Date]])</f>
        <v>2025</v>
      </c>
      <c r="T134" t="str">
        <f>IF(SalesData[[#This Row],[Profit Margin]]&gt;=30%,"High",IF(SalesData[[#This Row],[Profit Margin]]&gt;=15%,"Medium","Low"))</f>
        <v>High</v>
      </c>
    </row>
    <row r="135" spans="1:20" x14ac:dyDescent="0.35">
      <c r="A135" t="s">
        <v>341</v>
      </c>
      <c r="B135" s="23" t="s">
        <v>337</v>
      </c>
      <c r="C135" t="s">
        <v>248</v>
      </c>
      <c r="D135" t="s">
        <v>17</v>
      </c>
      <c r="E135" t="s">
        <v>18</v>
      </c>
      <c r="F135" t="s">
        <v>45</v>
      </c>
      <c r="G135" t="s">
        <v>46</v>
      </c>
      <c r="H135" t="s">
        <v>29</v>
      </c>
      <c r="I135">
        <v>6</v>
      </c>
      <c r="J135" s="4">
        <v>1800</v>
      </c>
      <c r="K135" s="6">
        <v>0</v>
      </c>
      <c r="L135" s="8">
        <v>10800</v>
      </c>
      <c r="M135" s="8">
        <v>6600</v>
      </c>
      <c r="N135" s="8">
        <v>4200</v>
      </c>
      <c r="O135" s="8">
        <f>SalesData[[#This Row],[Quantity]]*SalesData[[#This Row],[Unit Price]]*(1-SalesData[[#This Row],[Discount]])</f>
        <v>10800</v>
      </c>
      <c r="P135" s="8">
        <f>SalesData[[#This Row],[Sales_Check]]-SalesData[[#This Row],[Cost]]</f>
        <v>4200</v>
      </c>
      <c r="Q135" s="13">
        <f>IFERROR(SalesData[[#This Row],[Profit]]/SalesData[[#This Row],[Sales]],0)</f>
        <v>0.3888888888888889</v>
      </c>
      <c r="R135" t="str">
        <f>TEXT(SalesData[[#This Row],[Order Date]],"mmm-yyyy")</f>
        <v>Oct-2025</v>
      </c>
      <c r="S135">
        <f>YEAR(SalesData[[#This Row],[Order Date]])</f>
        <v>2025</v>
      </c>
      <c r="T135" t="str">
        <f>IF(SalesData[[#This Row],[Profit Margin]]&gt;=30%,"High",IF(SalesData[[#This Row],[Profit Margin]]&gt;=15%,"Medium","Low"))</f>
        <v>High</v>
      </c>
    </row>
    <row r="136" spans="1:20" x14ac:dyDescent="0.35">
      <c r="A136" t="s">
        <v>342</v>
      </c>
      <c r="B136" s="23" t="s">
        <v>337</v>
      </c>
      <c r="C136" t="s">
        <v>343</v>
      </c>
      <c r="D136" t="s">
        <v>54</v>
      </c>
      <c r="E136" t="s">
        <v>103</v>
      </c>
      <c r="F136" t="s">
        <v>19</v>
      </c>
      <c r="G136" t="s">
        <v>215</v>
      </c>
      <c r="H136" t="s">
        <v>33</v>
      </c>
      <c r="I136">
        <v>9</v>
      </c>
      <c r="J136" s="4">
        <v>150</v>
      </c>
      <c r="K136" s="6">
        <v>0</v>
      </c>
      <c r="L136" s="8">
        <v>1350</v>
      </c>
      <c r="M136" s="8">
        <v>675</v>
      </c>
      <c r="N136" s="8">
        <v>675</v>
      </c>
      <c r="O136" s="8">
        <f>SalesData[[#This Row],[Quantity]]*SalesData[[#This Row],[Unit Price]]*(1-SalesData[[#This Row],[Discount]])</f>
        <v>1350</v>
      </c>
      <c r="P136" s="8">
        <f>SalesData[[#This Row],[Sales_Check]]-SalesData[[#This Row],[Cost]]</f>
        <v>675</v>
      </c>
      <c r="Q136" s="13">
        <f>IFERROR(SalesData[[#This Row],[Profit]]/SalesData[[#This Row],[Sales]],0)</f>
        <v>0.5</v>
      </c>
      <c r="R136" t="str">
        <f>TEXT(SalesData[[#This Row],[Order Date]],"mmm-yyyy")</f>
        <v>Oct-2025</v>
      </c>
      <c r="S136">
        <f>YEAR(SalesData[[#This Row],[Order Date]])</f>
        <v>2025</v>
      </c>
      <c r="T136" t="str">
        <f>IF(SalesData[[#This Row],[Profit Margin]]&gt;=30%,"High",IF(SalesData[[#This Row],[Profit Margin]]&gt;=15%,"Medium","Low"))</f>
        <v>High</v>
      </c>
    </row>
    <row r="137" spans="1:20" x14ac:dyDescent="0.35">
      <c r="A137" t="s">
        <v>344</v>
      </c>
      <c r="B137" s="23" t="s">
        <v>345</v>
      </c>
      <c r="C137" t="s">
        <v>152</v>
      </c>
      <c r="D137" t="s">
        <v>54</v>
      </c>
      <c r="E137" t="s">
        <v>107</v>
      </c>
      <c r="F137" t="s">
        <v>19</v>
      </c>
      <c r="G137" t="s">
        <v>215</v>
      </c>
      <c r="H137" t="s">
        <v>39</v>
      </c>
      <c r="I137">
        <v>6</v>
      </c>
      <c r="J137" s="4">
        <v>120</v>
      </c>
      <c r="K137" s="6">
        <v>0</v>
      </c>
      <c r="L137" s="8">
        <v>720</v>
      </c>
      <c r="M137" s="8">
        <v>330</v>
      </c>
      <c r="N137" s="8">
        <v>390</v>
      </c>
      <c r="O137" s="8">
        <f>SalesData[[#This Row],[Quantity]]*SalesData[[#This Row],[Unit Price]]*(1-SalesData[[#This Row],[Discount]])</f>
        <v>720</v>
      </c>
      <c r="P137" s="8">
        <f>SalesData[[#This Row],[Sales_Check]]-SalesData[[#This Row],[Cost]]</f>
        <v>390</v>
      </c>
      <c r="Q137" s="13">
        <f>IFERROR(SalesData[[#This Row],[Profit]]/SalesData[[#This Row],[Sales]],0)</f>
        <v>0.54166666666666663</v>
      </c>
      <c r="R137" t="str">
        <f>TEXT(SalesData[[#This Row],[Order Date]],"mmm-yyyy")</f>
        <v>Oct-2025</v>
      </c>
      <c r="S137">
        <f>YEAR(SalesData[[#This Row],[Order Date]])</f>
        <v>2025</v>
      </c>
      <c r="T137" t="str">
        <f>IF(SalesData[[#This Row],[Profit Margin]]&gt;=30%,"High",IF(SalesData[[#This Row],[Profit Margin]]&gt;=15%,"Medium","Low"))</f>
        <v>High</v>
      </c>
    </row>
    <row r="138" spans="1:20" x14ac:dyDescent="0.35">
      <c r="A138" t="s">
        <v>346</v>
      </c>
      <c r="B138" s="23" t="s">
        <v>347</v>
      </c>
      <c r="C138" t="s">
        <v>348</v>
      </c>
      <c r="D138" t="s">
        <v>25</v>
      </c>
      <c r="E138" t="s">
        <v>36</v>
      </c>
      <c r="F138" t="s">
        <v>37</v>
      </c>
      <c r="G138" t="s">
        <v>97</v>
      </c>
      <c r="H138" t="s">
        <v>125</v>
      </c>
      <c r="I138">
        <v>9</v>
      </c>
      <c r="J138" s="4">
        <v>700</v>
      </c>
      <c r="K138" s="6">
        <v>0</v>
      </c>
      <c r="L138" s="8">
        <v>6300</v>
      </c>
      <c r="M138" s="8">
        <v>3600</v>
      </c>
      <c r="N138" s="8">
        <v>2700</v>
      </c>
      <c r="O138" s="8">
        <f>SalesData[[#This Row],[Quantity]]*SalesData[[#This Row],[Unit Price]]*(1-SalesData[[#This Row],[Discount]])</f>
        <v>6300</v>
      </c>
      <c r="P138" s="8">
        <f>SalesData[[#This Row],[Sales_Check]]-SalesData[[#This Row],[Cost]]</f>
        <v>2700</v>
      </c>
      <c r="Q138" s="13">
        <f>IFERROR(SalesData[[#This Row],[Profit]]/SalesData[[#This Row],[Sales]],0)</f>
        <v>0.42857142857142855</v>
      </c>
      <c r="R138" t="str">
        <f>TEXT(SalesData[[#This Row],[Order Date]],"mmm-yyyy")</f>
        <v>Oct-2025</v>
      </c>
      <c r="S138">
        <f>YEAR(SalesData[[#This Row],[Order Date]])</f>
        <v>2025</v>
      </c>
      <c r="T138" t="str">
        <f>IF(SalesData[[#This Row],[Profit Margin]]&gt;=30%,"High",IF(SalesData[[#This Row],[Profit Margin]]&gt;=15%,"Medium","Low"))</f>
        <v>High</v>
      </c>
    </row>
    <row r="139" spans="1:20" x14ac:dyDescent="0.35">
      <c r="A139" t="s">
        <v>349</v>
      </c>
      <c r="B139" s="23" t="s">
        <v>347</v>
      </c>
      <c r="C139" t="s">
        <v>350</v>
      </c>
      <c r="D139" t="s">
        <v>54</v>
      </c>
      <c r="E139" t="s">
        <v>107</v>
      </c>
      <c r="F139" t="s">
        <v>19</v>
      </c>
      <c r="G139" t="s">
        <v>20</v>
      </c>
      <c r="H139" t="s">
        <v>39</v>
      </c>
      <c r="I139">
        <v>10</v>
      </c>
      <c r="J139" s="4">
        <v>120</v>
      </c>
      <c r="K139" s="6">
        <v>0</v>
      </c>
      <c r="L139" s="8">
        <v>1200</v>
      </c>
      <c r="M139" s="8">
        <v>550</v>
      </c>
      <c r="N139" s="8">
        <v>650</v>
      </c>
      <c r="O139" s="8">
        <f>SalesData[[#This Row],[Quantity]]*SalesData[[#This Row],[Unit Price]]*(1-SalesData[[#This Row],[Discount]])</f>
        <v>1200</v>
      </c>
      <c r="P139" s="8">
        <f>SalesData[[#This Row],[Sales_Check]]-SalesData[[#This Row],[Cost]]</f>
        <v>650</v>
      </c>
      <c r="Q139" s="13">
        <f>IFERROR(SalesData[[#This Row],[Profit]]/SalesData[[#This Row],[Sales]],0)</f>
        <v>0.54166666666666663</v>
      </c>
      <c r="R139" t="str">
        <f>TEXT(SalesData[[#This Row],[Order Date]],"mmm-yyyy")</f>
        <v>Oct-2025</v>
      </c>
      <c r="S139">
        <f>YEAR(SalesData[[#This Row],[Order Date]])</f>
        <v>2025</v>
      </c>
      <c r="T139" t="str">
        <f>IF(SalesData[[#This Row],[Profit Margin]]&gt;=30%,"High",IF(SalesData[[#This Row],[Profit Margin]]&gt;=15%,"Medium","Low"))</f>
        <v>High</v>
      </c>
    </row>
    <row r="140" spans="1:20" x14ac:dyDescent="0.35">
      <c r="A140" t="s">
        <v>351</v>
      </c>
      <c r="B140" s="23" t="s">
        <v>347</v>
      </c>
      <c r="C140" t="s">
        <v>352</v>
      </c>
      <c r="D140" t="s">
        <v>43</v>
      </c>
      <c r="E140" t="s">
        <v>250</v>
      </c>
      <c r="F140" t="s">
        <v>19</v>
      </c>
      <c r="G140" t="s">
        <v>20</v>
      </c>
      <c r="H140" t="s">
        <v>33</v>
      </c>
      <c r="I140">
        <v>4</v>
      </c>
      <c r="J140" s="4">
        <v>900</v>
      </c>
      <c r="K140" s="6">
        <v>0</v>
      </c>
      <c r="L140" s="8">
        <v>3600</v>
      </c>
      <c r="M140" s="8">
        <v>2080</v>
      </c>
      <c r="N140" s="8">
        <v>1520</v>
      </c>
      <c r="O140" s="8">
        <f>SalesData[[#This Row],[Quantity]]*SalesData[[#This Row],[Unit Price]]*(1-SalesData[[#This Row],[Discount]])</f>
        <v>3600</v>
      </c>
      <c r="P140" s="8">
        <f>SalesData[[#This Row],[Sales_Check]]-SalesData[[#This Row],[Cost]]</f>
        <v>1520</v>
      </c>
      <c r="Q140" s="13">
        <f>IFERROR(SalesData[[#This Row],[Profit]]/SalesData[[#This Row],[Sales]],0)</f>
        <v>0.42222222222222222</v>
      </c>
      <c r="R140" t="str">
        <f>TEXT(SalesData[[#This Row],[Order Date]],"mmm-yyyy")</f>
        <v>Oct-2025</v>
      </c>
      <c r="S140">
        <f>YEAR(SalesData[[#This Row],[Order Date]])</f>
        <v>2025</v>
      </c>
      <c r="T140" t="str">
        <f>IF(SalesData[[#This Row],[Profit Margin]]&gt;=30%,"High",IF(SalesData[[#This Row],[Profit Margin]]&gt;=15%,"Medium","Low"))</f>
        <v>High</v>
      </c>
    </row>
    <row r="141" spans="1:20" x14ac:dyDescent="0.35">
      <c r="A141" t="s">
        <v>353</v>
      </c>
      <c r="B141" s="23" t="s">
        <v>354</v>
      </c>
      <c r="C141" t="s">
        <v>355</v>
      </c>
      <c r="D141" t="s">
        <v>17</v>
      </c>
      <c r="E141" t="s">
        <v>18</v>
      </c>
      <c r="F141" t="s">
        <v>45</v>
      </c>
      <c r="G141" t="s">
        <v>104</v>
      </c>
      <c r="H141" t="s">
        <v>39</v>
      </c>
      <c r="I141">
        <v>2</v>
      </c>
      <c r="J141" s="4">
        <v>1800</v>
      </c>
      <c r="K141" s="6">
        <v>0</v>
      </c>
      <c r="L141" s="8">
        <v>3600</v>
      </c>
      <c r="M141" s="8">
        <v>2200</v>
      </c>
      <c r="N141" s="8">
        <v>1400</v>
      </c>
      <c r="O141" s="8">
        <f>SalesData[[#This Row],[Quantity]]*SalesData[[#This Row],[Unit Price]]*(1-SalesData[[#This Row],[Discount]])</f>
        <v>3600</v>
      </c>
      <c r="P141" s="8">
        <f>SalesData[[#This Row],[Sales_Check]]-SalesData[[#This Row],[Cost]]</f>
        <v>1400</v>
      </c>
      <c r="Q141" s="13">
        <f>IFERROR(SalesData[[#This Row],[Profit]]/SalesData[[#This Row],[Sales]],0)</f>
        <v>0.3888888888888889</v>
      </c>
      <c r="R141" t="str">
        <f>TEXT(SalesData[[#This Row],[Order Date]],"mmm-yyyy")</f>
        <v>Oct-2025</v>
      </c>
      <c r="S141">
        <f>YEAR(SalesData[[#This Row],[Order Date]])</f>
        <v>2025</v>
      </c>
      <c r="T141" t="str">
        <f>IF(SalesData[[#This Row],[Profit Margin]]&gt;=30%,"High",IF(SalesData[[#This Row],[Profit Margin]]&gt;=15%,"Medium","Low"))</f>
        <v>High</v>
      </c>
    </row>
    <row r="142" spans="1:20" x14ac:dyDescent="0.35">
      <c r="A142" t="s">
        <v>356</v>
      </c>
      <c r="B142" s="23" t="s">
        <v>354</v>
      </c>
      <c r="C142" t="s">
        <v>129</v>
      </c>
      <c r="D142" t="s">
        <v>54</v>
      </c>
      <c r="E142" t="s">
        <v>103</v>
      </c>
      <c r="F142" t="s">
        <v>19</v>
      </c>
      <c r="G142" t="s">
        <v>215</v>
      </c>
      <c r="H142" t="s">
        <v>29</v>
      </c>
      <c r="I142">
        <v>1</v>
      </c>
      <c r="J142" s="4">
        <v>150</v>
      </c>
      <c r="K142" s="6">
        <v>0</v>
      </c>
      <c r="L142" s="8">
        <v>150</v>
      </c>
      <c r="M142" s="8">
        <v>75</v>
      </c>
      <c r="N142" s="8">
        <v>75</v>
      </c>
      <c r="O142" s="8">
        <f>SalesData[[#This Row],[Quantity]]*SalesData[[#This Row],[Unit Price]]*(1-SalesData[[#This Row],[Discount]])</f>
        <v>150</v>
      </c>
      <c r="P142" s="8">
        <f>SalesData[[#This Row],[Sales_Check]]-SalesData[[#This Row],[Cost]]</f>
        <v>75</v>
      </c>
      <c r="Q142" s="13">
        <f>IFERROR(SalesData[[#This Row],[Profit]]/SalesData[[#This Row],[Sales]],0)</f>
        <v>0.5</v>
      </c>
      <c r="R142" t="str">
        <f>TEXT(SalesData[[#This Row],[Order Date]],"mmm-yyyy")</f>
        <v>Oct-2025</v>
      </c>
      <c r="S142">
        <f>YEAR(SalesData[[#This Row],[Order Date]])</f>
        <v>2025</v>
      </c>
      <c r="T142" t="str">
        <f>IF(SalesData[[#This Row],[Profit Margin]]&gt;=30%,"High",IF(SalesData[[#This Row],[Profit Margin]]&gt;=15%,"Medium","Low"))</f>
        <v>High</v>
      </c>
    </row>
    <row r="143" spans="1:20" x14ac:dyDescent="0.35">
      <c r="A143" t="s">
        <v>357</v>
      </c>
      <c r="B143" s="23" t="s">
        <v>354</v>
      </c>
      <c r="C143" t="s">
        <v>358</v>
      </c>
      <c r="D143" t="s">
        <v>43</v>
      </c>
      <c r="E143" t="s">
        <v>62</v>
      </c>
      <c r="F143" t="s">
        <v>19</v>
      </c>
      <c r="G143" t="s">
        <v>20</v>
      </c>
      <c r="H143" t="s">
        <v>47</v>
      </c>
      <c r="I143">
        <v>6</v>
      </c>
      <c r="J143" s="4">
        <v>500</v>
      </c>
      <c r="K143" s="6">
        <v>0</v>
      </c>
      <c r="L143" s="8">
        <v>3000</v>
      </c>
      <c r="M143" s="8">
        <v>1680</v>
      </c>
      <c r="N143" s="8">
        <v>1320</v>
      </c>
      <c r="O143" s="8">
        <f>SalesData[[#This Row],[Quantity]]*SalesData[[#This Row],[Unit Price]]*(1-SalesData[[#This Row],[Discount]])</f>
        <v>3000</v>
      </c>
      <c r="P143" s="8">
        <f>SalesData[[#This Row],[Sales_Check]]-SalesData[[#This Row],[Cost]]</f>
        <v>1320</v>
      </c>
      <c r="Q143" s="13">
        <f>IFERROR(SalesData[[#This Row],[Profit]]/SalesData[[#This Row],[Sales]],0)</f>
        <v>0.44</v>
      </c>
      <c r="R143" t="str">
        <f>TEXT(SalesData[[#This Row],[Order Date]],"mmm-yyyy")</f>
        <v>Oct-2025</v>
      </c>
      <c r="S143">
        <f>YEAR(SalesData[[#This Row],[Order Date]])</f>
        <v>2025</v>
      </c>
      <c r="T143" t="str">
        <f>IF(SalesData[[#This Row],[Profit Margin]]&gt;=30%,"High",IF(SalesData[[#This Row],[Profit Margin]]&gt;=15%,"Medium","Low"))</f>
        <v>High</v>
      </c>
    </row>
    <row r="144" spans="1:20" x14ac:dyDescent="0.35">
      <c r="A144" t="s">
        <v>359</v>
      </c>
      <c r="B144" s="23" t="s">
        <v>360</v>
      </c>
      <c r="C144" t="s">
        <v>220</v>
      </c>
      <c r="D144" t="s">
        <v>25</v>
      </c>
      <c r="E144" t="s">
        <v>80</v>
      </c>
      <c r="F144" t="s">
        <v>37</v>
      </c>
      <c r="G144" t="s">
        <v>38</v>
      </c>
      <c r="H144" t="s">
        <v>47</v>
      </c>
      <c r="I144">
        <v>9</v>
      </c>
      <c r="J144" s="4">
        <v>950</v>
      </c>
      <c r="K144" s="6">
        <v>0.05</v>
      </c>
      <c r="L144" s="8">
        <v>8122.5</v>
      </c>
      <c r="M144" s="8">
        <v>5040</v>
      </c>
      <c r="N144" s="8">
        <v>3082.5</v>
      </c>
      <c r="O144" s="8">
        <f>SalesData[[#This Row],[Quantity]]*SalesData[[#This Row],[Unit Price]]*(1-SalesData[[#This Row],[Discount]])</f>
        <v>8122.5</v>
      </c>
      <c r="P144" s="8">
        <f>SalesData[[#This Row],[Sales_Check]]-SalesData[[#This Row],[Cost]]</f>
        <v>3082.5</v>
      </c>
      <c r="Q144" s="13">
        <f>IFERROR(SalesData[[#This Row],[Profit]]/SalesData[[#This Row],[Sales]],0)</f>
        <v>0.37950138504155123</v>
      </c>
      <c r="R144" t="str">
        <f>TEXT(SalesData[[#This Row],[Order Date]],"mmm-yyyy")</f>
        <v>Oct-2025</v>
      </c>
      <c r="S144">
        <f>YEAR(SalesData[[#This Row],[Order Date]])</f>
        <v>2025</v>
      </c>
      <c r="T144" t="str">
        <f>IF(SalesData[[#This Row],[Profit Margin]]&gt;=30%,"High",IF(SalesData[[#This Row],[Profit Margin]]&gt;=15%,"Medium","Low"))</f>
        <v>High</v>
      </c>
    </row>
    <row r="145" spans="1:20" x14ac:dyDescent="0.35">
      <c r="A145" t="s">
        <v>361</v>
      </c>
      <c r="B145" s="23" t="s">
        <v>360</v>
      </c>
      <c r="C145" t="s">
        <v>362</v>
      </c>
      <c r="D145" t="s">
        <v>25</v>
      </c>
      <c r="E145" t="s">
        <v>89</v>
      </c>
      <c r="F145" t="s">
        <v>37</v>
      </c>
      <c r="G145" t="s">
        <v>97</v>
      </c>
      <c r="H145" t="s">
        <v>47</v>
      </c>
      <c r="I145">
        <v>5</v>
      </c>
      <c r="J145" s="4">
        <v>550</v>
      </c>
      <c r="K145" s="6">
        <v>0</v>
      </c>
      <c r="L145" s="8">
        <v>2750</v>
      </c>
      <c r="M145" s="8">
        <v>1500</v>
      </c>
      <c r="N145" s="8">
        <v>1250</v>
      </c>
      <c r="O145" s="8">
        <f>SalesData[[#This Row],[Quantity]]*SalesData[[#This Row],[Unit Price]]*(1-SalesData[[#This Row],[Discount]])</f>
        <v>2750</v>
      </c>
      <c r="P145" s="8">
        <f>SalesData[[#This Row],[Sales_Check]]-SalesData[[#This Row],[Cost]]</f>
        <v>1250</v>
      </c>
      <c r="Q145" s="13">
        <f>IFERROR(SalesData[[#This Row],[Profit]]/SalesData[[#This Row],[Sales]],0)</f>
        <v>0.45454545454545453</v>
      </c>
      <c r="R145" t="str">
        <f>TEXT(SalesData[[#This Row],[Order Date]],"mmm-yyyy")</f>
        <v>Oct-2025</v>
      </c>
      <c r="S145">
        <f>YEAR(SalesData[[#This Row],[Order Date]])</f>
        <v>2025</v>
      </c>
      <c r="T145" t="str">
        <f>IF(SalesData[[#This Row],[Profit Margin]]&gt;=30%,"High",IF(SalesData[[#This Row],[Profit Margin]]&gt;=15%,"Medium","Low"))</f>
        <v>High</v>
      </c>
    </row>
    <row r="146" spans="1:20" x14ac:dyDescent="0.35">
      <c r="A146" t="s">
        <v>363</v>
      </c>
      <c r="B146" s="23" t="s">
        <v>360</v>
      </c>
      <c r="C146" t="s">
        <v>364</v>
      </c>
      <c r="D146" t="s">
        <v>17</v>
      </c>
      <c r="E146" t="s">
        <v>32</v>
      </c>
      <c r="F146" t="s">
        <v>37</v>
      </c>
      <c r="G146" t="s">
        <v>97</v>
      </c>
      <c r="H146" t="s">
        <v>125</v>
      </c>
      <c r="I146">
        <v>6</v>
      </c>
      <c r="J146" s="4">
        <v>1500</v>
      </c>
      <c r="K146" s="6">
        <v>0.1</v>
      </c>
      <c r="L146" s="8">
        <v>8100</v>
      </c>
      <c r="M146" s="8">
        <v>5400</v>
      </c>
      <c r="N146" s="8">
        <v>2700</v>
      </c>
      <c r="O146" s="8">
        <f>SalesData[[#This Row],[Quantity]]*SalesData[[#This Row],[Unit Price]]*(1-SalesData[[#This Row],[Discount]])</f>
        <v>8100</v>
      </c>
      <c r="P146" s="8">
        <f>SalesData[[#This Row],[Sales_Check]]-SalesData[[#This Row],[Cost]]</f>
        <v>2700</v>
      </c>
      <c r="Q146" s="13">
        <f>IFERROR(SalesData[[#This Row],[Profit]]/SalesData[[#This Row],[Sales]],0)</f>
        <v>0.33333333333333331</v>
      </c>
      <c r="R146" t="str">
        <f>TEXT(SalesData[[#This Row],[Order Date]],"mmm-yyyy")</f>
        <v>Oct-2025</v>
      </c>
      <c r="S146">
        <f>YEAR(SalesData[[#This Row],[Order Date]])</f>
        <v>2025</v>
      </c>
      <c r="T146" t="str">
        <f>IF(SalesData[[#This Row],[Profit Margin]]&gt;=30%,"High",IF(SalesData[[#This Row],[Profit Margin]]&gt;=15%,"Medium","Low"))</f>
        <v>High</v>
      </c>
    </row>
    <row r="147" spans="1:20" x14ac:dyDescent="0.35">
      <c r="A147" t="s">
        <v>365</v>
      </c>
      <c r="B147" s="23" t="s">
        <v>366</v>
      </c>
      <c r="C147" t="s">
        <v>367</v>
      </c>
      <c r="D147" t="s">
        <v>25</v>
      </c>
      <c r="E147" t="s">
        <v>89</v>
      </c>
      <c r="F147" t="s">
        <v>19</v>
      </c>
      <c r="G147" t="s">
        <v>215</v>
      </c>
      <c r="H147" t="s">
        <v>21</v>
      </c>
      <c r="I147">
        <v>10</v>
      </c>
      <c r="J147" s="4">
        <v>550</v>
      </c>
      <c r="K147" s="6">
        <v>0.05</v>
      </c>
      <c r="L147" s="8">
        <v>5225</v>
      </c>
      <c r="M147" s="8">
        <v>3000</v>
      </c>
      <c r="N147" s="8">
        <v>2225</v>
      </c>
      <c r="O147" s="8">
        <f>SalesData[[#This Row],[Quantity]]*SalesData[[#This Row],[Unit Price]]*(1-SalesData[[#This Row],[Discount]])</f>
        <v>5225</v>
      </c>
      <c r="P147" s="8">
        <f>SalesData[[#This Row],[Sales_Check]]-SalesData[[#This Row],[Cost]]</f>
        <v>2225</v>
      </c>
      <c r="Q147" s="13">
        <f>IFERROR(SalesData[[#This Row],[Profit]]/SalesData[[#This Row],[Sales]],0)</f>
        <v>0.42583732057416268</v>
      </c>
      <c r="R147" t="str">
        <f>TEXT(SalesData[[#This Row],[Order Date]],"mmm-yyyy")</f>
        <v>Oct-2025</v>
      </c>
      <c r="S147">
        <f>YEAR(SalesData[[#This Row],[Order Date]])</f>
        <v>2025</v>
      </c>
      <c r="T147" t="str">
        <f>IF(SalesData[[#This Row],[Profit Margin]]&gt;=30%,"High",IF(SalesData[[#This Row],[Profit Margin]]&gt;=15%,"Medium","Low"))</f>
        <v>High</v>
      </c>
    </row>
    <row r="148" spans="1:20" x14ac:dyDescent="0.35">
      <c r="A148" t="s">
        <v>368</v>
      </c>
      <c r="B148" s="23" t="s">
        <v>369</v>
      </c>
      <c r="C148" t="s">
        <v>61</v>
      </c>
      <c r="D148" t="s">
        <v>54</v>
      </c>
      <c r="E148" t="s">
        <v>107</v>
      </c>
      <c r="F148" t="s">
        <v>37</v>
      </c>
      <c r="G148" t="s">
        <v>73</v>
      </c>
      <c r="H148" t="s">
        <v>125</v>
      </c>
      <c r="I148">
        <v>7</v>
      </c>
      <c r="J148" s="4">
        <v>120</v>
      </c>
      <c r="K148" s="6">
        <v>0</v>
      </c>
      <c r="L148" s="8">
        <v>840</v>
      </c>
      <c r="M148" s="8">
        <v>385</v>
      </c>
      <c r="N148" s="8">
        <v>455</v>
      </c>
      <c r="O148" s="8">
        <f>SalesData[[#This Row],[Quantity]]*SalesData[[#This Row],[Unit Price]]*(1-SalesData[[#This Row],[Discount]])</f>
        <v>840</v>
      </c>
      <c r="P148" s="8">
        <f>SalesData[[#This Row],[Sales_Check]]-SalesData[[#This Row],[Cost]]</f>
        <v>455</v>
      </c>
      <c r="Q148" s="13">
        <f>IFERROR(SalesData[[#This Row],[Profit]]/SalesData[[#This Row],[Sales]],0)</f>
        <v>0.54166666666666663</v>
      </c>
      <c r="R148" t="str">
        <f>TEXT(SalesData[[#This Row],[Order Date]],"mmm-yyyy")</f>
        <v>Oct-2025</v>
      </c>
      <c r="S148">
        <f>YEAR(SalesData[[#This Row],[Order Date]])</f>
        <v>2025</v>
      </c>
      <c r="T148" t="str">
        <f>IF(SalesData[[#This Row],[Profit Margin]]&gt;=30%,"High",IF(SalesData[[#This Row],[Profit Margin]]&gt;=15%,"Medium","Low"))</f>
        <v>High</v>
      </c>
    </row>
    <row r="149" spans="1:20" x14ac:dyDescent="0.35">
      <c r="A149" t="s">
        <v>370</v>
      </c>
      <c r="B149" s="23" t="s">
        <v>371</v>
      </c>
      <c r="C149" t="s">
        <v>229</v>
      </c>
      <c r="D149" t="s">
        <v>54</v>
      </c>
      <c r="E149" t="s">
        <v>110</v>
      </c>
      <c r="F149" t="s">
        <v>45</v>
      </c>
      <c r="G149" t="s">
        <v>46</v>
      </c>
      <c r="H149" t="s">
        <v>21</v>
      </c>
      <c r="I149">
        <v>7</v>
      </c>
      <c r="J149" s="4">
        <v>280</v>
      </c>
      <c r="K149" s="6">
        <v>0</v>
      </c>
      <c r="L149" s="8">
        <v>1960</v>
      </c>
      <c r="M149" s="8">
        <v>1050</v>
      </c>
      <c r="N149" s="8">
        <v>910</v>
      </c>
      <c r="O149" s="8">
        <f>SalesData[[#This Row],[Quantity]]*SalesData[[#This Row],[Unit Price]]*(1-SalesData[[#This Row],[Discount]])</f>
        <v>1960</v>
      </c>
      <c r="P149" s="8">
        <f>SalesData[[#This Row],[Sales_Check]]-SalesData[[#This Row],[Cost]]</f>
        <v>910</v>
      </c>
      <c r="Q149" s="13">
        <f>IFERROR(SalesData[[#This Row],[Profit]]/SalesData[[#This Row],[Sales]],0)</f>
        <v>0.4642857142857143</v>
      </c>
      <c r="R149" t="str">
        <f>TEXT(SalesData[[#This Row],[Order Date]],"mmm-yyyy")</f>
        <v>Oct-2025</v>
      </c>
      <c r="S149">
        <f>YEAR(SalesData[[#This Row],[Order Date]])</f>
        <v>2025</v>
      </c>
      <c r="T149" t="str">
        <f>IF(SalesData[[#This Row],[Profit Margin]]&gt;=30%,"High",IF(SalesData[[#This Row],[Profit Margin]]&gt;=15%,"Medium","Low"))</f>
        <v>High</v>
      </c>
    </row>
    <row r="150" spans="1:20" x14ac:dyDescent="0.35">
      <c r="A150" t="s">
        <v>372</v>
      </c>
      <c r="B150" s="23" t="s">
        <v>373</v>
      </c>
      <c r="C150" t="s">
        <v>84</v>
      </c>
      <c r="D150" t="s">
        <v>17</v>
      </c>
      <c r="E150" t="s">
        <v>18</v>
      </c>
      <c r="F150" t="s">
        <v>37</v>
      </c>
      <c r="G150" t="s">
        <v>97</v>
      </c>
      <c r="H150" t="s">
        <v>21</v>
      </c>
      <c r="I150">
        <v>2</v>
      </c>
      <c r="J150" s="4">
        <v>1800</v>
      </c>
      <c r="K150" s="6">
        <v>0.05</v>
      </c>
      <c r="L150" s="8">
        <v>3420</v>
      </c>
      <c r="M150" s="8">
        <v>2200</v>
      </c>
      <c r="N150" s="8">
        <v>1220</v>
      </c>
      <c r="O150" s="8">
        <f>SalesData[[#This Row],[Quantity]]*SalesData[[#This Row],[Unit Price]]*(1-SalesData[[#This Row],[Discount]])</f>
        <v>3420</v>
      </c>
      <c r="P150" s="8">
        <f>SalesData[[#This Row],[Sales_Check]]-SalesData[[#This Row],[Cost]]</f>
        <v>1220</v>
      </c>
      <c r="Q150" s="13">
        <f>IFERROR(SalesData[[#This Row],[Profit]]/SalesData[[#This Row],[Sales]],0)</f>
        <v>0.35672514619883039</v>
      </c>
      <c r="R150" t="str">
        <f>TEXT(SalesData[[#This Row],[Order Date]],"mmm-yyyy")</f>
        <v>Oct-2025</v>
      </c>
      <c r="S150">
        <f>YEAR(SalesData[[#This Row],[Order Date]])</f>
        <v>2025</v>
      </c>
      <c r="T150" t="str">
        <f>IF(SalesData[[#This Row],[Profit Margin]]&gt;=30%,"High",IF(SalesData[[#This Row],[Profit Margin]]&gt;=15%,"Medium","Low"))</f>
        <v>High</v>
      </c>
    </row>
    <row r="151" spans="1:20" x14ac:dyDescent="0.35">
      <c r="A151" t="s">
        <v>374</v>
      </c>
      <c r="B151" s="23" t="s">
        <v>373</v>
      </c>
      <c r="C151" t="s">
        <v>375</v>
      </c>
      <c r="D151" t="s">
        <v>54</v>
      </c>
      <c r="E151" t="s">
        <v>110</v>
      </c>
      <c r="F151" t="s">
        <v>27</v>
      </c>
      <c r="G151" t="s">
        <v>90</v>
      </c>
      <c r="H151" t="s">
        <v>47</v>
      </c>
      <c r="I151">
        <v>6</v>
      </c>
      <c r="J151" s="4">
        <v>280</v>
      </c>
      <c r="K151" s="6">
        <v>0.05</v>
      </c>
      <c r="L151" s="8">
        <v>1596</v>
      </c>
      <c r="M151" s="8">
        <v>900</v>
      </c>
      <c r="N151" s="8">
        <v>696</v>
      </c>
      <c r="O151" s="8">
        <f>SalesData[[#This Row],[Quantity]]*SalesData[[#This Row],[Unit Price]]*(1-SalesData[[#This Row],[Discount]])</f>
        <v>1596</v>
      </c>
      <c r="P151" s="8">
        <f>SalesData[[#This Row],[Sales_Check]]-SalesData[[#This Row],[Cost]]</f>
        <v>696</v>
      </c>
      <c r="Q151" s="13">
        <f>IFERROR(SalesData[[#This Row],[Profit]]/SalesData[[#This Row],[Sales]],0)</f>
        <v>0.43609022556390975</v>
      </c>
      <c r="R151" t="str">
        <f>TEXT(SalesData[[#This Row],[Order Date]],"mmm-yyyy")</f>
        <v>Oct-2025</v>
      </c>
      <c r="S151">
        <f>YEAR(SalesData[[#This Row],[Order Date]])</f>
        <v>2025</v>
      </c>
      <c r="T151" t="str">
        <f>IF(SalesData[[#This Row],[Profit Margin]]&gt;=30%,"High",IF(SalesData[[#This Row],[Profit Margin]]&gt;=15%,"Medium","Low"))</f>
        <v>High</v>
      </c>
    </row>
    <row r="152" spans="1:20" x14ac:dyDescent="0.35">
      <c r="A152" t="s">
        <v>376</v>
      </c>
      <c r="B152" s="23" t="s">
        <v>373</v>
      </c>
      <c r="C152" t="s">
        <v>377</v>
      </c>
      <c r="D152" t="s">
        <v>54</v>
      </c>
      <c r="E152" t="s">
        <v>110</v>
      </c>
      <c r="F152" t="s">
        <v>19</v>
      </c>
      <c r="G152" t="s">
        <v>20</v>
      </c>
      <c r="H152" t="s">
        <v>39</v>
      </c>
      <c r="I152">
        <v>2</v>
      </c>
      <c r="J152" s="4">
        <v>280</v>
      </c>
      <c r="K152" s="6">
        <v>0.05</v>
      </c>
      <c r="L152" s="8">
        <v>532</v>
      </c>
      <c r="M152" s="8">
        <v>300</v>
      </c>
      <c r="N152" s="8">
        <v>232</v>
      </c>
      <c r="O152" s="8">
        <f>SalesData[[#This Row],[Quantity]]*SalesData[[#This Row],[Unit Price]]*(1-SalesData[[#This Row],[Discount]])</f>
        <v>532</v>
      </c>
      <c r="P152" s="8">
        <f>SalesData[[#This Row],[Sales_Check]]-SalesData[[#This Row],[Cost]]</f>
        <v>232</v>
      </c>
      <c r="Q152" s="13">
        <f>IFERROR(SalesData[[#This Row],[Profit]]/SalesData[[#This Row],[Sales]],0)</f>
        <v>0.43609022556390975</v>
      </c>
      <c r="R152" t="str">
        <f>TEXT(SalesData[[#This Row],[Order Date]],"mmm-yyyy")</f>
        <v>Oct-2025</v>
      </c>
      <c r="S152">
        <f>YEAR(SalesData[[#This Row],[Order Date]])</f>
        <v>2025</v>
      </c>
      <c r="T152" t="str">
        <f>IF(SalesData[[#This Row],[Profit Margin]]&gt;=30%,"High",IF(SalesData[[#This Row],[Profit Margin]]&gt;=15%,"Medium","Low"))</f>
        <v>High</v>
      </c>
    </row>
    <row r="153" spans="1:20" x14ac:dyDescent="0.35">
      <c r="A153" t="s">
        <v>378</v>
      </c>
      <c r="B153" s="23" t="s">
        <v>379</v>
      </c>
      <c r="C153" t="s">
        <v>380</v>
      </c>
      <c r="D153" t="s">
        <v>43</v>
      </c>
      <c r="E153" t="s">
        <v>62</v>
      </c>
      <c r="F153" t="s">
        <v>45</v>
      </c>
      <c r="G153" t="s">
        <v>104</v>
      </c>
      <c r="H153" t="s">
        <v>33</v>
      </c>
      <c r="I153">
        <v>8</v>
      </c>
      <c r="J153" s="4">
        <v>500</v>
      </c>
      <c r="K153" s="6">
        <v>0.05</v>
      </c>
      <c r="L153" s="8">
        <v>3800</v>
      </c>
      <c r="M153" s="8">
        <v>2240</v>
      </c>
      <c r="N153" s="8">
        <v>1560</v>
      </c>
      <c r="O153" s="8">
        <f>SalesData[[#This Row],[Quantity]]*SalesData[[#This Row],[Unit Price]]*(1-SalesData[[#This Row],[Discount]])</f>
        <v>3800</v>
      </c>
      <c r="P153" s="8">
        <f>SalesData[[#This Row],[Sales_Check]]-SalesData[[#This Row],[Cost]]</f>
        <v>1560</v>
      </c>
      <c r="Q153" s="13">
        <f>IFERROR(SalesData[[#This Row],[Profit]]/SalesData[[#This Row],[Sales]],0)</f>
        <v>0.41052631578947368</v>
      </c>
      <c r="R153" t="str">
        <f>TEXT(SalesData[[#This Row],[Order Date]],"mmm-yyyy")</f>
        <v>Oct-2025</v>
      </c>
      <c r="S153">
        <f>YEAR(SalesData[[#This Row],[Order Date]])</f>
        <v>2025</v>
      </c>
      <c r="T153" t="str">
        <f>IF(SalesData[[#This Row],[Profit Margin]]&gt;=30%,"High",IF(SalesData[[#This Row],[Profit Margin]]&gt;=15%,"Medium","Low"))</f>
        <v>High</v>
      </c>
    </row>
    <row r="154" spans="1:20" x14ac:dyDescent="0.35">
      <c r="A154" t="s">
        <v>381</v>
      </c>
      <c r="B154" s="23" t="s">
        <v>382</v>
      </c>
      <c r="C154" t="s">
        <v>59</v>
      </c>
      <c r="D154" t="s">
        <v>17</v>
      </c>
      <c r="E154" t="s">
        <v>18</v>
      </c>
      <c r="F154" t="s">
        <v>27</v>
      </c>
      <c r="G154" t="s">
        <v>85</v>
      </c>
      <c r="H154" t="s">
        <v>125</v>
      </c>
      <c r="I154">
        <v>1</v>
      </c>
      <c r="J154" s="4">
        <v>1800</v>
      </c>
      <c r="K154" s="6">
        <v>0.1</v>
      </c>
      <c r="L154" s="8">
        <v>1620</v>
      </c>
      <c r="M154" s="8">
        <v>1100</v>
      </c>
      <c r="N154" s="8">
        <v>520</v>
      </c>
      <c r="O154" s="8">
        <f>SalesData[[#This Row],[Quantity]]*SalesData[[#This Row],[Unit Price]]*(1-SalesData[[#This Row],[Discount]])</f>
        <v>1620</v>
      </c>
      <c r="P154" s="8">
        <f>SalesData[[#This Row],[Sales_Check]]-SalesData[[#This Row],[Cost]]</f>
        <v>520</v>
      </c>
      <c r="Q154" s="13">
        <f>IFERROR(SalesData[[#This Row],[Profit]]/SalesData[[#This Row],[Sales]],0)</f>
        <v>0.32098765432098764</v>
      </c>
      <c r="R154" t="str">
        <f>TEXT(SalesData[[#This Row],[Order Date]],"mmm-yyyy")</f>
        <v>Oct-2025</v>
      </c>
      <c r="S154">
        <f>YEAR(SalesData[[#This Row],[Order Date]])</f>
        <v>2025</v>
      </c>
      <c r="T154" t="str">
        <f>IF(SalesData[[#This Row],[Profit Margin]]&gt;=30%,"High",IF(SalesData[[#This Row],[Profit Margin]]&gt;=15%,"Medium","Low"))</f>
        <v>High</v>
      </c>
    </row>
    <row r="155" spans="1:20" x14ac:dyDescent="0.35">
      <c r="A155" t="s">
        <v>383</v>
      </c>
      <c r="B155" s="23" t="s">
        <v>382</v>
      </c>
      <c r="C155" t="s">
        <v>222</v>
      </c>
      <c r="D155" t="s">
        <v>17</v>
      </c>
      <c r="E155" t="s">
        <v>32</v>
      </c>
      <c r="F155" t="s">
        <v>27</v>
      </c>
      <c r="G155" t="s">
        <v>28</v>
      </c>
      <c r="H155" t="s">
        <v>33</v>
      </c>
      <c r="I155">
        <v>8</v>
      </c>
      <c r="J155" s="4">
        <v>1500</v>
      </c>
      <c r="K155" s="6">
        <v>0.1</v>
      </c>
      <c r="L155" s="8">
        <v>10800</v>
      </c>
      <c r="M155" s="8">
        <v>7200</v>
      </c>
      <c r="N155" s="8">
        <v>3600</v>
      </c>
      <c r="O155" s="8">
        <f>SalesData[[#This Row],[Quantity]]*SalesData[[#This Row],[Unit Price]]*(1-SalesData[[#This Row],[Discount]])</f>
        <v>10800</v>
      </c>
      <c r="P155" s="8">
        <f>SalesData[[#This Row],[Sales_Check]]-SalesData[[#This Row],[Cost]]</f>
        <v>3600</v>
      </c>
      <c r="Q155" s="13">
        <f>IFERROR(SalesData[[#This Row],[Profit]]/SalesData[[#This Row],[Sales]],0)</f>
        <v>0.33333333333333331</v>
      </c>
      <c r="R155" t="str">
        <f>TEXT(SalesData[[#This Row],[Order Date]],"mmm-yyyy")</f>
        <v>Oct-2025</v>
      </c>
      <c r="S155">
        <f>YEAR(SalesData[[#This Row],[Order Date]])</f>
        <v>2025</v>
      </c>
      <c r="T155" t="str">
        <f>IF(SalesData[[#This Row],[Profit Margin]]&gt;=30%,"High",IF(SalesData[[#This Row],[Profit Margin]]&gt;=15%,"Medium","Low"))</f>
        <v>High</v>
      </c>
    </row>
    <row r="156" spans="1:20" x14ac:dyDescent="0.35">
      <c r="A156" t="s">
        <v>384</v>
      </c>
      <c r="B156" s="23" t="s">
        <v>385</v>
      </c>
      <c r="C156" t="s">
        <v>386</v>
      </c>
      <c r="D156" t="s">
        <v>43</v>
      </c>
      <c r="E156" t="s">
        <v>250</v>
      </c>
      <c r="F156" t="s">
        <v>37</v>
      </c>
      <c r="G156" t="s">
        <v>38</v>
      </c>
      <c r="H156" t="s">
        <v>33</v>
      </c>
      <c r="I156">
        <v>4</v>
      </c>
      <c r="J156" s="4">
        <v>900</v>
      </c>
      <c r="K156" s="6">
        <v>0.15</v>
      </c>
      <c r="L156" s="8">
        <v>3060</v>
      </c>
      <c r="M156" s="8">
        <v>2080</v>
      </c>
      <c r="N156" s="8">
        <v>980</v>
      </c>
      <c r="O156" s="8">
        <f>SalesData[[#This Row],[Quantity]]*SalesData[[#This Row],[Unit Price]]*(1-SalesData[[#This Row],[Discount]])</f>
        <v>3060</v>
      </c>
      <c r="P156" s="8">
        <f>SalesData[[#This Row],[Sales_Check]]-SalesData[[#This Row],[Cost]]</f>
        <v>980</v>
      </c>
      <c r="Q156" s="13">
        <f>IFERROR(SalesData[[#This Row],[Profit]]/SalesData[[#This Row],[Sales]],0)</f>
        <v>0.3202614379084967</v>
      </c>
      <c r="R156" t="str">
        <f>TEXT(SalesData[[#This Row],[Order Date]],"mmm-yyyy")</f>
        <v>Oct-2025</v>
      </c>
      <c r="S156">
        <f>YEAR(SalesData[[#This Row],[Order Date]])</f>
        <v>2025</v>
      </c>
      <c r="T156" t="str">
        <f>IF(SalesData[[#This Row],[Profit Margin]]&gt;=30%,"High",IF(SalesData[[#This Row],[Profit Margin]]&gt;=15%,"Medium","Low"))</f>
        <v>High</v>
      </c>
    </row>
    <row r="157" spans="1:20" x14ac:dyDescent="0.35">
      <c r="A157" t="s">
        <v>387</v>
      </c>
      <c r="B157" s="23" t="s">
        <v>385</v>
      </c>
      <c r="C157" t="s">
        <v>388</v>
      </c>
      <c r="D157" t="s">
        <v>17</v>
      </c>
      <c r="E157" t="s">
        <v>50</v>
      </c>
      <c r="F157" t="s">
        <v>45</v>
      </c>
      <c r="G157" t="s">
        <v>46</v>
      </c>
      <c r="H157" t="s">
        <v>125</v>
      </c>
      <c r="I157">
        <v>2</v>
      </c>
      <c r="J157" s="4">
        <v>650</v>
      </c>
      <c r="K157" s="6">
        <v>0</v>
      </c>
      <c r="L157" s="8">
        <v>1300</v>
      </c>
      <c r="M157" s="8">
        <v>760</v>
      </c>
      <c r="N157" s="8">
        <v>540</v>
      </c>
      <c r="O157" s="8">
        <f>SalesData[[#This Row],[Quantity]]*SalesData[[#This Row],[Unit Price]]*(1-SalesData[[#This Row],[Discount]])</f>
        <v>1300</v>
      </c>
      <c r="P157" s="8">
        <f>SalesData[[#This Row],[Sales_Check]]-SalesData[[#This Row],[Cost]]</f>
        <v>540</v>
      </c>
      <c r="Q157" s="13">
        <f>IFERROR(SalesData[[#This Row],[Profit]]/SalesData[[#This Row],[Sales]],0)</f>
        <v>0.41538461538461541</v>
      </c>
      <c r="R157" t="str">
        <f>TEXT(SalesData[[#This Row],[Order Date]],"mmm-yyyy")</f>
        <v>Oct-2025</v>
      </c>
      <c r="S157">
        <f>YEAR(SalesData[[#This Row],[Order Date]])</f>
        <v>2025</v>
      </c>
      <c r="T157" t="str">
        <f>IF(SalesData[[#This Row],[Profit Margin]]&gt;=30%,"High",IF(SalesData[[#This Row],[Profit Margin]]&gt;=15%,"Medium","Low"))</f>
        <v>High</v>
      </c>
    </row>
    <row r="158" spans="1:20" x14ac:dyDescent="0.35">
      <c r="A158" t="s">
        <v>389</v>
      </c>
      <c r="B158" s="23" t="s">
        <v>385</v>
      </c>
      <c r="C158" t="s">
        <v>390</v>
      </c>
      <c r="D158" t="s">
        <v>43</v>
      </c>
      <c r="E158" t="s">
        <v>169</v>
      </c>
      <c r="F158" t="s">
        <v>27</v>
      </c>
      <c r="G158" t="s">
        <v>28</v>
      </c>
      <c r="H158" t="s">
        <v>33</v>
      </c>
      <c r="I158">
        <v>7</v>
      </c>
      <c r="J158" s="4">
        <v>350</v>
      </c>
      <c r="K158" s="6">
        <v>0</v>
      </c>
      <c r="L158" s="8">
        <v>2450</v>
      </c>
      <c r="M158" s="8">
        <v>1190</v>
      </c>
      <c r="N158" s="8">
        <v>1260</v>
      </c>
      <c r="O158" s="8">
        <f>SalesData[[#This Row],[Quantity]]*SalesData[[#This Row],[Unit Price]]*(1-SalesData[[#This Row],[Discount]])</f>
        <v>2450</v>
      </c>
      <c r="P158" s="8">
        <f>SalesData[[#This Row],[Sales_Check]]-SalesData[[#This Row],[Cost]]</f>
        <v>1260</v>
      </c>
      <c r="Q158" s="13">
        <f>IFERROR(SalesData[[#This Row],[Profit]]/SalesData[[#This Row],[Sales]],0)</f>
        <v>0.51428571428571423</v>
      </c>
      <c r="R158" t="str">
        <f>TEXT(SalesData[[#This Row],[Order Date]],"mmm-yyyy")</f>
        <v>Oct-2025</v>
      </c>
      <c r="S158">
        <f>YEAR(SalesData[[#This Row],[Order Date]])</f>
        <v>2025</v>
      </c>
      <c r="T158" t="str">
        <f>IF(SalesData[[#This Row],[Profit Margin]]&gt;=30%,"High",IF(SalesData[[#This Row],[Profit Margin]]&gt;=15%,"Medium","Low"))</f>
        <v>High</v>
      </c>
    </row>
    <row r="159" spans="1:20" x14ac:dyDescent="0.35">
      <c r="A159" t="s">
        <v>391</v>
      </c>
      <c r="B159" s="23" t="s">
        <v>385</v>
      </c>
      <c r="C159" t="s">
        <v>392</v>
      </c>
      <c r="D159" t="s">
        <v>25</v>
      </c>
      <c r="E159" t="s">
        <v>80</v>
      </c>
      <c r="F159" t="s">
        <v>37</v>
      </c>
      <c r="G159" t="s">
        <v>73</v>
      </c>
      <c r="H159" t="s">
        <v>47</v>
      </c>
      <c r="I159">
        <v>9</v>
      </c>
      <c r="J159" s="4">
        <v>950</v>
      </c>
      <c r="K159" s="6">
        <v>0.1</v>
      </c>
      <c r="L159" s="8">
        <v>7695</v>
      </c>
      <c r="M159" s="8">
        <v>5040</v>
      </c>
      <c r="N159" s="8">
        <v>2655</v>
      </c>
      <c r="O159" s="8">
        <f>SalesData[[#This Row],[Quantity]]*SalesData[[#This Row],[Unit Price]]*(1-SalesData[[#This Row],[Discount]])</f>
        <v>7695</v>
      </c>
      <c r="P159" s="8">
        <f>SalesData[[#This Row],[Sales_Check]]-SalesData[[#This Row],[Cost]]</f>
        <v>2655</v>
      </c>
      <c r="Q159" s="13">
        <f>IFERROR(SalesData[[#This Row],[Profit]]/SalesData[[#This Row],[Sales]],0)</f>
        <v>0.34502923976608185</v>
      </c>
      <c r="R159" t="str">
        <f>TEXT(SalesData[[#This Row],[Order Date]],"mmm-yyyy")</f>
        <v>Oct-2025</v>
      </c>
      <c r="S159">
        <f>YEAR(SalesData[[#This Row],[Order Date]])</f>
        <v>2025</v>
      </c>
      <c r="T159" t="str">
        <f>IF(SalesData[[#This Row],[Profit Margin]]&gt;=30%,"High",IF(SalesData[[#This Row],[Profit Margin]]&gt;=15%,"Medium","Low"))</f>
        <v>High</v>
      </c>
    </row>
    <row r="160" spans="1:20" x14ac:dyDescent="0.35">
      <c r="A160" t="s">
        <v>393</v>
      </c>
      <c r="B160" s="23" t="s">
        <v>394</v>
      </c>
      <c r="C160" t="s">
        <v>189</v>
      </c>
      <c r="D160" t="s">
        <v>17</v>
      </c>
      <c r="E160" t="s">
        <v>18</v>
      </c>
      <c r="F160" t="s">
        <v>19</v>
      </c>
      <c r="G160" t="s">
        <v>20</v>
      </c>
      <c r="H160" t="s">
        <v>125</v>
      </c>
      <c r="I160">
        <v>2</v>
      </c>
      <c r="J160" s="4">
        <v>1800</v>
      </c>
      <c r="K160" s="6">
        <v>0.05</v>
      </c>
      <c r="L160" s="8">
        <v>3420</v>
      </c>
      <c r="M160" s="8">
        <v>2200</v>
      </c>
      <c r="N160" s="8">
        <v>1220</v>
      </c>
      <c r="O160" s="8">
        <f>SalesData[[#This Row],[Quantity]]*SalesData[[#This Row],[Unit Price]]*(1-SalesData[[#This Row],[Discount]])</f>
        <v>3420</v>
      </c>
      <c r="P160" s="8">
        <f>SalesData[[#This Row],[Sales_Check]]-SalesData[[#This Row],[Cost]]</f>
        <v>1220</v>
      </c>
      <c r="Q160" s="13">
        <f>IFERROR(SalesData[[#This Row],[Profit]]/SalesData[[#This Row],[Sales]],0)</f>
        <v>0.35672514619883039</v>
      </c>
      <c r="R160" t="str">
        <f>TEXT(SalesData[[#This Row],[Order Date]],"mmm-yyyy")</f>
        <v>Nov-2025</v>
      </c>
      <c r="S160">
        <f>YEAR(SalesData[[#This Row],[Order Date]])</f>
        <v>2025</v>
      </c>
      <c r="T160" t="str">
        <f>IF(SalesData[[#This Row],[Profit Margin]]&gt;=30%,"High",IF(SalesData[[#This Row],[Profit Margin]]&gt;=15%,"Medium","Low"))</f>
        <v>High</v>
      </c>
    </row>
    <row r="161" spans="1:20" x14ac:dyDescent="0.35">
      <c r="A161" t="s">
        <v>395</v>
      </c>
      <c r="B161" s="23" t="s">
        <v>394</v>
      </c>
      <c r="C161" t="s">
        <v>367</v>
      </c>
      <c r="D161" t="s">
        <v>25</v>
      </c>
      <c r="E161" t="s">
        <v>89</v>
      </c>
      <c r="F161" t="s">
        <v>37</v>
      </c>
      <c r="G161" t="s">
        <v>97</v>
      </c>
      <c r="H161" t="s">
        <v>125</v>
      </c>
      <c r="I161">
        <v>5</v>
      </c>
      <c r="J161" s="4">
        <v>550</v>
      </c>
      <c r="K161" s="6">
        <v>0</v>
      </c>
      <c r="L161" s="8">
        <v>2750</v>
      </c>
      <c r="M161" s="8">
        <v>1500</v>
      </c>
      <c r="N161" s="8">
        <v>1250</v>
      </c>
      <c r="O161" s="8">
        <f>SalesData[[#This Row],[Quantity]]*SalesData[[#This Row],[Unit Price]]*(1-SalesData[[#This Row],[Discount]])</f>
        <v>2750</v>
      </c>
      <c r="P161" s="8">
        <f>SalesData[[#This Row],[Sales_Check]]-SalesData[[#This Row],[Cost]]</f>
        <v>1250</v>
      </c>
      <c r="Q161" s="13">
        <f>IFERROR(SalesData[[#This Row],[Profit]]/SalesData[[#This Row],[Sales]],0)</f>
        <v>0.45454545454545453</v>
      </c>
      <c r="R161" t="str">
        <f>TEXT(SalesData[[#This Row],[Order Date]],"mmm-yyyy")</f>
        <v>Nov-2025</v>
      </c>
      <c r="S161">
        <f>YEAR(SalesData[[#This Row],[Order Date]])</f>
        <v>2025</v>
      </c>
      <c r="T161" t="str">
        <f>IF(SalesData[[#This Row],[Profit Margin]]&gt;=30%,"High",IF(SalesData[[#This Row],[Profit Margin]]&gt;=15%,"Medium","Low"))</f>
        <v>High</v>
      </c>
    </row>
    <row r="162" spans="1:20" x14ac:dyDescent="0.35">
      <c r="A162" t="s">
        <v>396</v>
      </c>
      <c r="B162" s="23" t="s">
        <v>397</v>
      </c>
      <c r="C162" t="s">
        <v>398</v>
      </c>
      <c r="D162" t="s">
        <v>25</v>
      </c>
      <c r="E162" t="s">
        <v>89</v>
      </c>
      <c r="F162" t="s">
        <v>45</v>
      </c>
      <c r="G162" t="s">
        <v>46</v>
      </c>
      <c r="H162" t="s">
        <v>47</v>
      </c>
      <c r="I162">
        <v>2</v>
      </c>
      <c r="J162" s="4">
        <v>550</v>
      </c>
      <c r="K162" s="6">
        <v>0.15</v>
      </c>
      <c r="L162" s="8">
        <v>935</v>
      </c>
      <c r="M162" s="8">
        <v>600</v>
      </c>
      <c r="N162" s="8">
        <v>335</v>
      </c>
      <c r="O162" s="8">
        <f>SalesData[[#This Row],[Quantity]]*SalesData[[#This Row],[Unit Price]]*(1-SalesData[[#This Row],[Discount]])</f>
        <v>935</v>
      </c>
      <c r="P162" s="8">
        <f>SalesData[[#This Row],[Sales_Check]]-SalesData[[#This Row],[Cost]]</f>
        <v>335</v>
      </c>
      <c r="Q162" s="13">
        <f>IFERROR(SalesData[[#This Row],[Profit]]/SalesData[[#This Row],[Sales]],0)</f>
        <v>0.35828877005347592</v>
      </c>
      <c r="R162" t="str">
        <f>TEXT(SalesData[[#This Row],[Order Date]],"mmm-yyyy")</f>
        <v>Nov-2025</v>
      </c>
      <c r="S162">
        <f>YEAR(SalesData[[#This Row],[Order Date]])</f>
        <v>2025</v>
      </c>
      <c r="T162" t="str">
        <f>IF(SalesData[[#This Row],[Profit Margin]]&gt;=30%,"High",IF(SalesData[[#This Row],[Profit Margin]]&gt;=15%,"Medium","Low"))</f>
        <v>High</v>
      </c>
    </row>
    <row r="163" spans="1:20" x14ac:dyDescent="0.35">
      <c r="A163" t="s">
        <v>399</v>
      </c>
      <c r="B163" s="23" t="s">
        <v>397</v>
      </c>
      <c r="C163" t="s">
        <v>99</v>
      </c>
      <c r="D163" t="s">
        <v>25</v>
      </c>
      <c r="E163" t="s">
        <v>26</v>
      </c>
      <c r="F163" t="s">
        <v>37</v>
      </c>
      <c r="G163" t="s">
        <v>140</v>
      </c>
      <c r="H163" t="s">
        <v>29</v>
      </c>
      <c r="I163">
        <v>8</v>
      </c>
      <c r="J163" s="4">
        <v>600</v>
      </c>
      <c r="K163" s="6">
        <v>0</v>
      </c>
      <c r="L163" s="8">
        <v>4800</v>
      </c>
      <c r="M163" s="8">
        <v>2640</v>
      </c>
      <c r="N163" s="8">
        <v>2160</v>
      </c>
      <c r="O163" s="8">
        <f>SalesData[[#This Row],[Quantity]]*SalesData[[#This Row],[Unit Price]]*(1-SalesData[[#This Row],[Discount]])</f>
        <v>4800</v>
      </c>
      <c r="P163" s="8">
        <f>SalesData[[#This Row],[Sales_Check]]-SalesData[[#This Row],[Cost]]</f>
        <v>2160</v>
      </c>
      <c r="Q163" s="13">
        <f>IFERROR(SalesData[[#This Row],[Profit]]/SalesData[[#This Row],[Sales]],0)</f>
        <v>0.45</v>
      </c>
      <c r="R163" t="str">
        <f>TEXT(SalesData[[#This Row],[Order Date]],"mmm-yyyy")</f>
        <v>Nov-2025</v>
      </c>
      <c r="S163">
        <f>YEAR(SalesData[[#This Row],[Order Date]])</f>
        <v>2025</v>
      </c>
      <c r="T163" t="str">
        <f>IF(SalesData[[#This Row],[Profit Margin]]&gt;=30%,"High",IF(SalesData[[#This Row],[Profit Margin]]&gt;=15%,"Medium","Low"))</f>
        <v>High</v>
      </c>
    </row>
    <row r="164" spans="1:20" x14ac:dyDescent="0.35">
      <c r="A164" t="s">
        <v>400</v>
      </c>
      <c r="B164" s="23" t="s">
        <v>397</v>
      </c>
      <c r="C164" t="s">
        <v>244</v>
      </c>
      <c r="D164" t="s">
        <v>25</v>
      </c>
      <c r="E164" t="s">
        <v>80</v>
      </c>
      <c r="F164" t="s">
        <v>19</v>
      </c>
      <c r="G164" t="s">
        <v>56</v>
      </c>
      <c r="H164" t="s">
        <v>47</v>
      </c>
      <c r="I164">
        <v>7</v>
      </c>
      <c r="J164" s="4">
        <v>950</v>
      </c>
      <c r="K164" s="6">
        <v>0.05</v>
      </c>
      <c r="L164" s="8">
        <v>6317.5</v>
      </c>
      <c r="M164" s="8">
        <v>3920</v>
      </c>
      <c r="N164" s="8">
        <v>2397.5</v>
      </c>
      <c r="O164" s="8">
        <f>SalesData[[#This Row],[Quantity]]*SalesData[[#This Row],[Unit Price]]*(1-SalesData[[#This Row],[Discount]])</f>
        <v>6317.5</v>
      </c>
      <c r="P164" s="8">
        <f>SalesData[[#This Row],[Sales_Check]]-SalesData[[#This Row],[Cost]]</f>
        <v>2397.5</v>
      </c>
      <c r="Q164" s="13">
        <f>IFERROR(SalesData[[#This Row],[Profit]]/SalesData[[#This Row],[Sales]],0)</f>
        <v>0.37950138504155123</v>
      </c>
      <c r="R164" t="str">
        <f>TEXT(SalesData[[#This Row],[Order Date]],"mmm-yyyy")</f>
        <v>Nov-2025</v>
      </c>
      <c r="S164">
        <f>YEAR(SalesData[[#This Row],[Order Date]])</f>
        <v>2025</v>
      </c>
      <c r="T164" t="str">
        <f>IF(SalesData[[#This Row],[Profit Margin]]&gt;=30%,"High",IF(SalesData[[#This Row],[Profit Margin]]&gt;=15%,"Medium","Low"))</f>
        <v>High</v>
      </c>
    </row>
    <row r="165" spans="1:20" x14ac:dyDescent="0.35">
      <c r="A165" t="s">
        <v>401</v>
      </c>
      <c r="B165" s="23" t="s">
        <v>397</v>
      </c>
      <c r="C165" t="s">
        <v>402</v>
      </c>
      <c r="D165" t="s">
        <v>54</v>
      </c>
      <c r="E165" t="s">
        <v>116</v>
      </c>
      <c r="F165" t="s">
        <v>19</v>
      </c>
      <c r="G165" t="s">
        <v>215</v>
      </c>
      <c r="H165" t="s">
        <v>21</v>
      </c>
      <c r="I165">
        <v>8</v>
      </c>
      <c r="J165" s="4">
        <v>450</v>
      </c>
      <c r="K165" s="6">
        <v>0.1</v>
      </c>
      <c r="L165" s="8">
        <v>3240</v>
      </c>
      <c r="M165" s="8">
        <v>2000</v>
      </c>
      <c r="N165" s="8">
        <v>1240</v>
      </c>
      <c r="O165" s="8">
        <f>SalesData[[#This Row],[Quantity]]*SalesData[[#This Row],[Unit Price]]*(1-SalesData[[#This Row],[Discount]])</f>
        <v>3240</v>
      </c>
      <c r="P165" s="8">
        <f>SalesData[[#This Row],[Sales_Check]]-SalesData[[#This Row],[Cost]]</f>
        <v>1240</v>
      </c>
      <c r="Q165" s="13">
        <f>IFERROR(SalesData[[#This Row],[Profit]]/SalesData[[#This Row],[Sales]],0)</f>
        <v>0.38271604938271603</v>
      </c>
      <c r="R165" t="str">
        <f>TEXT(SalesData[[#This Row],[Order Date]],"mmm-yyyy")</f>
        <v>Nov-2025</v>
      </c>
      <c r="S165">
        <f>YEAR(SalesData[[#This Row],[Order Date]])</f>
        <v>2025</v>
      </c>
      <c r="T165" t="str">
        <f>IF(SalesData[[#This Row],[Profit Margin]]&gt;=30%,"High",IF(SalesData[[#This Row],[Profit Margin]]&gt;=15%,"Medium","Low"))</f>
        <v>High</v>
      </c>
    </row>
    <row r="166" spans="1:20" x14ac:dyDescent="0.35">
      <c r="A166" t="s">
        <v>403</v>
      </c>
      <c r="B166" s="23" t="s">
        <v>397</v>
      </c>
      <c r="C166" t="s">
        <v>242</v>
      </c>
      <c r="D166" t="s">
        <v>17</v>
      </c>
      <c r="E166" t="s">
        <v>18</v>
      </c>
      <c r="F166" t="s">
        <v>19</v>
      </c>
      <c r="G166" t="s">
        <v>20</v>
      </c>
      <c r="H166" t="s">
        <v>47</v>
      </c>
      <c r="I166">
        <v>5</v>
      </c>
      <c r="J166" s="4">
        <v>1800</v>
      </c>
      <c r="K166" s="6">
        <v>0.05</v>
      </c>
      <c r="L166" s="8">
        <v>8550</v>
      </c>
      <c r="M166" s="8">
        <v>5500</v>
      </c>
      <c r="N166" s="8">
        <v>3050</v>
      </c>
      <c r="O166" s="8">
        <f>SalesData[[#This Row],[Quantity]]*SalesData[[#This Row],[Unit Price]]*(1-SalesData[[#This Row],[Discount]])</f>
        <v>8550</v>
      </c>
      <c r="P166" s="8">
        <f>SalesData[[#This Row],[Sales_Check]]-SalesData[[#This Row],[Cost]]</f>
        <v>3050</v>
      </c>
      <c r="Q166" s="13">
        <f>IFERROR(SalesData[[#This Row],[Profit]]/SalesData[[#This Row],[Sales]],0)</f>
        <v>0.35672514619883039</v>
      </c>
      <c r="R166" t="str">
        <f>TEXT(SalesData[[#This Row],[Order Date]],"mmm-yyyy")</f>
        <v>Nov-2025</v>
      </c>
      <c r="S166">
        <f>YEAR(SalesData[[#This Row],[Order Date]])</f>
        <v>2025</v>
      </c>
      <c r="T166" t="str">
        <f>IF(SalesData[[#This Row],[Profit Margin]]&gt;=30%,"High",IF(SalesData[[#This Row],[Profit Margin]]&gt;=15%,"Medium","Low"))</f>
        <v>High</v>
      </c>
    </row>
    <row r="167" spans="1:20" x14ac:dyDescent="0.35">
      <c r="A167" t="s">
        <v>404</v>
      </c>
      <c r="B167" s="23" t="s">
        <v>397</v>
      </c>
      <c r="C167" t="s">
        <v>306</v>
      </c>
      <c r="D167" t="s">
        <v>17</v>
      </c>
      <c r="E167" t="s">
        <v>32</v>
      </c>
      <c r="F167" t="s">
        <v>19</v>
      </c>
      <c r="G167" t="s">
        <v>113</v>
      </c>
      <c r="H167" t="s">
        <v>33</v>
      </c>
      <c r="I167">
        <v>5</v>
      </c>
      <c r="J167" s="4">
        <v>1500</v>
      </c>
      <c r="K167" s="6">
        <v>0</v>
      </c>
      <c r="L167" s="8">
        <v>7500</v>
      </c>
      <c r="M167" s="8">
        <v>4500</v>
      </c>
      <c r="N167" s="8">
        <v>3000</v>
      </c>
      <c r="O167" s="8">
        <f>SalesData[[#This Row],[Quantity]]*SalesData[[#This Row],[Unit Price]]*(1-SalesData[[#This Row],[Discount]])</f>
        <v>7500</v>
      </c>
      <c r="P167" s="8">
        <f>SalesData[[#This Row],[Sales_Check]]-SalesData[[#This Row],[Cost]]</f>
        <v>3000</v>
      </c>
      <c r="Q167" s="13">
        <f>IFERROR(SalesData[[#This Row],[Profit]]/SalesData[[#This Row],[Sales]],0)</f>
        <v>0.4</v>
      </c>
      <c r="R167" t="str">
        <f>TEXT(SalesData[[#This Row],[Order Date]],"mmm-yyyy")</f>
        <v>Nov-2025</v>
      </c>
      <c r="S167">
        <f>YEAR(SalesData[[#This Row],[Order Date]])</f>
        <v>2025</v>
      </c>
      <c r="T167" t="str">
        <f>IF(SalesData[[#This Row],[Profit Margin]]&gt;=30%,"High",IF(SalesData[[#This Row],[Profit Margin]]&gt;=15%,"Medium","Low"))</f>
        <v>High</v>
      </c>
    </row>
    <row r="168" spans="1:20" x14ac:dyDescent="0.35">
      <c r="A168" t="s">
        <v>405</v>
      </c>
      <c r="B168" s="23" t="s">
        <v>406</v>
      </c>
      <c r="C168" t="s">
        <v>407</v>
      </c>
      <c r="D168" t="s">
        <v>17</v>
      </c>
      <c r="E168" t="s">
        <v>32</v>
      </c>
      <c r="F168" t="s">
        <v>37</v>
      </c>
      <c r="G168" t="s">
        <v>73</v>
      </c>
      <c r="H168" t="s">
        <v>125</v>
      </c>
      <c r="I168">
        <v>8</v>
      </c>
      <c r="J168" s="4">
        <v>1500</v>
      </c>
      <c r="K168" s="6">
        <v>0</v>
      </c>
      <c r="L168" s="8">
        <v>12000</v>
      </c>
      <c r="M168" s="8">
        <v>7200</v>
      </c>
      <c r="N168" s="8">
        <v>4800</v>
      </c>
      <c r="O168" s="8">
        <f>SalesData[[#This Row],[Quantity]]*SalesData[[#This Row],[Unit Price]]*(1-SalesData[[#This Row],[Discount]])</f>
        <v>12000</v>
      </c>
      <c r="P168" s="8">
        <f>SalesData[[#This Row],[Sales_Check]]-SalesData[[#This Row],[Cost]]</f>
        <v>4800</v>
      </c>
      <c r="Q168" s="13">
        <f>IFERROR(SalesData[[#This Row],[Profit]]/SalesData[[#This Row],[Sales]],0)</f>
        <v>0.4</v>
      </c>
      <c r="R168" t="str">
        <f>TEXT(SalesData[[#This Row],[Order Date]],"mmm-yyyy")</f>
        <v>Nov-2025</v>
      </c>
      <c r="S168">
        <f>YEAR(SalesData[[#This Row],[Order Date]])</f>
        <v>2025</v>
      </c>
      <c r="T168" t="str">
        <f>IF(SalesData[[#This Row],[Profit Margin]]&gt;=30%,"High",IF(SalesData[[#This Row],[Profit Margin]]&gt;=15%,"Medium","Low"))</f>
        <v>High</v>
      </c>
    </row>
    <row r="169" spans="1:20" x14ac:dyDescent="0.35">
      <c r="A169" t="s">
        <v>408</v>
      </c>
      <c r="B169" s="23" t="s">
        <v>406</v>
      </c>
      <c r="C169" t="s">
        <v>115</v>
      </c>
      <c r="D169" t="s">
        <v>25</v>
      </c>
      <c r="E169" t="s">
        <v>36</v>
      </c>
      <c r="F169" t="s">
        <v>19</v>
      </c>
      <c r="G169" t="s">
        <v>215</v>
      </c>
      <c r="H169" t="s">
        <v>33</v>
      </c>
      <c r="I169">
        <v>1</v>
      </c>
      <c r="J169" s="4">
        <v>700</v>
      </c>
      <c r="K169" s="6">
        <v>0</v>
      </c>
      <c r="L169" s="8">
        <v>700</v>
      </c>
      <c r="M169" s="8">
        <v>400</v>
      </c>
      <c r="N169" s="8">
        <v>300</v>
      </c>
      <c r="O169" s="8">
        <f>SalesData[[#This Row],[Quantity]]*SalesData[[#This Row],[Unit Price]]*(1-SalesData[[#This Row],[Discount]])</f>
        <v>700</v>
      </c>
      <c r="P169" s="8">
        <f>SalesData[[#This Row],[Sales_Check]]-SalesData[[#This Row],[Cost]]</f>
        <v>300</v>
      </c>
      <c r="Q169" s="13">
        <f>IFERROR(SalesData[[#This Row],[Profit]]/SalesData[[#This Row],[Sales]],0)</f>
        <v>0.42857142857142855</v>
      </c>
      <c r="R169" t="str">
        <f>TEXT(SalesData[[#This Row],[Order Date]],"mmm-yyyy")</f>
        <v>Nov-2025</v>
      </c>
      <c r="S169">
        <f>YEAR(SalesData[[#This Row],[Order Date]])</f>
        <v>2025</v>
      </c>
      <c r="T169" t="str">
        <f>IF(SalesData[[#This Row],[Profit Margin]]&gt;=30%,"High",IF(SalesData[[#This Row],[Profit Margin]]&gt;=15%,"Medium","Low"))</f>
        <v>High</v>
      </c>
    </row>
    <row r="170" spans="1:20" x14ac:dyDescent="0.35">
      <c r="A170" t="s">
        <v>409</v>
      </c>
      <c r="B170" s="23" t="s">
        <v>406</v>
      </c>
      <c r="C170" t="s">
        <v>410</v>
      </c>
      <c r="D170" t="s">
        <v>25</v>
      </c>
      <c r="E170" t="s">
        <v>89</v>
      </c>
      <c r="F170" t="s">
        <v>45</v>
      </c>
      <c r="G170" t="s">
        <v>46</v>
      </c>
      <c r="H170" t="s">
        <v>21</v>
      </c>
      <c r="I170">
        <v>6</v>
      </c>
      <c r="J170" s="4">
        <v>550</v>
      </c>
      <c r="K170" s="6">
        <v>0</v>
      </c>
      <c r="L170" s="8">
        <v>3300</v>
      </c>
      <c r="M170" s="8">
        <v>1800</v>
      </c>
      <c r="N170" s="8">
        <v>1500</v>
      </c>
      <c r="O170" s="8">
        <f>SalesData[[#This Row],[Quantity]]*SalesData[[#This Row],[Unit Price]]*(1-SalesData[[#This Row],[Discount]])</f>
        <v>3300</v>
      </c>
      <c r="P170" s="8">
        <f>SalesData[[#This Row],[Sales_Check]]-SalesData[[#This Row],[Cost]]</f>
        <v>1500</v>
      </c>
      <c r="Q170" s="13">
        <f>IFERROR(SalesData[[#This Row],[Profit]]/SalesData[[#This Row],[Sales]],0)</f>
        <v>0.45454545454545453</v>
      </c>
      <c r="R170" t="str">
        <f>TEXT(SalesData[[#This Row],[Order Date]],"mmm-yyyy")</f>
        <v>Nov-2025</v>
      </c>
      <c r="S170">
        <f>YEAR(SalesData[[#This Row],[Order Date]])</f>
        <v>2025</v>
      </c>
      <c r="T170" t="str">
        <f>IF(SalesData[[#This Row],[Profit Margin]]&gt;=30%,"High",IF(SalesData[[#This Row],[Profit Margin]]&gt;=15%,"Medium","Low"))</f>
        <v>High</v>
      </c>
    </row>
    <row r="171" spans="1:20" x14ac:dyDescent="0.35">
      <c r="A171" t="s">
        <v>411</v>
      </c>
      <c r="B171" s="23" t="s">
        <v>406</v>
      </c>
      <c r="C171" t="s">
        <v>412</v>
      </c>
      <c r="D171" t="s">
        <v>43</v>
      </c>
      <c r="E171" t="s">
        <v>250</v>
      </c>
      <c r="F171" t="s">
        <v>37</v>
      </c>
      <c r="G171" t="s">
        <v>97</v>
      </c>
      <c r="H171" t="s">
        <v>39</v>
      </c>
      <c r="I171">
        <v>6</v>
      </c>
      <c r="J171" s="4">
        <v>900</v>
      </c>
      <c r="K171" s="6">
        <v>0</v>
      </c>
      <c r="L171" s="8">
        <v>5400</v>
      </c>
      <c r="M171" s="8">
        <v>3120</v>
      </c>
      <c r="N171" s="8">
        <v>2280</v>
      </c>
      <c r="O171" s="8">
        <f>SalesData[[#This Row],[Quantity]]*SalesData[[#This Row],[Unit Price]]*(1-SalesData[[#This Row],[Discount]])</f>
        <v>5400</v>
      </c>
      <c r="P171" s="8">
        <f>SalesData[[#This Row],[Sales_Check]]-SalesData[[#This Row],[Cost]]</f>
        <v>2280</v>
      </c>
      <c r="Q171" s="13">
        <f>IFERROR(SalesData[[#This Row],[Profit]]/SalesData[[#This Row],[Sales]],0)</f>
        <v>0.42222222222222222</v>
      </c>
      <c r="R171" t="str">
        <f>TEXT(SalesData[[#This Row],[Order Date]],"mmm-yyyy")</f>
        <v>Nov-2025</v>
      </c>
      <c r="S171">
        <f>YEAR(SalesData[[#This Row],[Order Date]])</f>
        <v>2025</v>
      </c>
      <c r="T171" t="str">
        <f>IF(SalesData[[#This Row],[Profit Margin]]&gt;=30%,"High",IF(SalesData[[#This Row],[Profit Margin]]&gt;=15%,"Medium","Low"))</f>
        <v>High</v>
      </c>
    </row>
    <row r="172" spans="1:20" x14ac:dyDescent="0.35">
      <c r="A172" t="s">
        <v>413</v>
      </c>
      <c r="B172" s="23" t="s">
        <v>406</v>
      </c>
      <c r="C172" t="s">
        <v>93</v>
      </c>
      <c r="D172" t="s">
        <v>43</v>
      </c>
      <c r="E172" t="s">
        <v>143</v>
      </c>
      <c r="F172" t="s">
        <v>19</v>
      </c>
      <c r="G172" t="s">
        <v>215</v>
      </c>
      <c r="H172" t="s">
        <v>21</v>
      </c>
      <c r="I172">
        <v>4</v>
      </c>
      <c r="J172" s="4">
        <v>650</v>
      </c>
      <c r="K172" s="6">
        <v>0.05</v>
      </c>
      <c r="L172" s="8">
        <v>2470</v>
      </c>
      <c r="M172" s="8">
        <v>1400</v>
      </c>
      <c r="N172" s="8">
        <v>1070</v>
      </c>
      <c r="O172" s="8">
        <f>SalesData[[#This Row],[Quantity]]*SalesData[[#This Row],[Unit Price]]*(1-SalesData[[#This Row],[Discount]])</f>
        <v>2470</v>
      </c>
      <c r="P172" s="8">
        <f>SalesData[[#This Row],[Sales_Check]]-SalesData[[#This Row],[Cost]]</f>
        <v>1070</v>
      </c>
      <c r="Q172" s="13">
        <f>IFERROR(SalesData[[#This Row],[Profit]]/SalesData[[#This Row],[Sales]],0)</f>
        <v>0.4331983805668016</v>
      </c>
      <c r="R172" t="str">
        <f>TEXT(SalesData[[#This Row],[Order Date]],"mmm-yyyy")</f>
        <v>Nov-2025</v>
      </c>
      <c r="S172">
        <f>YEAR(SalesData[[#This Row],[Order Date]])</f>
        <v>2025</v>
      </c>
      <c r="T172" t="str">
        <f>IF(SalesData[[#This Row],[Profit Margin]]&gt;=30%,"High",IF(SalesData[[#This Row],[Profit Margin]]&gt;=15%,"Medium","Low"))</f>
        <v>High</v>
      </c>
    </row>
    <row r="173" spans="1:20" x14ac:dyDescent="0.35">
      <c r="A173" t="s">
        <v>414</v>
      </c>
      <c r="B173" s="23" t="s">
        <v>406</v>
      </c>
      <c r="C173" t="s">
        <v>380</v>
      </c>
      <c r="D173" t="s">
        <v>43</v>
      </c>
      <c r="E173" t="s">
        <v>250</v>
      </c>
      <c r="F173" t="s">
        <v>45</v>
      </c>
      <c r="G173" t="s">
        <v>104</v>
      </c>
      <c r="H173" t="s">
        <v>21</v>
      </c>
      <c r="I173">
        <v>6</v>
      </c>
      <c r="J173" s="4">
        <v>900</v>
      </c>
      <c r="K173" s="6">
        <v>0</v>
      </c>
      <c r="L173" s="8">
        <v>5400</v>
      </c>
      <c r="M173" s="8">
        <v>3120</v>
      </c>
      <c r="N173" s="8">
        <v>2280</v>
      </c>
      <c r="O173" s="8">
        <f>SalesData[[#This Row],[Quantity]]*SalesData[[#This Row],[Unit Price]]*(1-SalesData[[#This Row],[Discount]])</f>
        <v>5400</v>
      </c>
      <c r="P173" s="8">
        <f>SalesData[[#This Row],[Sales_Check]]-SalesData[[#This Row],[Cost]]</f>
        <v>2280</v>
      </c>
      <c r="Q173" s="13">
        <f>IFERROR(SalesData[[#This Row],[Profit]]/SalesData[[#This Row],[Sales]],0)</f>
        <v>0.42222222222222222</v>
      </c>
      <c r="R173" t="str">
        <f>TEXT(SalesData[[#This Row],[Order Date]],"mmm-yyyy")</f>
        <v>Nov-2025</v>
      </c>
      <c r="S173">
        <f>YEAR(SalesData[[#This Row],[Order Date]])</f>
        <v>2025</v>
      </c>
      <c r="T173" t="str">
        <f>IF(SalesData[[#This Row],[Profit Margin]]&gt;=30%,"High",IF(SalesData[[#This Row],[Profit Margin]]&gt;=15%,"Medium","Low"))</f>
        <v>High</v>
      </c>
    </row>
    <row r="174" spans="1:20" x14ac:dyDescent="0.35">
      <c r="A174" t="s">
        <v>415</v>
      </c>
      <c r="B174" s="23" t="s">
        <v>416</v>
      </c>
      <c r="C174" t="s">
        <v>178</v>
      </c>
      <c r="D174" t="s">
        <v>43</v>
      </c>
      <c r="E174" t="s">
        <v>143</v>
      </c>
      <c r="F174" t="s">
        <v>45</v>
      </c>
      <c r="G174" t="s">
        <v>104</v>
      </c>
      <c r="H174" t="s">
        <v>39</v>
      </c>
      <c r="I174">
        <v>7</v>
      </c>
      <c r="J174" s="4">
        <v>650</v>
      </c>
      <c r="K174" s="6">
        <v>0.05</v>
      </c>
      <c r="L174" s="8">
        <v>4322.5</v>
      </c>
      <c r="M174" s="8">
        <v>2450</v>
      </c>
      <c r="N174" s="8">
        <v>1872.5</v>
      </c>
      <c r="O174" s="8">
        <f>SalesData[[#This Row],[Quantity]]*SalesData[[#This Row],[Unit Price]]*(1-SalesData[[#This Row],[Discount]])</f>
        <v>4322.5</v>
      </c>
      <c r="P174" s="8">
        <f>SalesData[[#This Row],[Sales_Check]]-SalesData[[#This Row],[Cost]]</f>
        <v>1872.5</v>
      </c>
      <c r="Q174" s="13">
        <f>IFERROR(SalesData[[#This Row],[Profit]]/SalesData[[#This Row],[Sales]],0)</f>
        <v>0.4331983805668016</v>
      </c>
      <c r="R174" t="str">
        <f>TEXT(SalesData[[#This Row],[Order Date]],"mmm-yyyy")</f>
        <v>Nov-2025</v>
      </c>
      <c r="S174">
        <f>YEAR(SalesData[[#This Row],[Order Date]])</f>
        <v>2025</v>
      </c>
      <c r="T174" t="str">
        <f>IF(SalesData[[#This Row],[Profit Margin]]&gt;=30%,"High",IF(SalesData[[#This Row],[Profit Margin]]&gt;=15%,"Medium","Low"))</f>
        <v>High</v>
      </c>
    </row>
    <row r="175" spans="1:20" x14ac:dyDescent="0.35">
      <c r="A175" t="s">
        <v>417</v>
      </c>
      <c r="B175" s="23" t="s">
        <v>416</v>
      </c>
      <c r="C175" t="s">
        <v>106</v>
      </c>
      <c r="D175" t="s">
        <v>17</v>
      </c>
      <c r="E175" t="s">
        <v>18</v>
      </c>
      <c r="F175" t="s">
        <v>37</v>
      </c>
      <c r="G175" t="s">
        <v>73</v>
      </c>
      <c r="H175" t="s">
        <v>33</v>
      </c>
      <c r="I175">
        <v>8</v>
      </c>
      <c r="J175" s="4">
        <v>1800</v>
      </c>
      <c r="K175" s="6">
        <v>0</v>
      </c>
      <c r="L175" s="8">
        <v>14400</v>
      </c>
      <c r="M175" s="8">
        <v>8800</v>
      </c>
      <c r="N175" s="8">
        <v>5600</v>
      </c>
      <c r="O175" s="8">
        <f>SalesData[[#This Row],[Quantity]]*SalesData[[#This Row],[Unit Price]]*(1-SalesData[[#This Row],[Discount]])</f>
        <v>14400</v>
      </c>
      <c r="P175" s="8">
        <f>SalesData[[#This Row],[Sales_Check]]-SalesData[[#This Row],[Cost]]</f>
        <v>5600</v>
      </c>
      <c r="Q175" s="13">
        <f>IFERROR(SalesData[[#This Row],[Profit]]/SalesData[[#This Row],[Sales]],0)</f>
        <v>0.3888888888888889</v>
      </c>
      <c r="R175" t="str">
        <f>TEXT(SalesData[[#This Row],[Order Date]],"mmm-yyyy")</f>
        <v>Nov-2025</v>
      </c>
      <c r="S175">
        <f>YEAR(SalesData[[#This Row],[Order Date]])</f>
        <v>2025</v>
      </c>
      <c r="T175" t="str">
        <f>IF(SalesData[[#This Row],[Profit Margin]]&gt;=30%,"High",IF(SalesData[[#This Row],[Profit Margin]]&gt;=15%,"Medium","Low"))</f>
        <v>High</v>
      </c>
    </row>
    <row r="176" spans="1:20" x14ac:dyDescent="0.35">
      <c r="A176" t="s">
        <v>418</v>
      </c>
      <c r="B176" s="23" t="s">
        <v>416</v>
      </c>
      <c r="C176" t="s">
        <v>294</v>
      </c>
      <c r="D176" t="s">
        <v>54</v>
      </c>
      <c r="E176" t="s">
        <v>103</v>
      </c>
      <c r="F176" t="s">
        <v>27</v>
      </c>
      <c r="G176" t="s">
        <v>90</v>
      </c>
      <c r="H176" t="s">
        <v>39</v>
      </c>
      <c r="I176">
        <v>4</v>
      </c>
      <c r="J176" s="4">
        <v>150</v>
      </c>
      <c r="K176" s="6">
        <v>0.1</v>
      </c>
      <c r="L176" s="8">
        <v>540</v>
      </c>
      <c r="M176" s="8">
        <v>300</v>
      </c>
      <c r="N176" s="8">
        <v>240</v>
      </c>
      <c r="O176" s="8">
        <f>SalesData[[#This Row],[Quantity]]*SalesData[[#This Row],[Unit Price]]*(1-SalesData[[#This Row],[Discount]])</f>
        <v>540</v>
      </c>
      <c r="P176" s="8">
        <f>SalesData[[#This Row],[Sales_Check]]-SalesData[[#This Row],[Cost]]</f>
        <v>240</v>
      </c>
      <c r="Q176" s="13">
        <f>IFERROR(SalesData[[#This Row],[Profit]]/SalesData[[#This Row],[Sales]],0)</f>
        <v>0.44444444444444442</v>
      </c>
      <c r="R176" t="str">
        <f>TEXT(SalesData[[#This Row],[Order Date]],"mmm-yyyy")</f>
        <v>Nov-2025</v>
      </c>
      <c r="S176">
        <f>YEAR(SalesData[[#This Row],[Order Date]])</f>
        <v>2025</v>
      </c>
      <c r="T176" t="str">
        <f>IF(SalesData[[#This Row],[Profit Margin]]&gt;=30%,"High",IF(SalesData[[#This Row],[Profit Margin]]&gt;=15%,"Medium","Low"))</f>
        <v>High</v>
      </c>
    </row>
    <row r="177" spans="1:20" x14ac:dyDescent="0.35">
      <c r="A177" t="s">
        <v>419</v>
      </c>
      <c r="B177" s="23" t="s">
        <v>420</v>
      </c>
      <c r="C177" t="s">
        <v>339</v>
      </c>
      <c r="D177" t="s">
        <v>54</v>
      </c>
      <c r="E177" t="s">
        <v>116</v>
      </c>
      <c r="F177" t="s">
        <v>19</v>
      </c>
      <c r="G177" t="s">
        <v>20</v>
      </c>
      <c r="H177" t="s">
        <v>125</v>
      </c>
      <c r="I177">
        <v>6</v>
      </c>
      <c r="J177" s="4">
        <v>450</v>
      </c>
      <c r="K177" s="6">
        <v>0.15</v>
      </c>
      <c r="L177" s="8">
        <v>2295</v>
      </c>
      <c r="M177" s="8">
        <v>1500</v>
      </c>
      <c r="N177" s="8">
        <v>795</v>
      </c>
      <c r="O177" s="8">
        <f>SalesData[[#This Row],[Quantity]]*SalesData[[#This Row],[Unit Price]]*(1-SalesData[[#This Row],[Discount]])</f>
        <v>2295</v>
      </c>
      <c r="P177" s="8">
        <f>SalesData[[#This Row],[Sales_Check]]-SalesData[[#This Row],[Cost]]</f>
        <v>795</v>
      </c>
      <c r="Q177" s="13">
        <f>IFERROR(SalesData[[#This Row],[Profit]]/SalesData[[#This Row],[Sales]],0)</f>
        <v>0.34640522875816993</v>
      </c>
      <c r="R177" t="str">
        <f>TEXT(SalesData[[#This Row],[Order Date]],"mmm-yyyy")</f>
        <v>Nov-2025</v>
      </c>
      <c r="S177">
        <f>YEAR(SalesData[[#This Row],[Order Date]])</f>
        <v>2025</v>
      </c>
      <c r="T177" t="str">
        <f>IF(SalesData[[#This Row],[Profit Margin]]&gt;=30%,"High",IF(SalesData[[#This Row],[Profit Margin]]&gt;=15%,"Medium","Low"))</f>
        <v>High</v>
      </c>
    </row>
    <row r="178" spans="1:20" x14ac:dyDescent="0.35">
      <c r="A178" t="s">
        <v>421</v>
      </c>
      <c r="B178" s="23" t="s">
        <v>422</v>
      </c>
      <c r="C178" t="s">
        <v>423</v>
      </c>
      <c r="D178" t="s">
        <v>43</v>
      </c>
      <c r="E178" t="s">
        <v>62</v>
      </c>
      <c r="F178" t="s">
        <v>37</v>
      </c>
      <c r="G178" t="s">
        <v>97</v>
      </c>
      <c r="H178" t="s">
        <v>125</v>
      </c>
      <c r="I178">
        <v>10</v>
      </c>
      <c r="J178" s="4">
        <v>500</v>
      </c>
      <c r="K178" s="6">
        <v>0</v>
      </c>
      <c r="L178" s="8">
        <v>5000</v>
      </c>
      <c r="M178" s="8">
        <v>2800</v>
      </c>
      <c r="N178" s="8">
        <v>2200</v>
      </c>
      <c r="O178" s="8">
        <f>SalesData[[#This Row],[Quantity]]*SalesData[[#This Row],[Unit Price]]*(1-SalesData[[#This Row],[Discount]])</f>
        <v>5000</v>
      </c>
      <c r="P178" s="8">
        <f>SalesData[[#This Row],[Sales_Check]]-SalesData[[#This Row],[Cost]]</f>
        <v>2200</v>
      </c>
      <c r="Q178" s="13">
        <f>IFERROR(SalesData[[#This Row],[Profit]]/SalesData[[#This Row],[Sales]],0)</f>
        <v>0.44</v>
      </c>
      <c r="R178" t="str">
        <f>TEXT(SalesData[[#This Row],[Order Date]],"mmm-yyyy")</f>
        <v>Nov-2025</v>
      </c>
      <c r="S178">
        <f>YEAR(SalesData[[#This Row],[Order Date]])</f>
        <v>2025</v>
      </c>
      <c r="T178" t="str">
        <f>IF(SalesData[[#This Row],[Profit Margin]]&gt;=30%,"High",IF(SalesData[[#This Row],[Profit Margin]]&gt;=15%,"Medium","Low"))</f>
        <v>High</v>
      </c>
    </row>
    <row r="179" spans="1:20" x14ac:dyDescent="0.35">
      <c r="A179" t="s">
        <v>424</v>
      </c>
      <c r="B179" s="23" t="s">
        <v>422</v>
      </c>
      <c r="C179" t="s">
        <v>165</v>
      </c>
      <c r="D179" t="s">
        <v>17</v>
      </c>
      <c r="E179" t="s">
        <v>50</v>
      </c>
      <c r="F179" t="s">
        <v>45</v>
      </c>
      <c r="G179" t="s">
        <v>104</v>
      </c>
      <c r="H179" t="s">
        <v>39</v>
      </c>
      <c r="I179">
        <v>4</v>
      </c>
      <c r="J179" s="4">
        <v>650</v>
      </c>
      <c r="K179" s="6">
        <v>0</v>
      </c>
      <c r="L179" s="8">
        <v>2600</v>
      </c>
      <c r="M179" s="8">
        <v>1520</v>
      </c>
      <c r="N179" s="8">
        <v>1080</v>
      </c>
      <c r="O179" s="8">
        <f>SalesData[[#This Row],[Quantity]]*SalesData[[#This Row],[Unit Price]]*(1-SalesData[[#This Row],[Discount]])</f>
        <v>2600</v>
      </c>
      <c r="P179" s="8">
        <f>SalesData[[#This Row],[Sales_Check]]-SalesData[[#This Row],[Cost]]</f>
        <v>1080</v>
      </c>
      <c r="Q179" s="13">
        <f>IFERROR(SalesData[[#This Row],[Profit]]/SalesData[[#This Row],[Sales]],0)</f>
        <v>0.41538461538461541</v>
      </c>
      <c r="R179" t="str">
        <f>TEXT(SalesData[[#This Row],[Order Date]],"mmm-yyyy")</f>
        <v>Nov-2025</v>
      </c>
      <c r="S179">
        <f>YEAR(SalesData[[#This Row],[Order Date]])</f>
        <v>2025</v>
      </c>
      <c r="T179" t="str">
        <f>IF(SalesData[[#This Row],[Profit Margin]]&gt;=30%,"High",IF(SalesData[[#This Row],[Profit Margin]]&gt;=15%,"Medium","Low"))</f>
        <v>High</v>
      </c>
    </row>
    <row r="180" spans="1:20" x14ac:dyDescent="0.35">
      <c r="A180" t="s">
        <v>425</v>
      </c>
      <c r="B180" s="23" t="s">
        <v>426</v>
      </c>
      <c r="C180" t="s">
        <v>427</v>
      </c>
      <c r="D180" t="s">
        <v>43</v>
      </c>
      <c r="E180" t="s">
        <v>169</v>
      </c>
      <c r="F180" t="s">
        <v>27</v>
      </c>
      <c r="G180" t="s">
        <v>28</v>
      </c>
      <c r="H180" t="s">
        <v>47</v>
      </c>
      <c r="I180">
        <v>1</v>
      </c>
      <c r="J180" s="4">
        <v>350</v>
      </c>
      <c r="K180" s="6">
        <v>0</v>
      </c>
      <c r="L180" s="8">
        <v>350</v>
      </c>
      <c r="M180" s="8">
        <v>170</v>
      </c>
      <c r="N180" s="8">
        <v>180</v>
      </c>
      <c r="O180" s="8">
        <f>SalesData[[#This Row],[Quantity]]*SalesData[[#This Row],[Unit Price]]*(1-SalesData[[#This Row],[Discount]])</f>
        <v>350</v>
      </c>
      <c r="P180" s="8">
        <f>SalesData[[#This Row],[Sales_Check]]-SalesData[[#This Row],[Cost]]</f>
        <v>180</v>
      </c>
      <c r="Q180" s="13">
        <f>IFERROR(SalesData[[#This Row],[Profit]]/SalesData[[#This Row],[Sales]],0)</f>
        <v>0.51428571428571423</v>
      </c>
      <c r="R180" t="str">
        <f>TEXT(SalesData[[#This Row],[Order Date]],"mmm-yyyy")</f>
        <v>Nov-2025</v>
      </c>
      <c r="S180">
        <f>YEAR(SalesData[[#This Row],[Order Date]])</f>
        <v>2025</v>
      </c>
      <c r="T180" t="str">
        <f>IF(SalesData[[#This Row],[Profit Margin]]&gt;=30%,"High",IF(SalesData[[#This Row],[Profit Margin]]&gt;=15%,"Medium","Low"))</f>
        <v>High</v>
      </c>
    </row>
    <row r="181" spans="1:20" x14ac:dyDescent="0.35">
      <c r="A181" t="s">
        <v>428</v>
      </c>
      <c r="B181" s="23" t="s">
        <v>426</v>
      </c>
      <c r="C181" t="s">
        <v>24</v>
      </c>
      <c r="D181" t="s">
        <v>25</v>
      </c>
      <c r="E181" t="s">
        <v>36</v>
      </c>
      <c r="F181" t="s">
        <v>37</v>
      </c>
      <c r="G181" t="s">
        <v>38</v>
      </c>
      <c r="H181" t="s">
        <v>21</v>
      </c>
      <c r="I181">
        <v>4</v>
      </c>
      <c r="J181" s="4">
        <v>700</v>
      </c>
      <c r="K181" s="6">
        <v>0</v>
      </c>
      <c r="L181" s="8">
        <v>2800</v>
      </c>
      <c r="M181" s="8">
        <v>1600</v>
      </c>
      <c r="N181" s="8">
        <v>1200</v>
      </c>
      <c r="O181" s="8">
        <f>SalesData[[#This Row],[Quantity]]*SalesData[[#This Row],[Unit Price]]*(1-SalesData[[#This Row],[Discount]])</f>
        <v>2800</v>
      </c>
      <c r="P181" s="8">
        <f>SalesData[[#This Row],[Sales_Check]]-SalesData[[#This Row],[Cost]]</f>
        <v>1200</v>
      </c>
      <c r="Q181" s="13">
        <f>IFERROR(SalesData[[#This Row],[Profit]]/SalesData[[#This Row],[Sales]],0)</f>
        <v>0.42857142857142855</v>
      </c>
      <c r="R181" t="str">
        <f>TEXT(SalesData[[#This Row],[Order Date]],"mmm-yyyy")</f>
        <v>Nov-2025</v>
      </c>
      <c r="S181">
        <f>YEAR(SalesData[[#This Row],[Order Date]])</f>
        <v>2025</v>
      </c>
      <c r="T181" t="str">
        <f>IF(SalesData[[#This Row],[Profit Margin]]&gt;=30%,"High",IF(SalesData[[#This Row],[Profit Margin]]&gt;=15%,"Medium","Low"))</f>
        <v>High</v>
      </c>
    </row>
    <row r="182" spans="1:20" x14ac:dyDescent="0.35">
      <c r="A182" t="s">
        <v>429</v>
      </c>
      <c r="B182" s="23" t="s">
        <v>426</v>
      </c>
      <c r="C182" t="s">
        <v>75</v>
      </c>
      <c r="D182" t="s">
        <v>54</v>
      </c>
      <c r="E182" t="s">
        <v>107</v>
      </c>
      <c r="F182" t="s">
        <v>27</v>
      </c>
      <c r="G182" t="s">
        <v>85</v>
      </c>
      <c r="H182" t="s">
        <v>21</v>
      </c>
      <c r="I182">
        <v>3</v>
      </c>
      <c r="J182" s="4">
        <v>120</v>
      </c>
      <c r="K182" s="6">
        <v>0.05</v>
      </c>
      <c r="L182" s="8">
        <v>342</v>
      </c>
      <c r="M182" s="8">
        <v>165</v>
      </c>
      <c r="N182" s="8">
        <v>177</v>
      </c>
      <c r="O182" s="8">
        <f>SalesData[[#This Row],[Quantity]]*SalesData[[#This Row],[Unit Price]]*(1-SalesData[[#This Row],[Discount]])</f>
        <v>342</v>
      </c>
      <c r="P182" s="8">
        <f>SalesData[[#This Row],[Sales_Check]]-SalesData[[#This Row],[Cost]]</f>
        <v>177</v>
      </c>
      <c r="Q182" s="13">
        <f>IFERROR(SalesData[[#This Row],[Profit]]/SalesData[[#This Row],[Sales]],0)</f>
        <v>0.51754385964912286</v>
      </c>
      <c r="R182" t="str">
        <f>TEXT(SalesData[[#This Row],[Order Date]],"mmm-yyyy")</f>
        <v>Nov-2025</v>
      </c>
      <c r="S182">
        <f>YEAR(SalesData[[#This Row],[Order Date]])</f>
        <v>2025</v>
      </c>
      <c r="T182" t="str">
        <f>IF(SalesData[[#This Row],[Profit Margin]]&gt;=30%,"High",IF(SalesData[[#This Row],[Profit Margin]]&gt;=15%,"Medium","Low"))</f>
        <v>High</v>
      </c>
    </row>
    <row r="183" spans="1:20" x14ac:dyDescent="0.35">
      <c r="A183" t="s">
        <v>430</v>
      </c>
      <c r="B183" s="23" t="s">
        <v>426</v>
      </c>
      <c r="C183" t="s">
        <v>431</v>
      </c>
      <c r="D183" t="s">
        <v>54</v>
      </c>
      <c r="E183" t="s">
        <v>116</v>
      </c>
      <c r="F183" t="s">
        <v>37</v>
      </c>
      <c r="G183" t="s">
        <v>38</v>
      </c>
      <c r="H183" t="s">
        <v>39</v>
      </c>
      <c r="I183">
        <v>5</v>
      </c>
      <c r="J183" s="4">
        <v>450</v>
      </c>
      <c r="K183" s="6">
        <v>0.1</v>
      </c>
      <c r="L183" s="8">
        <v>2025</v>
      </c>
      <c r="M183" s="8">
        <v>1250</v>
      </c>
      <c r="N183" s="8">
        <v>775</v>
      </c>
      <c r="O183" s="8">
        <f>SalesData[[#This Row],[Quantity]]*SalesData[[#This Row],[Unit Price]]*(1-SalesData[[#This Row],[Discount]])</f>
        <v>2025</v>
      </c>
      <c r="P183" s="8">
        <f>SalesData[[#This Row],[Sales_Check]]-SalesData[[#This Row],[Cost]]</f>
        <v>775</v>
      </c>
      <c r="Q183" s="13">
        <f>IFERROR(SalesData[[#This Row],[Profit]]/SalesData[[#This Row],[Sales]],0)</f>
        <v>0.38271604938271603</v>
      </c>
      <c r="R183" t="str">
        <f>TEXT(SalesData[[#This Row],[Order Date]],"mmm-yyyy")</f>
        <v>Nov-2025</v>
      </c>
      <c r="S183">
        <f>YEAR(SalesData[[#This Row],[Order Date]])</f>
        <v>2025</v>
      </c>
      <c r="T183" t="str">
        <f>IF(SalesData[[#This Row],[Profit Margin]]&gt;=30%,"High",IF(SalesData[[#This Row],[Profit Margin]]&gt;=15%,"Medium","Low"))</f>
        <v>High</v>
      </c>
    </row>
    <row r="184" spans="1:20" x14ac:dyDescent="0.35">
      <c r="A184" t="s">
        <v>432</v>
      </c>
      <c r="B184" s="23" t="s">
        <v>426</v>
      </c>
      <c r="C184" t="s">
        <v>355</v>
      </c>
      <c r="D184" t="s">
        <v>25</v>
      </c>
      <c r="E184" t="s">
        <v>80</v>
      </c>
      <c r="F184" t="s">
        <v>27</v>
      </c>
      <c r="G184" t="s">
        <v>51</v>
      </c>
      <c r="H184" t="s">
        <v>21</v>
      </c>
      <c r="I184">
        <v>2</v>
      </c>
      <c r="J184" s="4">
        <v>950</v>
      </c>
      <c r="K184" s="6">
        <v>0.05</v>
      </c>
      <c r="L184" s="8">
        <v>1805</v>
      </c>
      <c r="M184" s="8">
        <v>1120</v>
      </c>
      <c r="N184" s="8">
        <v>685</v>
      </c>
      <c r="O184" s="8">
        <f>SalesData[[#This Row],[Quantity]]*SalesData[[#This Row],[Unit Price]]*(1-SalesData[[#This Row],[Discount]])</f>
        <v>1805</v>
      </c>
      <c r="P184" s="8">
        <f>SalesData[[#This Row],[Sales_Check]]-SalesData[[#This Row],[Cost]]</f>
        <v>685</v>
      </c>
      <c r="Q184" s="13">
        <f>IFERROR(SalesData[[#This Row],[Profit]]/SalesData[[#This Row],[Sales]],0)</f>
        <v>0.37950138504155123</v>
      </c>
      <c r="R184" t="str">
        <f>TEXT(SalesData[[#This Row],[Order Date]],"mmm-yyyy")</f>
        <v>Nov-2025</v>
      </c>
      <c r="S184">
        <f>YEAR(SalesData[[#This Row],[Order Date]])</f>
        <v>2025</v>
      </c>
      <c r="T184" t="str">
        <f>IF(SalesData[[#This Row],[Profit Margin]]&gt;=30%,"High",IF(SalesData[[#This Row],[Profit Margin]]&gt;=15%,"Medium","Low"))</f>
        <v>High</v>
      </c>
    </row>
    <row r="185" spans="1:20" x14ac:dyDescent="0.35">
      <c r="A185" t="s">
        <v>433</v>
      </c>
      <c r="B185" s="23" t="s">
        <v>434</v>
      </c>
      <c r="C185" t="s">
        <v>168</v>
      </c>
      <c r="D185" t="s">
        <v>25</v>
      </c>
      <c r="E185" t="s">
        <v>89</v>
      </c>
      <c r="F185" t="s">
        <v>37</v>
      </c>
      <c r="G185" t="s">
        <v>140</v>
      </c>
      <c r="H185" t="s">
        <v>39</v>
      </c>
      <c r="I185">
        <v>9</v>
      </c>
      <c r="J185" s="4">
        <v>550</v>
      </c>
      <c r="K185" s="6">
        <v>0</v>
      </c>
      <c r="L185" s="8">
        <v>4950</v>
      </c>
      <c r="M185" s="8">
        <v>2700</v>
      </c>
      <c r="N185" s="8">
        <v>2250</v>
      </c>
      <c r="O185" s="8">
        <f>SalesData[[#This Row],[Quantity]]*SalesData[[#This Row],[Unit Price]]*(1-SalesData[[#This Row],[Discount]])</f>
        <v>4950</v>
      </c>
      <c r="P185" s="8">
        <f>SalesData[[#This Row],[Sales_Check]]-SalesData[[#This Row],[Cost]]</f>
        <v>2250</v>
      </c>
      <c r="Q185" s="13">
        <f>IFERROR(SalesData[[#This Row],[Profit]]/SalesData[[#This Row],[Sales]],0)</f>
        <v>0.45454545454545453</v>
      </c>
      <c r="R185" t="str">
        <f>TEXT(SalesData[[#This Row],[Order Date]],"mmm-yyyy")</f>
        <v>Nov-2025</v>
      </c>
      <c r="S185">
        <f>YEAR(SalesData[[#This Row],[Order Date]])</f>
        <v>2025</v>
      </c>
      <c r="T185" t="str">
        <f>IF(SalesData[[#This Row],[Profit Margin]]&gt;=30%,"High",IF(SalesData[[#This Row],[Profit Margin]]&gt;=15%,"Medium","Low"))</f>
        <v>High</v>
      </c>
    </row>
    <row r="186" spans="1:20" x14ac:dyDescent="0.35">
      <c r="A186" t="s">
        <v>435</v>
      </c>
      <c r="B186" s="23" t="s">
        <v>434</v>
      </c>
      <c r="C186" t="s">
        <v>364</v>
      </c>
      <c r="D186" t="s">
        <v>17</v>
      </c>
      <c r="E186" t="s">
        <v>124</v>
      </c>
      <c r="F186" t="s">
        <v>45</v>
      </c>
      <c r="G186" t="s">
        <v>122</v>
      </c>
      <c r="H186" t="s">
        <v>29</v>
      </c>
      <c r="I186">
        <v>10</v>
      </c>
      <c r="J186" s="4">
        <v>1200</v>
      </c>
      <c r="K186" s="6">
        <v>0</v>
      </c>
      <c r="L186" s="8">
        <v>12000</v>
      </c>
      <c r="M186" s="8">
        <v>7200</v>
      </c>
      <c r="N186" s="8">
        <v>4800</v>
      </c>
      <c r="O186" s="8">
        <f>SalesData[[#This Row],[Quantity]]*SalesData[[#This Row],[Unit Price]]*(1-SalesData[[#This Row],[Discount]])</f>
        <v>12000</v>
      </c>
      <c r="P186" s="8">
        <f>SalesData[[#This Row],[Sales_Check]]-SalesData[[#This Row],[Cost]]</f>
        <v>4800</v>
      </c>
      <c r="Q186" s="13">
        <f>IFERROR(SalesData[[#This Row],[Profit]]/SalesData[[#This Row],[Sales]],0)</f>
        <v>0.4</v>
      </c>
      <c r="R186" t="str">
        <f>TEXT(SalesData[[#This Row],[Order Date]],"mmm-yyyy")</f>
        <v>Nov-2025</v>
      </c>
      <c r="S186">
        <f>YEAR(SalesData[[#This Row],[Order Date]])</f>
        <v>2025</v>
      </c>
      <c r="T186" t="str">
        <f>IF(SalesData[[#This Row],[Profit Margin]]&gt;=30%,"High",IF(SalesData[[#This Row],[Profit Margin]]&gt;=15%,"Medium","Low"))</f>
        <v>High</v>
      </c>
    </row>
    <row r="187" spans="1:20" x14ac:dyDescent="0.35">
      <c r="A187" t="s">
        <v>436</v>
      </c>
      <c r="B187" s="23" t="s">
        <v>434</v>
      </c>
      <c r="C187" t="s">
        <v>437</v>
      </c>
      <c r="D187" t="s">
        <v>25</v>
      </c>
      <c r="E187" t="s">
        <v>26</v>
      </c>
      <c r="F187" t="s">
        <v>45</v>
      </c>
      <c r="G187" t="s">
        <v>104</v>
      </c>
      <c r="H187" t="s">
        <v>33</v>
      </c>
      <c r="I187">
        <v>7</v>
      </c>
      <c r="J187" s="4">
        <v>600</v>
      </c>
      <c r="K187" s="6">
        <v>0</v>
      </c>
      <c r="L187" s="8">
        <v>4200</v>
      </c>
      <c r="M187" s="8">
        <v>2310</v>
      </c>
      <c r="N187" s="8">
        <v>1890</v>
      </c>
      <c r="O187" s="8">
        <f>SalesData[[#This Row],[Quantity]]*SalesData[[#This Row],[Unit Price]]*(1-SalesData[[#This Row],[Discount]])</f>
        <v>4200</v>
      </c>
      <c r="P187" s="8">
        <f>SalesData[[#This Row],[Sales_Check]]-SalesData[[#This Row],[Cost]]</f>
        <v>1890</v>
      </c>
      <c r="Q187" s="13">
        <f>IFERROR(SalesData[[#This Row],[Profit]]/SalesData[[#This Row],[Sales]],0)</f>
        <v>0.45</v>
      </c>
      <c r="R187" t="str">
        <f>TEXT(SalesData[[#This Row],[Order Date]],"mmm-yyyy")</f>
        <v>Nov-2025</v>
      </c>
      <c r="S187">
        <f>YEAR(SalesData[[#This Row],[Order Date]])</f>
        <v>2025</v>
      </c>
      <c r="T187" t="str">
        <f>IF(SalesData[[#This Row],[Profit Margin]]&gt;=30%,"High",IF(SalesData[[#This Row],[Profit Margin]]&gt;=15%,"Medium","Low"))</f>
        <v>High</v>
      </c>
    </row>
    <row r="188" spans="1:20" x14ac:dyDescent="0.35">
      <c r="A188" t="s">
        <v>438</v>
      </c>
      <c r="B188" s="23" t="s">
        <v>439</v>
      </c>
      <c r="C188" t="s">
        <v>355</v>
      </c>
      <c r="D188" t="s">
        <v>25</v>
      </c>
      <c r="E188" t="s">
        <v>26</v>
      </c>
      <c r="F188" t="s">
        <v>27</v>
      </c>
      <c r="G188" t="s">
        <v>85</v>
      </c>
      <c r="H188" t="s">
        <v>125</v>
      </c>
      <c r="I188">
        <v>4</v>
      </c>
      <c r="J188" s="4">
        <v>600</v>
      </c>
      <c r="K188" s="6">
        <v>0</v>
      </c>
      <c r="L188" s="8">
        <v>2400</v>
      </c>
      <c r="M188" s="8">
        <v>1320</v>
      </c>
      <c r="N188" s="8">
        <v>1080</v>
      </c>
      <c r="O188" s="8">
        <f>SalesData[[#This Row],[Quantity]]*SalesData[[#This Row],[Unit Price]]*(1-SalesData[[#This Row],[Discount]])</f>
        <v>2400</v>
      </c>
      <c r="P188" s="8">
        <f>SalesData[[#This Row],[Sales_Check]]-SalesData[[#This Row],[Cost]]</f>
        <v>1080</v>
      </c>
      <c r="Q188" s="13">
        <f>IFERROR(SalesData[[#This Row],[Profit]]/SalesData[[#This Row],[Sales]],0)</f>
        <v>0.45</v>
      </c>
      <c r="R188" t="str">
        <f>TEXT(SalesData[[#This Row],[Order Date]],"mmm-yyyy")</f>
        <v>Nov-2025</v>
      </c>
      <c r="S188">
        <f>YEAR(SalesData[[#This Row],[Order Date]])</f>
        <v>2025</v>
      </c>
      <c r="T188" t="str">
        <f>IF(SalesData[[#This Row],[Profit Margin]]&gt;=30%,"High",IF(SalesData[[#This Row],[Profit Margin]]&gt;=15%,"Medium","Low"))</f>
        <v>High</v>
      </c>
    </row>
    <row r="189" spans="1:20" x14ac:dyDescent="0.35">
      <c r="A189" t="s">
        <v>440</v>
      </c>
      <c r="B189" s="23" t="s">
        <v>439</v>
      </c>
      <c r="C189" t="s">
        <v>441</v>
      </c>
      <c r="D189" t="s">
        <v>54</v>
      </c>
      <c r="E189" t="s">
        <v>116</v>
      </c>
      <c r="F189" t="s">
        <v>45</v>
      </c>
      <c r="G189" t="s">
        <v>46</v>
      </c>
      <c r="H189" t="s">
        <v>39</v>
      </c>
      <c r="I189">
        <v>5</v>
      </c>
      <c r="J189" s="4">
        <v>450</v>
      </c>
      <c r="K189" s="6">
        <v>0</v>
      </c>
      <c r="L189" s="8">
        <v>2250</v>
      </c>
      <c r="M189" s="8">
        <v>1250</v>
      </c>
      <c r="N189" s="8">
        <v>1000</v>
      </c>
      <c r="O189" s="8">
        <f>SalesData[[#This Row],[Quantity]]*SalesData[[#This Row],[Unit Price]]*(1-SalesData[[#This Row],[Discount]])</f>
        <v>2250</v>
      </c>
      <c r="P189" s="8">
        <f>SalesData[[#This Row],[Sales_Check]]-SalesData[[#This Row],[Cost]]</f>
        <v>1000</v>
      </c>
      <c r="Q189" s="13">
        <f>IFERROR(SalesData[[#This Row],[Profit]]/SalesData[[#This Row],[Sales]],0)</f>
        <v>0.44444444444444442</v>
      </c>
      <c r="R189" t="str">
        <f>TEXT(SalesData[[#This Row],[Order Date]],"mmm-yyyy")</f>
        <v>Nov-2025</v>
      </c>
      <c r="S189">
        <f>YEAR(SalesData[[#This Row],[Order Date]])</f>
        <v>2025</v>
      </c>
      <c r="T189" t="str">
        <f>IF(SalesData[[#This Row],[Profit Margin]]&gt;=30%,"High",IF(SalesData[[#This Row],[Profit Margin]]&gt;=15%,"Medium","Low"))</f>
        <v>High</v>
      </c>
    </row>
    <row r="190" spans="1:20" x14ac:dyDescent="0.35">
      <c r="A190" t="s">
        <v>442</v>
      </c>
      <c r="B190" s="23" t="s">
        <v>443</v>
      </c>
      <c r="C190" t="s">
        <v>444</v>
      </c>
      <c r="D190" t="s">
        <v>17</v>
      </c>
      <c r="E190" t="s">
        <v>50</v>
      </c>
      <c r="F190" t="s">
        <v>37</v>
      </c>
      <c r="G190" t="s">
        <v>140</v>
      </c>
      <c r="H190" t="s">
        <v>33</v>
      </c>
      <c r="I190">
        <v>2</v>
      </c>
      <c r="J190" s="4">
        <v>650</v>
      </c>
      <c r="K190" s="6">
        <v>0</v>
      </c>
      <c r="L190" s="8">
        <v>1300</v>
      </c>
      <c r="M190" s="8">
        <v>760</v>
      </c>
      <c r="N190" s="8">
        <v>540</v>
      </c>
      <c r="O190" s="8">
        <f>SalesData[[#This Row],[Quantity]]*SalesData[[#This Row],[Unit Price]]*(1-SalesData[[#This Row],[Discount]])</f>
        <v>1300</v>
      </c>
      <c r="P190" s="8">
        <f>SalesData[[#This Row],[Sales_Check]]-SalesData[[#This Row],[Cost]]</f>
        <v>540</v>
      </c>
      <c r="Q190" s="13">
        <f>IFERROR(SalesData[[#This Row],[Profit]]/SalesData[[#This Row],[Sales]],0)</f>
        <v>0.41538461538461541</v>
      </c>
      <c r="R190" t="str">
        <f>TEXT(SalesData[[#This Row],[Order Date]],"mmm-yyyy")</f>
        <v>Nov-2025</v>
      </c>
      <c r="S190">
        <f>YEAR(SalesData[[#This Row],[Order Date]])</f>
        <v>2025</v>
      </c>
      <c r="T190" t="str">
        <f>IF(SalesData[[#This Row],[Profit Margin]]&gt;=30%,"High",IF(SalesData[[#This Row],[Profit Margin]]&gt;=15%,"Medium","Low"))</f>
        <v>High</v>
      </c>
    </row>
    <row r="191" spans="1:20" x14ac:dyDescent="0.35">
      <c r="A191" t="s">
        <v>445</v>
      </c>
      <c r="B191" s="23" t="s">
        <v>443</v>
      </c>
      <c r="C191" t="s">
        <v>446</v>
      </c>
      <c r="D191" t="s">
        <v>17</v>
      </c>
      <c r="E191" t="s">
        <v>124</v>
      </c>
      <c r="F191" t="s">
        <v>27</v>
      </c>
      <c r="G191" t="s">
        <v>28</v>
      </c>
      <c r="H191" t="s">
        <v>47</v>
      </c>
      <c r="I191">
        <v>9</v>
      </c>
      <c r="J191" s="4">
        <v>1200</v>
      </c>
      <c r="K191" s="6">
        <v>0.1</v>
      </c>
      <c r="L191" s="8">
        <v>9720</v>
      </c>
      <c r="M191" s="8">
        <v>6480</v>
      </c>
      <c r="N191" s="8">
        <v>3240</v>
      </c>
      <c r="O191" s="8">
        <f>SalesData[[#This Row],[Quantity]]*SalesData[[#This Row],[Unit Price]]*(1-SalesData[[#This Row],[Discount]])</f>
        <v>9720</v>
      </c>
      <c r="P191" s="8">
        <f>SalesData[[#This Row],[Sales_Check]]-SalesData[[#This Row],[Cost]]</f>
        <v>3240</v>
      </c>
      <c r="Q191" s="13">
        <f>IFERROR(SalesData[[#This Row],[Profit]]/SalesData[[#This Row],[Sales]],0)</f>
        <v>0.33333333333333331</v>
      </c>
      <c r="R191" t="str">
        <f>TEXT(SalesData[[#This Row],[Order Date]],"mmm-yyyy")</f>
        <v>Nov-2025</v>
      </c>
      <c r="S191">
        <f>YEAR(SalesData[[#This Row],[Order Date]])</f>
        <v>2025</v>
      </c>
      <c r="T191" t="str">
        <f>IF(SalesData[[#This Row],[Profit Margin]]&gt;=30%,"High",IF(SalesData[[#This Row],[Profit Margin]]&gt;=15%,"Medium","Low"))</f>
        <v>High</v>
      </c>
    </row>
    <row r="192" spans="1:20" x14ac:dyDescent="0.35">
      <c r="A192" t="s">
        <v>447</v>
      </c>
      <c r="B192" s="23" t="s">
        <v>443</v>
      </c>
      <c r="C192" t="s">
        <v>448</v>
      </c>
      <c r="D192" t="s">
        <v>17</v>
      </c>
      <c r="E192" t="s">
        <v>65</v>
      </c>
      <c r="F192" t="s">
        <v>27</v>
      </c>
      <c r="G192" t="s">
        <v>85</v>
      </c>
      <c r="H192" t="s">
        <v>47</v>
      </c>
      <c r="I192">
        <v>4</v>
      </c>
      <c r="J192" s="4">
        <v>2200</v>
      </c>
      <c r="K192" s="6">
        <v>0</v>
      </c>
      <c r="L192" s="8">
        <v>8800</v>
      </c>
      <c r="M192" s="8">
        <v>5600</v>
      </c>
      <c r="N192" s="8">
        <v>3200</v>
      </c>
      <c r="O192" s="8">
        <f>SalesData[[#This Row],[Quantity]]*SalesData[[#This Row],[Unit Price]]*(1-SalesData[[#This Row],[Discount]])</f>
        <v>8800</v>
      </c>
      <c r="P192" s="8">
        <f>SalesData[[#This Row],[Sales_Check]]-SalesData[[#This Row],[Cost]]</f>
        <v>3200</v>
      </c>
      <c r="Q192" s="13">
        <f>IFERROR(SalesData[[#This Row],[Profit]]/SalesData[[#This Row],[Sales]],0)</f>
        <v>0.36363636363636365</v>
      </c>
      <c r="R192" t="str">
        <f>TEXT(SalesData[[#This Row],[Order Date]],"mmm-yyyy")</f>
        <v>Nov-2025</v>
      </c>
      <c r="S192">
        <f>YEAR(SalesData[[#This Row],[Order Date]])</f>
        <v>2025</v>
      </c>
      <c r="T192" t="str">
        <f>IF(SalesData[[#This Row],[Profit Margin]]&gt;=30%,"High",IF(SalesData[[#This Row],[Profit Margin]]&gt;=15%,"Medium","Low"))</f>
        <v>High</v>
      </c>
    </row>
    <row r="193" spans="1:20" x14ac:dyDescent="0.35">
      <c r="A193" t="s">
        <v>449</v>
      </c>
      <c r="B193" s="23" t="s">
        <v>443</v>
      </c>
      <c r="C193" t="s">
        <v>450</v>
      </c>
      <c r="D193" t="s">
        <v>25</v>
      </c>
      <c r="E193" t="s">
        <v>26</v>
      </c>
      <c r="F193" t="s">
        <v>45</v>
      </c>
      <c r="G193" t="s">
        <v>122</v>
      </c>
      <c r="H193" t="s">
        <v>29</v>
      </c>
      <c r="I193">
        <v>6</v>
      </c>
      <c r="J193" s="4">
        <v>600</v>
      </c>
      <c r="K193" s="6">
        <v>0</v>
      </c>
      <c r="L193" s="8">
        <v>3600</v>
      </c>
      <c r="M193" s="8">
        <v>1980</v>
      </c>
      <c r="N193" s="8">
        <v>1620</v>
      </c>
      <c r="O193" s="8">
        <f>SalesData[[#This Row],[Quantity]]*SalesData[[#This Row],[Unit Price]]*(1-SalesData[[#This Row],[Discount]])</f>
        <v>3600</v>
      </c>
      <c r="P193" s="8">
        <f>SalesData[[#This Row],[Sales_Check]]-SalesData[[#This Row],[Cost]]</f>
        <v>1620</v>
      </c>
      <c r="Q193" s="13">
        <f>IFERROR(SalesData[[#This Row],[Profit]]/SalesData[[#This Row],[Sales]],0)</f>
        <v>0.45</v>
      </c>
      <c r="R193" t="str">
        <f>TEXT(SalesData[[#This Row],[Order Date]],"mmm-yyyy")</f>
        <v>Nov-2025</v>
      </c>
      <c r="S193">
        <f>YEAR(SalesData[[#This Row],[Order Date]])</f>
        <v>2025</v>
      </c>
      <c r="T193" t="str">
        <f>IF(SalesData[[#This Row],[Profit Margin]]&gt;=30%,"High",IF(SalesData[[#This Row],[Profit Margin]]&gt;=15%,"Medium","Low"))</f>
        <v>High</v>
      </c>
    </row>
    <row r="194" spans="1:20" x14ac:dyDescent="0.35">
      <c r="A194" t="s">
        <v>451</v>
      </c>
      <c r="B194" s="23" t="s">
        <v>443</v>
      </c>
      <c r="C194" t="s">
        <v>452</v>
      </c>
      <c r="D194" t="s">
        <v>43</v>
      </c>
      <c r="E194" t="s">
        <v>143</v>
      </c>
      <c r="F194" t="s">
        <v>45</v>
      </c>
      <c r="G194" t="s">
        <v>46</v>
      </c>
      <c r="H194" t="s">
        <v>47</v>
      </c>
      <c r="I194">
        <v>8</v>
      </c>
      <c r="J194" s="4">
        <v>650</v>
      </c>
      <c r="K194" s="6">
        <v>0.05</v>
      </c>
      <c r="L194" s="8">
        <v>4940</v>
      </c>
      <c r="M194" s="8">
        <v>2800</v>
      </c>
      <c r="N194" s="8">
        <v>2140</v>
      </c>
      <c r="O194" s="8">
        <f>SalesData[[#This Row],[Quantity]]*SalesData[[#This Row],[Unit Price]]*(1-SalesData[[#This Row],[Discount]])</f>
        <v>4940</v>
      </c>
      <c r="P194" s="8">
        <f>SalesData[[#This Row],[Sales_Check]]-SalesData[[#This Row],[Cost]]</f>
        <v>2140</v>
      </c>
      <c r="Q194" s="13">
        <f>IFERROR(SalesData[[#This Row],[Profit]]/SalesData[[#This Row],[Sales]],0)</f>
        <v>0.4331983805668016</v>
      </c>
      <c r="R194" t="str">
        <f>TEXT(SalesData[[#This Row],[Order Date]],"mmm-yyyy")</f>
        <v>Nov-2025</v>
      </c>
      <c r="S194">
        <f>YEAR(SalesData[[#This Row],[Order Date]])</f>
        <v>2025</v>
      </c>
      <c r="T194" t="str">
        <f>IF(SalesData[[#This Row],[Profit Margin]]&gt;=30%,"High",IF(SalesData[[#This Row],[Profit Margin]]&gt;=15%,"Medium","Low"))</f>
        <v>High</v>
      </c>
    </row>
    <row r="195" spans="1:20" x14ac:dyDescent="0.35">
      <c r="A195" t="s">
        <v>453</v>
      </c>
      <c r="B195" s="23" t="s">
        <v>454</v>
      </c>
      <c r="C195" t="s">
        <v>455</v>
      </c>
      <c r="D195" t="s">
        <v>43</v>
      </c>
      <c r="E195" t="s">
        <v>169</v>
      </c>
      <c r="F195" t="s">
        <v>45</v>
      </c>
      <c r="G195" t="s">
        <v>104</v>
      </c>
      <c r="H195" t="s">
        <v>47</v>
      </c>
      <c r="I195">
        <v>10</v>
      </c>
      <c r="J195" s="4">
        <v>350</v>
      </c>
      <c r="K195" s="6">
        <v>0.05</v>
      </c>
      <c r="L195" s="8">
        <v>3325</v>
      </c>
      <c r="M195" s="8">
        <v>1700</v>
      </c>
      <c r="N195" s="8">
        <v>1625</v>
      </c>
      <c r="O195" s="8">
        <f>SalesData[[#This Row],[Quantity]]*SalesData[[#This Row],[Unit Price]]*(1-SalesData[[#This Row],[Discount]])</f>
        <v>3325</v>
      </c>
      <c r="P195" s="8">
        <f>SalesData[[#This Row],[Sales_Check]]-SalesData[[#This Row],[Cost]]</f>
        <v>1625</v>
      </c>
      <c r="Q195" s="13">
        <f>IFERROR(SalesData[[#This Row],[Profit]]/SalesData[[#This Row],[Sales]],0)</f>
        <v>0.48872180451127817</v>
      </c>
      <c r="R195" t="str">
        <f>TEXT(SalesData[[#This Row],[Order Date]],"mmm-yyyy")</f>
        <v>Nov-2025</v>
      </c>
      <c r="S195">
        <f>YEAR(SalesData[[#This Row],[Order Date]])</f>
        <v>2025</v>
      </c>
      <c r="T195" t="str">
        <f>IF(SalesData[[#This Row],[Profit Margin]]&gt;=30%,"High",IF(SalesData[[#This Row],[Profit Margin]]&gt;=15%,"Medium","Low"))</f>
        <v>High</v>
      </c>
    </row>
    <row r="196" spans="1:20" x14ac:dyDescent="0.35">
      <c r="A196" t="s">
        <v>456</v>
      </c>
      <c r="B196" s="23" t="s">
        <v>454</v>
      </c>
      <c r="C196" t="s">
        <v>457</v>
      </c>
      <c r="D196" t="s">
        <v>17</v>
      </c>
      <c r="E196" t="s">
        <v>18</v>
      </c>
      <c r="F196" t="s">
        <v>37</v>
      </c>
      <c r="G196" t="s">
        <v>38</v>
      </c>
      <c r="H196" t="s">
        <v>47</v>
      </c>
      <c r="I196">
        <v>6</v>
      </c>
      <c r="J196" s="4">
        <v>1800</v>
      </c>
      <c r="K196" s="6">
        <v>0.05</v>
      </c>
      <c r="L196" s="8">
        <v>10260</v>
      </c>
      <c r="M196" s="8">
        <v>6600</v>
      </c>
      <c r="N196" s="8">
        <v>3660</v>
      </c>
      <c r="O196" s="8">
        <f>SalesData[[#This Row],[Quantity]]*SalesData[[#This Row],[Unit Price]]*(1-SalesData[[#This Row],[Discount]])</f>
        <v>10260</v>
      </c>
      <c r="P196" s="8">
        <f>SalesData[[#This Row],[Sales_Check]]-SalesData[[#This Row],[Cost]]</f>
        <v>3660</v>
      </c>
      <c r="Q196" s="13">
        <f>IFERROR(SalesData[[#This Row],[Profit]]/SalesData[[#This Row],[Sales]],0)</f>
        <v>0.35672514619883039</v>
      </c>
      <c r="R196" t="str">
        <f>TEXT(SalesData[[#This Row],[Order Date]],"mmm-yyyy")</f>
        <v>Nov-2025</v>
      </c>
      <c r="S196">
        <f>YEAR(SalesData[[#This Row],[Order Date]])</f>
        <v>2025</v>
      </c>
      <c r="T196" t="str">
        <f>IF(SalesData[[#This Row],[Profit Margin]]&gt;=30%,"High",IF(SalesData[[#This Row],[Profit Margin]]&gt;=15%,"Medium","Low"))</f>
        <v>High</v>
      </c>
    </row>
    <row r="197" spans="1:20" x14ac:dyDescent="0.35">
      <c r="A197" t="s">
        <v>458</v>
      </c>
      <c r="B197" s="23" t="s">
        <v>454</v>
      </c>
      <c r="C197" t="s">
        <v>358</v>
      </c>
      <c r="D197" t="s">
        <v>43</v>
      </c>
      <c r="E197" t="s">
        <v>44</v>
      </c>
      <c r="F197" t="s">
        <v>27</v>
      </c>
      <c r="G197" t="s">
        <v>28</v>
      </c>
      <c r="H197" t="s">
        <v>125</v>
      </c>
      <c r="I197">
        <v>5</v>
      </c>
      <c r="J197" s="4">
        <v>2200</v>
      </c>
      <c r="K197" s="6">
        <v>0</v>
      </c>
      <c r="L197" s="8">
        <v>11000</v>
      </c>
      <c r="M197" s="8">
        <v>7250</v>
      </c>
      <c r="N197" s="8">
        <v>3750</v>
      </c>
      <c r="O197" s="8">
        <f>SalesData[[#This Row],[Quantity]]*SalesData[[#This Row],[Unit Price]]*(1-SalesData[[#This Row],[Discount]])</f>
        <v>11000</v>
      </c>
      <c r="P197" s="8">
        <f>SalesData[[#This Row],[Sales_Check]]-SalesData[[#This Row],[Cost]]</f>
        <v>3750</v>
      </c>
      <c r="Q197" s="13">
        <f>IFERROR(SalesData[[#This Row],[Profit]]/SalesData[[#This Row],[Sales]],0)</f>
        <v>0.34090909090909088</v>
      </c>
      <c r="R197" t="str">
        <f>TEXT(SalesData[[#This Row],[Order Date]],"mmm-yyyy")</f>
        <v>Nov-2025</v>
      </c>
      <c r="S197">
        <f>YEAR(SalesData[[#This Row],[Order Date]])</f>
        <v>2025</v>
      </c>
      <c r="T197" t="str">
        <f>IF(SalesData[[#This Row],[Profit Margin]]&gt;=30%,"High",IF(SalesData[[#This Row],[Profit Margin]]&gt;=15%,"Medium","Low"))</f>
        <v>High</v>
      </c>
    </row>
    <row r="198" spans="1:20" x14ac:dyDescent="0.35">
      <c r="A198" t="s">
        <v>459</v>
      </c>
      <c r="B198" s="23" t="s">
        <v>454</v>
      </c>
      <c r="C198" t="s">
        <v>222</v>
      </c>
      <c r="D198" t="s">
        <v>17</v>
      </c>
      <c r="E198" t="s">
        <v>65</v>
      </c>
      <c r="F198" t="s">
        <v>45</v>
      </c>
      <c r="G198" t="s">
        <v>122</v>
      </c>
      <c r="H198" t="s">
        <v>33</v>
      </c>
      <c r="I198">
        <v>7</v>
      </c>
      <c r="J198" s="4">
        <v>2200</v>
      </c>
      <c r="K198" s="6">
        <v>0</v>
      </c>
      <c r="L198" s="8">
        <v>15400</v>
      </c>
      <c r="M198" s="8">
        <v>9800</v>
      </c>
      <c r="N198" s="8">
        <v>5600</v>
      </c>
      <c r="O198" s="8">
        <f>SalesData[[#This Row],[Quantity]]*SalesData[[#This Row],[Unit Price]]*(1-SalesData[[#This Row],[Discount]])</f>
        <v>15400</v>
      </c>
      <c r="P198" s="8">
        <f>SalesData[[#This Row],[Sales_Check]]-SalesData[[#This Row],[Cost]]</f>
        <v>5600</v>
      </c>
      <c r="Q198" s="13">
        <f>IFERROR(SalesData[[#This Row],[Profit]]/SalesData[[#This Row],[Sales]],0)</f>
        <v>0.36363636363636365</v>
      </c>
      <c r="R198" t="str">
        <f>TEXT(SalesData[[#This Row],[Order Date]],"mmm-yyyy")</f>
        <v>Nov-2025</v>
      </c>
      <c r="S198">
        <f>YEAR(SalesData[[#This Row],[Order Date]])</f>
        <v>2025</v>
      </c>
      <c r="T198" t="str">
        <f>IF(SalesData[[#This Row],[Profit Margin]]&gt;=30%,"High",IF(SalesData[[#This Row],[Profit Margin]]&gt;=15%,"Medium","Low"))</f>
        <v>High</v>
      </c>
    </row>
    <row r="199" spans="1:20" x14ac:dyDescent="0.35">
      <c r="A199" t="s">
        <v>460</v>
      </c>
      <c r="B199" s="23" t="s">
        <v>461</v>
      </c>
      <c r="C199" t="s">
        <v>390</v>
      </c>
      <c r="D199" t="s">
        <v>17</v>
      </c>
      <c r="E199" t="s">
        <v>32</v>
      </c>
      <c r="F199" t="s">
        <v>19</v>
      </c>
      <c r="G199" t="s">
        <v>56</v>
      </c>
      <c r="H199" t="s">
        <v>21</v>
      </c>
      <c r="I199">
        <v>6</v>
      </c>
      <c r="J199" s="4">
        <v>1500</v>
      </c>
      <c r="K199" s="6">
        <v>0</v>
      </c>
      <c r="L199" s="8">
        <v>9000</v>
      </c>
      <c r="M199" s="8">
        <v>5400</v>
      </c>
      <c r="N199" s="8">
        <v>3600</v>
      </c>
      <c r="O199" s="8">
        <f>SalesData[[#This Row],[Quantity]]*SalesData[[#This Row],[Unit Price]]*(1-SalesData[[#This Row],[Discount]])</f>
        <v>9000</v>
      </c>
      <c r="P199" s="8">
        <f>SalesData[[#This Row],[Sales_Check]]-SalesData[[#This Row],[Cost]]</f>
        <v>3600</v>
      </c>
      <c r="Q199" s="13">
        <f>IFERROR(SalesData[[#This Row],[Profit]]/SalesData[[#This Row],[Sales]],0)</f>
        <v>0.4</v>
      </c>
      <c r="R199" t="str">
        <f>TEXT(SalesData[[#This Row],[Order Date]],"mmm-yyyy")</f>
        <v>Nov-2025</v>
      </c>
      <c r="S199">
        <f>YEAR(SalesData[[#This Row],[Order Date]])</f>
        <v>2025</v>
      </c>
      <c r="T199" t="str">
        <f>IF(SalesData[[#This Row],[Profit Margin]]&gt;=30%,"High",IF(SalesData[[#This Row],[Profit Margin]]&gt;=15%,"Medium","Low"))</f>
        <v>High</v>
      </c>
    </row>
    <row r="200" spans="1:20" x14ac:dyDescent="0.35">
      <c r="A200" t="s">
        <v>462</v>
      </c>
      <c r="B200" s="23" t="s">
        <v>461</v>
      </c>
      <c r="C200" t="s">
        <v>152</v>
      </c>
      <c r="D200" t="s">
        <v>17</v>
      </c>
      <c r="E200" t="s">
        <v>124</v>
      </c>
      <c r="F200" t="s">
        <v>45</v>
      </c>
      <c r="G200" t="s">
        <v>104</v>
      </c>
      <c r="H200" t="s">
        <v>125</v>
      </c>
      <c r="I200">
        <v>6</v>
      </c>
      <c r="J200" s="4">
        <v>1200</v>
      </c>
      <c r="K200" s="6">
        <v>0.05</v>
      </c>
      <c r="L200" s="8">
        <v>6840</v>
      </c>
      <c r="M200" s="8">
        <v>4320</v>
      </c>
      <c r="N200" s="8">
        <v>2520</v>
      </c>
      <c r="O200" s="8">
        <f>SalesData[[#This Row],[Quantity]]*SalesData[[#This Row],[Unit Price]]*(1-SalesData[[#This Row],[Discount]])</f>
        <v>6840</v>
      </c>
      <c r="P200" s="8">
        <f>SalesData[[#This Row],[Sales_Check]]-SalesData[[#This Row],[Cost]]</f>
        <v>2520</v>
      </c>
      <c r="Q200" s="13">
        <f>IFERROR(SalesData[[#This Row],[Profit]]/SalesData[[#This Row],[Sales]],0)</f>
        <v>0.36842105263157893</v>
      </c>
      <c r="R200" t="str">
        <f>TEXT(SalesData[[#This Row],[Order Date]],"mmm-yyyy")</f>
        <v>Nov-2025</v>
      </c>
      <c r="S200">
        <f>YEAR(SalesData[[#This Row],[Order Date]])</f>
        <v>2025</v>
      </c>
      <c r="T200" t="str">
        <f>IF(SalesData[[#This Row],[Profit Margin]]&gt;=30%,"High",IF(SalesData[[#This Row],[Profit Margin]]&gt;=15%,"Medium","Low"))</f>
        <v>High</v>
      </c>
    </row>
    <row r="201" spans="1:20" x14ac:dyDescent="0.35">
      <c r="A201" t="s">
        <v>463</v>
      </c>
      <c r="B201" s="23" t="s">
        <v>461</v>
      </c>
      <c r="C201" t="s">
        <v>464</v>
      </c>
      <c r="D201" t="s">
        <v>25</v>
      </c>
      <c r="E201" t="s">
        <v>69</v>
      </c>
      <c r="F201" t="s">
        <v>37</v>
      </c>
      <c r="G201" t="s">
        <v>38</v>
      </c>
      <c r="H201" t="s">
        <v>29</v>
      </c>
      <c r="I201">
        <v>2</v>
      </c>
      <c r="J201" s="4">
        <v>350</v>
      </c>
      <c r="K201" s="6">
        <v>0</v>
      </c>
      <c r="L201" s="8">
        <v>700</v>
      </c>
      <c r="M201" s="8">
        <v>360</v>
      </c>
      <c r="N201" s="8">
        <v>340</v>
      </c>
      <c r="O201" s="8">
        <f>SalesData[[#This Row],[Quantity]]*SalesData[[#This Row],[Unit Price]]*(1-SalesData[[#This Row],[Discount]])</f>
        <v>700</v>
      </c>
      <c r="P201" s="8">
        <f>SalesData[[#This Row],[Sales_Check]]-SalesData[[#This Row],[Cost]]</f>
        <v>340</v>
      </c>
      <c r="Q201" s="13">
        <f>IFERROR(SalesData[[#This Row],[Profit]]/SalesData[[#This Row],[Sales]],0)</f>
        <v>0.48571428571428571</v>
      </c>
      <c r="R201" t="str">
        <f>TEXT(SalesData[[#This Row],[Order Date]],"mmm-yyyy")</f>
        <v>Nov-2025</v>
      </c>
      <c r="S201">
        <f>YEAR(SalesData[[#This Row],[Order Date]])</f>
        <v>2025</v>
      </c>
      <c r="T201" t="str">
        <f>IF(SalesData[[#This Row],[Profit Margin]]&gt;=30%,"High",IF(SalesData[[#This Row],[Profit Margin]]&gt;=15%,"Medium","Low"))</f>
        <v>High</v>
      </c>
    </row>
    <row r="202" spans="1:20" x14ac:dyDescent="0.35">
      <c r="A202" t="s">
        <v>465</v>
      </c>
      <c r="B202" s="23" t="s">
        <v>466</v>
      </c>
      <c r="C202" t="s">
        <v>96</v>
      </c>
      <c r="D202" t="s">
        <v>54</v>
      </c>
      <c r="E202" t="s">
        <v>107</v>
      </c>
      <c r="F202" t="s">
        <v>45</v>
      </c>
      <c r="G202" t="s">
        <v>104</v>
      </c>
      <c r="H202" t="s">
        <v>33</v>
      </c>
      <c r="I202">
        <v>2</v>
      </c>
      <c r="J202" s="4">
        <v>120</v>
      </c>
      <c r="K202" s="6">
        <v>0</v>
      </c>
      <c r="L202" s="8">
        <v>240</v>
      </c>
      <c r="M202" s="8">
        <v>110</v>
      </c>
      <c r="N202" s="8">
        <v>130</v>
      </c>
      <c r="O202" s="8">
        <f>SalesData[[#This Row],[Quantity]]*SalesData[[#This Row],[Unit Price]]*(1-SalesData[[#This Row],[Discount]])</f>
        <v>240</v>
      </c>
      <c r="P202" s="8">
        <f>SalesData[[#This Row],[Sales_Check]]-SalesData[[#This Row],[Cost]]</f>
        <v>130</v>
      </c>
      <c r="Q202" s="13">
        <f>IFERROR(SalesData[[#This Row],[Profit]]/SalesData[[#This Row],[Sales]],0)</f>
        <v>0.54166666666666663</v>
      </c>
      <c r="R202" t="str">
        <f>TEXT(SalesData[[#This Row],[Order Date]],"mmm-yyyy")</f>
        <v>Nov-2025</v>
      </c>
      <c r="S202">
        <f>YEAR(SalesData[[#This Row],[Order Date]])</f>
        <v>2025</v>
      </c>
      <c r="T202" t="str">
        <f>IF(SalesData[[#This Row],[Profit Margin]]&gt;=30%,"High",IF(SalesData[[#This Row],[Profit Margin]]&gt;=15%,"Medium","Low"))</f>
        <v>High</v>
      </c>
    </row>
    <row r="203" spans="1:20" x14ac:dyDescent="0.35">
      <c r="A203" t="s">
        <v>467</v>
      </c>
      <c r="B203" s="23" t="s">
        <v>466</v>
      </c>
      <c r="C203" t="s">
        <v>53</v>
      </c>
      <c r="D203" t="s">
        <v>54</v>
      </c>
      <c r="E203" t="s">
        <v>110</v>
      </c>
      <c r="F203" t="s">
        <v>37</v>
      </c>
      <c r="G203" t="s">
        <v>38</v>
      </c>
      <c r="H203" t="s">
        <v>33</v>
      </c>
      <c r="I203">
        <v>7</v>
      </c>
      <c r="J203" s="4">
        <v>280</v>
      </c>
      <c r="K203" s="6">
        <v>0.1</v>
      </c>
      <c r="L203" s="8">
        <v>1764</v>
      </c>
      <c r="M203" s="8">
        <v>1050</v>
      </c>
      <c r="N203" s="8">
        <v>714</v>
      </c>
      <c r="O203" s="8">
        <f>SalesData[[#This Row],[Quantity]]*SalesData[[#This Row],[Unit Price]]*(1-SalesData[[#This Row],[Discount]])</f>
        <v>1764</v>
      </c>
      <c r="P203" s="8">
        <f>SalesData[[#This Row],[Sales_Check]]-SalesData[[#This Row],[Cost]]</f>
        <v>714</v>
      </c>
      <c r="Q203" s="13">
        <f>IFERROR(SalesData[[#This Row],[Profit]]/SalesData[[#This Row],[Sales]],0)</f>
        <v>0.40476190476190477</v>
      </c>
      <c r="R203" t="str">
        <f>TEXT(SalesData[[#This Row],[Order Date]],"mmm-yyyy")</f>
        <v>Nov-2025</v>
      </c>
      <c r="S203">
        <f>YEAR(SalesData[[#This Row],[Order Date]])</f>
        <v>2025</v>
      </c>
      <c r="T203" t="str">
        <f>IF(SalesData[[#This Row],[Profit Margin]]&gt;=30%,"High",IF(SalesData[[#This Row],[Profit Margin]]&gt;=15%,"Medium","Low"))</f>
        <v>High</v>
      </c>
    </row>
    <row r="204" spans="1:20" x14ac:dyDescent="0.35">
      <c r="A204" t="s">
        <v>468</v>
      </c>
      <c r="B204" s="23" t="s">
        <v>466</v>
      </c>
      <c r="C204" t="s">
        <v>287</v>
      </c>
      <c r="D204" t="s">
        <v>17</v>
      </c>
      <c r="E204" t="s">
        <v>124</v>
      </c>
      <c r="F204" t="s">
        <v>37</v>
      </c>
      <c r="G204" t="s">
        <v>73</v>
      </c>
      <c r="H204" t="s">
        <v>33</v>
      </c>
      <c r="I204">
        <v>9</v>
      </c>
      <c r="J204" s="4">
        <v>1200</v>
      </c>
      <c r="K204" s="6">
        <v>0</v>
      </c>
      <c r="L204" s="8">
        <v>10800</v>
      </c>
      <c r="M204" s="8">
        <v>6480</v>
      </c>
      <c r="N204" s="8">
        <v>4320</v>
      </c>
      <c r="O204" s="8">
        <f>SalesData[[#This Row],[Quantity]]*SalesData[[#This Row],[Unit Price]]*(1-SalesData[[#This Row],[Discount]])</f>
        <v>10800</v>
      </c>
      <c r="P204" s="8">
        <f>SalesData[[#This Row],[Sales_Check]]-SalesData[[#This Row],[Cost]]</f>
        <v>4320</v>
      </c>
      <c r="Q204" s="13">
        <f>IFERROR(SalesData[[#This Row],[Profit]]/SalesData[[#This Row],[Sales]],0)</f>
        <v>0.4</v>
      </c>
      <c r="R204" t="str">
        <f>TEXT(SalesData[[#This Row],[Order Date]],"mmm-yyyy")</f>
        <v>Nov-2025</v>
      </c>
      <c r="S204">
        <f>YEAR(SalesData[[#This Row],[Order Date]])</f>
        <v>2025</v>
      </c>
      <c r="T204" t="str">
        <f>IF(SalesData[[#This Row],[Profit Margin]]&gt;=30%,"High",IF(SalesData[[#This Row],[Profit Margin]]&gt;=15%,"Medium","Low"))</f>
        <v>High</v>
      </c>
    </row>
    <row r="205" spans="1:20" x14ac:dyDescent="0.35">
      <c r="A205" t="s">
        <v>469</v>
      </c>
      <c r="B205" s="23" t="s">
        <v>466</v>
      </c>
      <c r="C205" t="s">
        <v>457</v>
      </c>
      <c r="D205" t="s">
        <v>25</v>
      </c>
      <c r="E205" t="s">
        <v>36</v>
      </c>
      <c r="F205" t="s">
        <v>27</v>
      </c>
      <c r="G205" t="s">
        <v>90</v>
      </c>
      <c r="H205" t="s">
        <v>47</v>
      </c>
      <c r="I205">
        <v>5</v>
      </c>
      <c r="J205" s="4">
        <v>700</v>
      </c>
      <c r="K205" s="6">
        <v>0</v>
      </c>
      <c r="L205" s="8">
        <v>3500</v>
      </c>
      <c r="M205" s="8">
        <v>2000</v>
      </c>
      <c r="N205" s="8">
        <v>1500</v>
      </c>
      <c r="O205" s="8">
        <f>SalesData[[#This Row],[Quantity]]*SalesData[[#This Row],[Unit Price]]*(1-SalesData[[#This Row],[Discount]])</f>
        <v>3500</v>
      </c>
      <c r="P205" s="8">
        <f>SalesData[[#This Row],[Sales_Check]]-SalesData[[#This Row],[Cost]]</f>
        <v>1500</v>
      </c>
      <c r="Q205" s="13">
        <f>IFERROR(SalesData[[#This Row],[Profit]]/SalesData[[#This Row],[Sales]],0)</f>
        <v>0.42857142857142855</v>
      </c>
      <c r="R205" t="str">
        <f>TEXT(SalesData[[#This Row],[Order Date]],"mmm-yyyy")</f>
        <v>Nov-2025</v>
      </c>
      <c r="S205">
        <f>YEAR(SalesData[[#This Row],[Order Date]])</f>
        <v>2025</v>
      </c>
      <c r="T205" t="str">
        <f>IF(SalesData[[#This Row],[Profit Margin]]&gt;=30%,"High",IF(SalesData[[#This Row],[Profit Margin]]&gt;=15%,"Medium","Low"))</f>
        <v>High</v>
      </c>
    </row>
    <row r="206" spans="1:20" x14ac:dyDescent="0.35">
      <c r="A206" t="s">
        <v>470</v>
      </c>
      <c r="B206" s="23" t="s">
        <v>471</v>
      </c>
      <c r="C206" t="s">
        <v>306</v>
      </c>
      <c r="D206" t="s">
        <v>25</v>
      </c>
      <c r="E206" t="s">
        <v>36</v>
      </c>
      <c r="F206" t="s">
        <v>45</v>
      </c>
      <c r="G206" t="s">
        <v>122</v>
      </c>
      <c r="H206" t="s">
        <v>29</v>
      </c>
      <c r="I206">
        <v>8</v>
      </c>
      <c r="J206" s="4">
        <v>700</v>
      </c>
      <c r="K206" s="6">
        <v>0</v>
      </c>
      <c r="L206" s="8">
        <v>5600</v>
      </c>
      <c r="M206" s="8">
        <v>3200</v>
      </c>
      <c r="N206" s="8">
        <v>2400</v>
      </c>
      <c r="O206" s="8">
        <f>SalesData[[#This Row],[Quantity]]*SalesData[[#This Row],[Unit Price]]*(1-SalesData[[#This Row],[Discount]])</f>
        <v>5600</v>
      </c>
      <c r="P206" s="8">
        <f>SalesData[[#This Row],[Sales_Check]]-SalesData[[#This Row],[Cost]]</f>
        <v>2400</v>
      </c>
      <c r="Q206" s="13">
        <f>IFERROR(SalesData[[#This Row],[Profit]]/SalesData[[#This Row],[Sales]],0)</f>
        <v>0.42857142857142855</v>
      </c>
      <c r="R206" t="str">
        <f>TEXT(SalesData[[#This Row],[Order Date]],"mmm-yyyy")</f>
        <v>Nov-2025</v>
      </c>
      <c r="S206">
        <f>YEAR(SalesData[[#This Row],[Order Date]])</f>
        <v>2025</v>
      </c>
      <c r="T206" t="str">
        <f>IF(SalesData[[#This Row],[Profit Margin]]&gt;=30%,"High",IF(SalesData[[#This Row],[Profit Margin]]&gt;=15%,"Medium","Low"))</f>
        <v>High</v>
      </c>
    </row>
    <row r="207" spans="1:20" x14ac:dyDescent="0.35">
      <c r="A207" t="s">
        <v>472</v>
      </c>
      <c r="B207" s="23" t="s">
        <v>471</v>
      </c>
      <c r="C207" t="s">
        <v>473</v>
      </c>
      <c r="D207" t="s">
        <v>17</v>
      </c>
      <c r="E207" t="s">
        <v>50</v>
      </c>
      <c r="F207" t="s">
        <v>19</v>
      </c>
      <c r="G207" t="s">
        <v>215</v>
      </c>
      <c r="H207" t="s">
        <v>29</v>
      </c>
      <c r="I207">
        <v>8</v>
      </c>
      <c r="J207" s="4">
        <v>650</v>
      </c>
      <c r="K207" s="6">
        <v>0</v>
      </c>
      <c r="L207" s="8">
        <v>5200</v>
      </c>
      <c r="M207" s="8">
        <v>3040</v>
      </c>
      <c r="N207" s="8">
        <v>2160</v>
      </c>
      <c r="O207" s="8">
        <f>SalesData[[#This Row],[Quantity]]*SalesData[[#This Row],[Unit Price]]*(1-SalesData[[#This Row],[Discount]])</f>
        <v>5200</v>
      </c>
      <c r="P207" s="8">
        <f>SalesData[[#This Row],[Sales_Check]]-SalesData[[#This Row],[Cost]]</f>
        <v>2160</v>
      </c>
      <c r="Q207" s="13">
        <f>IFERROR(SalesData[[#This Row],[Profit]]/SalesData[[#This Row],[Sales]],0)</f>
        <v>0.41538461538461541</v>
      </c>
      <c r="R207" t="str">
        <f>TEXT(SalesData[[#This Row],[Order Date]],"mmm-yyyy")</f>
        <v>Nov-2025</v>
      </c>
      <c r="S207">
        <f>YEAR(SalesData[[#This Row],[Order Date]])</f>
        <v>2025</v>
      </c>
      <c r="T207" t="str">
        <f>IF(SalesData[[#This Row],[Profit Margin]]&gt;=30%,"High",IF(SalesData[[#This Row],[Profit Margin]]&gt;=15%,"Medium","Low"))</f>
        <v>High</v>
      </c>
    </row>
    <row r="208" spans="1:20" x14ac:dyDescent="0.35">
      <c r="A208" t="s">
        <v>474</v>
      </c>
      <c r="B208" s="23" t="s">
        <v>475</v>
      </c>
      <c r="C208" t="s">
        <v>294</v>
      </c>
      <c r="D208" t="s">
        <v>54</v>
      </c>
      <c r="E208" t="s">
        <v>107</v>
      </c>
      <c r="F208" t="s">
        <v>27</v>
      </c>
      <c r="G208" t="s">
        <v>28</v>
      </c>
      <c r="H208" t="s">
        <v>33</v>
      </c>
      <c r="I208">
        <v>2</v>
      </c>
      <c r="J208" s="4">
        <v>120</v>
      </c>
      <c r="K208" s="6">
        <v>0</v>
      </c>
      <c r="L208" s="8">
        <v>240</v>
      </c>
      <c r="M208" s="8">
        <v>110</v>
      </c>
      <c r="N208" s="8">
        <v>130</v>
      </c>
      <c r="O208" s="8">
        <f>SalesData[[#This Row],[Quantity]]*SalesData[[#This Row],[Unit Price]]*(1-SalesData[[#This Row],[Discount]])</f>
        <v>240</v>
      </c>
      <c r="P208" s="8">
        <f>SalesData[[#This Row],[Sales_Check]]-SalesData[[#This Row],[Cost]]</f>
        <v>130</v>
      </c>
      <c r="Q208" s="13">
        <f>IFERROR(SalesData[[#This Row],[Profit]]/SalesData[[#This Row],[Sales]],0)</f>
        <v>0.54166666666666663</v>
      </c>
      <c r="R208" t="str">
        <f>TEXT(SalesData[[#This Row],[Order Date]],"mmm-yyyy")</f>
        <v>Nov-2025</v>
      </c>
      <c r="S208">
        <f>YEAR(SalesData[[#This Row],[Order Date]])</f>
        <v>2025</v>
      </c>
      <c r="T208" t="str">
        <f>IF(SalesData[[#This Row],[Profit Margin]]&gt;=30%,"High",IF(SalesData[[#This Row],[Profit Margin]]&gt;=15%,"Medium","Low"))</f>
        <v>High</v>
      </c>
    </row>
    <row r="209" spans="1:20" x14ac:dyDescent="0.35">
      <c r="A209" t="s">
        <v>476</v>
      </c>
      <c r="B209" s="23" t="s">
        <v>475</v>
      </c>
      <c r="C209" t="s">
        <v>477</v>
      </c>
      <c r="D209" t="s">
        <v>54</v>
      </c>
      <c r="E209" t="s">
        <v>110</v>
      </c>
      <c r="F209" t="s">
        <v>37</v>
      </c>
      <c r="G209" t="s">
        <v>97</v>
      </c>
      <c r="H209" t="s">
        <v>33</v>
      </c>
      <c r="I209">
        <v>1</v>
      </c>
      <c r="J209" s="4">
        <v>280</v>
      </c>
      <c r="K209" s="6">
        <v>0</v>
      </c>
      <c r="L209" s="8">
        <v>280</v>
      </c>
      <c r="M209" s="8">
        <v>150</v>
      </c>
      <c r="N209" s="8">
        <v>130</v>
      </c>
      <c r="O209" s="8">
        <f>SalesData[[#This Row],[Quantity]]*SalesData[[#This Row],[Unit Price]]*(1-SalesData[[#This Row],[Discount]])</f>
        <v>280</v>
      </c>
      <c r="P209" s="8">
        <f>SalesData[[#This Row],[Sales_Check]]-SalesData[[#This Row],[Cost]]</f>
        <v>130</v>
      </c>
      <c r="Q209" s="13">
        <f>IFERROR(SalesData[[#This Row],[Profit]]/SalesData[[#This Row],[Sales]],0)</f>
        <v>0.4642857142857143</v>
      </c>
      <c r="R209" t="str">
        <f>TEXT(SalesData[[#This Row],[Order Date]],"mmm-yyyy")</f>
        <v>Nov-2025</v>
      </c>
      <c r="S209">
        <f>YEAR(SalesData[[#This Row],[Order Date]])</f>
        <v>2025</v>
      </c>
      <c r="T209" t="str">
        <f>IF(SalesData[[#This Row],[Profit Margin]]&gt;=30%,"High",IF(SalesData[[#This Row],[Profit Margin]]&gt;=15%,"Medium","Low"))</f>
        <v>High</v>
      </c>
    </row>
    <row r="210" spans="1:20" x14ac:dyDescent="0.35">
      <c r="A210" t="s">
        <v>478</v>
      </c>
      <c r="B210" s="23" t="s">
        <v>475</v>
      </c>
      <c r="C210" t="s">
        <v>88</v>
      </c>
      <c r="D210" t="s">
        <v>25</v>
      </c>
      <c r="E210" t="s">
        <v>89</v>
      </c>
      <c r="F210" t="s">
        <v>19</v>
      </c>
      <c r="G210" t="s">
        <v>113</v>
      </c>
      <c r="H210" t="s">
        <v>33</v>
      </c>
      <c r="I210">
        <v>9</v>
      </c>
      <c r="J210" s="4">
        <v>550</v>
      </c>
      <c r="K210" s="6">
        <v>0.15</v>
      </c>
      <c r="L210" s="8">
        <v>4207.5</v>
      </c>
      <c r="M210" s="8">
        <v>2700</v>
      </c>
      <c r="N210" s="8">
        <v>1507.5</v>
      </c>
      <c r="O210" s="8">
        <f>SalesData[[#This Row],[Quantity]]*SalesData[[#This Row],[Unit Price]]*(1-SalesData[[#This Row],[Discount]])</f>
        <v>4207.5</v>
      </c>
      <c r="P210" s="8">
        <f>SalesData[[#This Row],[Sales_Check]]-SalesData[[#This Row],[Cost]]</f>
        <v>1507.5</v>
      </c>
      <c r="Q210" s="13">
        <f>IFERROR(SalesData[[#This Row],[Profit]]/SalesData[[#This Row],[Sales]],0)</f>
        <v>0.35828877005347592</v>
      </c>
      <c r="R210" t="str">
        <f>TEXT(SalesData[[#This Row],[Order Date]],"mmm-yyyy")</f>
        <v>Nov-2025</v>
      </c>
      <c r="S210">
        <f>YEAR(SalesData[[#This Row],[Order Date]])</f>
        <v>2025</v>
      </c>
      <c r="T210" t="str">
        <f>IF(SalesData[[#This Row],[Profit Margin]]&gt;=30%,"High",IF(SalesData[[#This Row],[Profit Margin]]&gt;=15%,"Medium","Low"))</f>
        <v>High</v>
      </c>
    </row>
    <row r="211" spans="1:20" x14ac:dyDescent="0.35">
      <c r="A211" t="s">
        <v>479</v>
      </c>
      <c r="B211" s="23" t="s">
        <v>480</v>
      </c>
      <c r="C211" t="s">
        <v>96</v>
      </c>
      <c r="D211" t="s">
        <v>17</v>
      </c>
      <c r="E211" t="s">
        <v>32</v>
      </c>
      <c r="F211" t="s">
        <v>45</v>
      </c>
      <c r="G211" t="s">
        <v>122</v>
      </c>
      <c r="H211" t="s">
        <v>33</v>
      </c>
      <c r="I211">
        <v>2</v>
      </c>
      <c r="J211" s="4">
        <v>1500</v>
      </c>
      <c r="K211" s="6">
        <v>0.1</v>
      </c>
      <c r="L211" s="8">
        <v>2700</v>
      </c>
      <c r="M211" s="8">
        <v>1800</v>
      </c>
      <c r="N211" s="8">
        <v>900</v>
      </c>
      <c r="O211" s="8">
        <f>SalesData[[#This Row],[Quantity]]*SalesData[[#This Row],[Unit Price]]*(1-SalesData[[#This Row],[Discount]])</f>
        <v>2700</v>
      </c>
      <c r="P211" s="8">
        <f>SalesData[[#This Row],[Sales_Check]]-SalesData[[#This Row],[Cost]]</f>
        <v>900</v>
      </c>
      <c r="Q211" s="13">
        <f>IFERROR(SalesData[[#This Row],[Profit]]/SalesData[[#This Row],[Sales]],0)</f>
        <v>0.33333333333333331</v>
      </c>
      <c r="R211" t="str">
        <f>TEXT(SalesData[[#This Row],[Order Date]],"mmm-yyyy")</f>
        <v>Nov-2025</v>
      </c>
      <c r="S211">
        <f>YEAR(SalesData[[#This Row],[Order Date]])</f>
        <v>2025</v>
      </c>
      <c r="T211" t="str">
        <f>IF(SalesData[[#This Row],[Profit Margin]]&gt;=30%,"High",IF(SalesData[[#This Row],[Profit Margin]]&gt;=15%,"Medium","Low"))</f>
        <v>High</v>
      </c>
    </row>
    <row r="212" spans="1:20" x14ac:dyDescent="0.35">
      <c r="A212" t="s">
        <v>481</v>
      </c>
      <c r="B212" s="23" t="s">
        <v>482</v>
      </c>
      <c r="C212" t="s">
        <v>205</v>
      </c>
      <c r="D212" t="s">
        <v>43</v>
      </c>
      <c r="E212" t="s">
        <v>143</v>
      </c>
      <c r="F212" t="s">
        <v>27</v>
      </c>
      <c r="G212" t="s">
        <v>90</v>
      </c>
      <c r="H212" t="s">
        <v>21</v>
      </c>
      <c r="I212">
        <v>6</v>
      </c>
      <c r="J212" s="4">
        <v>650</v>
      </c>
      <c r="K212" s="6">
        <v>0.05</v>
      </c>
      <c r="L212" s="8">
        <v>3705</v>
      </c>
      <c r="M212" s="8">
        <v>2100</v>
      </c>
      <c r="N212" s="8">
        <v>1605</v>
      </c>
      <c r="O212" s="8">
        <f>SalesData[[#This Row],[Quantity]]*SalesData[[#This Row],[Unit Price]]*(1-SalesData[[#This Row],[Discount]])</f>
        <v>3705</v>
      </c>
      <c r="P212" s="8">
        <f>SalesData[[#This Row],[Sales_Check]]-SalesData[[#This Row],[Cost]]</f>
        <v>1605</v>
      </c>
      <c r="Q212" s="13">
        <f>IFERROR(SalesData[[#This Row],[Profit]]/SalesData[[#This Row],[Sales]],0)</f>
        <v>0.4331983805668016</v>
      </c>
      <c r="R212" t="str">
        <f>TEXT(SalesData[[#This Row],[Order Date]],"mmm-yyyy")</f>
        <v>Nov-2025</v>
      </c>
      <c r="S212">
        <f>YEAR(SalesData[[#This Row],[Order Date]])</f>
        <v>2025</v>
      </c>
      <c r="T212" t="str">
        <f>IF(SalesData[[#This Row],[Profit Margin]]&gt;=30%,"High",IF(SalesData[[#This Row],[Profit Margin]]&gt;=15%,"Medium","Low"))</f>
        <v>High</v>
      </c>
    </row>
    <row r="213" spans="1:20" x14ac:dyDescent="0.35">
      <c r="A213" t="s">
        <v>483</v>
      </c>
      <c r="B213" s="23" t="s">
        <v>482</v>
      </c>
      <c r="C213" t="s">
        <v>189</v>
      </c>
      <c r="D213" t="s">
        <v>43</v>
      </c>
      <c r="E213" t="s">
        <v>143</v>
      </c>
      <c r="F213" t="s">
        <v>19</v>
      </c>
      <c r="G213" t="s">
        <v>215</v>
      </c>
      <c r="H213" t="s">
        <v>47</v>
      </c>
      <c r="I213">
        <v>9</v>
      </c>
      <c r="J213" s="4">
        <v>650</v>
      </c>
      <c r="K213" s="6">
        <v>0.05</v>
      </c>
      <c r="L213" s="8">
        <v>5557.5</v>
      </c>
      <c r="M213" s="8">
        <v>3150</v>
      </c>
      <c r="N213" s="8">
        <v>2407.5</v>
      </c>
      <c r="O213" s="8">
        <f>SalesData[[#This Row],[Quantity]]*SalesData[[#This Row],[Unit Price]]*(1-SalesData[[#This Row],[Discount]])</f>
        <v>5557.5</v>
      </c>
      <c r="P213" s="8">
        <f>SalesData[[#This Row],[Sales_Check]]-SalesData[[#This Row],[Cost]]</f>
        <v>2407.5</v>
      </c>
      <c r="Q213" s="13">
        <f>IFERROR(SalesData[[#This Row],[Profit]]/SalesData[[#This Row],[Sales]],0)</f>
        <v>0.4331983805668016</v>
      </c>
      <c r="R213" t="str">
        <f>TEXT(SalesData[[#This Row],[Order Date]],"mmm-yyyy")</f>
        <v>Nov-2025</v>
      </c>
      <c r="S213">
        <f>YEAR(SalesData[[#This Row],[Order Date]])</f>
        <v>2025</v>
      </c>
      <c r="T213" t="str">
        <f>IF(SalesData[[#This Row],[Profit Margin]]&gt;=30%,"High",IF(SalesData[[#This Row],[Profit Margin]]&gt;=15%,"Medium","Low"))</f>
        <v>High</v>
      </c>
    </row>
    <row r="214" spans="1:20" x14ac:dyDescent="0.35">
      <c r="A214" t="s">
        <v>484</v>
      </c>
      <c r="B214" s="23" t="s">
        <v>482</v>
      </c>
      <c r="C214" t="s">
        <v>485</v>
      </c>
      <c r="D214" t="s">
        <v>17</v>
      </c>
      <c r="E214" t="s">
        <v>65</v>
      </c>
      <c r="F214" t="s">
        <v>37</v>
      </c>
      <c r="G214" t="s">
        <v>97</v>
      </c>
      <c r="H214" t="s">
        <v>39</v>
      </c>
      <c r="I214">
        <v>4</v>
      </c>
      <c r="J214" s="4">
        <v>2200</v>
      </c>
      <c r="K214" s="6">
        <v>0.05</v>
      </c>
      <c r="L214" s="8">
        <v>8360</v>
      </c>
      <c r="M214" s="8">
        <v>5600</v>
      </c>
      <c r="N214" s="8">
        <v>2760</v>
      </c>
      <c r="O214" s="8">
        <f>SalesData[[#This Row],[Quantity]]*SalesData[[#This Row],[Unit Price]]*(1-SalesData[[#This Row],[Discount]])</f>
        <v>8360</v>
      </c>
      <c r="P214" s="8">
        <f>SalesData[[#This Row],[Sales_Check]]-SalesData[[#This Row],[Cost]]</f>
        <v>2760</v>
      </c>
      <c r="Q214" s="13">
        <f>IFERROR(SalesData[[#This Row],[Profit]]/SalesData[[#This Row],[Sales]],0)</f>
        <v>0.33014354066985646</v>
      </c>
      <c r="R214" t="str">
        <f>TEXT(SalesData[[#This Row],[Order Date]],"mmm-yyyy")</f>
        <v>Nov-2025</v>
      </c>
      <c r="S214">
        <f>YEAR(SalesData[[#This Row],[Order Date]])</f>
        <v>2025</v>
      </c>
      <c r="T214" t="str">
        <f>IF(SalesData[[#This Row],[Profit Margin]]&gt;=30%,"High",IF(SalesData[[#This Row],[Profit Margin]]&gt;=15%,"Medium","Low"))</f>
        <v>High</v>
      </c>
    </row>
    <row r="215" spans="1:20" x14ac:dyDescent="0.35">
      <c r="A215" t="s">
        <v>486</v>
      </c>
      <c r="B215" s="23" t="s">
        <v>487</v>
      </c>
      <c r="C215" t="s">
        <v>189</v>
      </c>
      <c r="D215" t="s">
        <v>25</v>
      </c>
      <c r="E215" t="s">
        <v>36</v>
      </c>
      <c r="F215" t="s">
        <v>19</v>
      </c>
      <c r="G215" t="s">
        <v>20</v>
      </c>
      <c r="H215" t="s">
        <v>125</v>
      </c>
      <c r="I215">
        <v>7</v>
      </c>
      <c r="J215" s="4">
        <v>700</v>
      </c>
      <c r="K215" s="6">
        <v>0.1</v>
      </c>
      <c r="L215" s="8">
        <v>4410</v>
      </c>
      <c r="M215" s="8">
        <v>2800</v>
      </c>
      <c r="N215" s="8">
        <v>1610</v>
      </c>
      <c r="O215" s="8">
        <f>SalesData[[#This Row],[Quantity]]*SalesData[[#This Row],[Unit Price]]*(1-SalesData[[#This Row],[Discount]])</f>
        <v>4410</v>
      </c>
      <c r="P215" s="8">
        <f>SalesData[[#This Row],[Sales_Check]]-SalesData[[#This Row],[Cost]]</f>
        <v>1610</v>
      </c>
      <c r="Q215" s="13">
        <f>IFERROR(SalesData[[#This Row],[Profit]]/SalesData[[#This Row],[Sales]],0)</f>
        <v>0.36507936507936506</v>
      </c>
      <c r="R215" t="str">
        <f>TEXT(SalesData[[#This Row],[Order Date]],"mmm-yyyy")</f>
        <v>Nov-2025</v>
      </c>
      <c r="S215">
        <f>YEAR(SalesData[[#This Row],[Order Date]])</f>
        <v>2025</v>
      </c>
      <c r="T215" t="str">
        <f>IF(SalesData[[#This Row],[Profit Margin]]&gt;=30%,"High",IF(SalesData[[#This Row],[Profit Margin]]&gt;=15%,"Medium","Low"))</f>
        <v>High</v>
      </c>
    </row>
    <row r="216" spans="1:20" x14ac:dyDescent="0.35">
      <c r="A216" t="s">
        <v>488</v>
      </c>
      <c r="B216" s="23" t="s">
        <v>489</v>
      </c>
      <c r="C216" t="s">
        <v>217</v>
      </c>
      <c r="D216" t="s">
        <v>43</v>
      </c>
      <c r="E216" t="s">
        <v>250</v>
      </c>
      <c r="F216" t="s">
        <v>27</v>
      </c>
      <c r="G216" t="s">
        <v>51</v>
      </c>
      <c r="H216" t="s">
        <v>39</v>
      </c>
      <c r="I216">
        <v>8</v>
      </c>
      <c r="J216" s="4">
        <v>900</v>
      </c>
      <c r="K216" s="6">
        <v>0</v>
      </c>
      <c r="L216" s="8">
        <v>7200</v>
      </c>
      <c r="M216" s="8">
        <v>4160</v>
      </c>
      <c r="N216" s="8">
        <v>3040</v>
      </c>
      <c r="O216" s="8">
        <f>SalesData[[#This Row],[Quantity]]*SalesData[[#This Row],[Unit Price]]*(1-SalesData[[#This Row],[Discount]])</f>
        <v>7200</v>
      </c>
      <c r="P216" s="8">
        <f>SalesData[[#This Row],[Sales_Check]]-SalesData[[#This Row],[Cost]]</f>
        <v>3040</v>
      </c>
      <c r="Q216" s="13">
        <f>IFERROR(SalesData[[#This Row],[Profit]]/SalesData[[#This Row],[Sales]],0)</f>
        <v>0.42222222222222222</v>
      </c>
      <c r="R216" t="str">
        <f>TEXT(SalesData[[#This Row],[Order Date]],"mmm-yyyy")</f>
        <v>Nov-2025</v>
      </c>
      <c r="S216">
        <f>YEAR(SalesData[[#This Row],[Order Date]])</f>
        <v>2025</v>
      </c>
      <c r="T216" t="str">
        <f>IF(SalesData[[#This Row],[Profit Margin]]&gt;=30%,"High",IF(SalesData[[#This Row],[Profit Margin]]&gt;=15%,"Medium","Low"))</f>
        <v>High</v>
      </c>
    </row>
    <row r="217" spans="1:20" x14ac:dyDescent="0.35">
      <c r="A217" t="s">
        <v>490</v>
      </c>
      <c r="B217" s="23" t="s">
        <v>489</v>
      </c>
      <c r="C217" t="s">
        <v>446</v>
      </c>
      <c r="D217" t="s">
        <v>17</v>
      </c>
      <c r="E217" t="s">
        <v>124</v>
      </c>
      <c r="F217" t="s">
        <v>37</v>
      </c>
      <c r="G217" t="s">
        <v>38</v>
      </c>
      <c r="H217" t="s">
        <v>125</v>
      </c>
      <c r="I217">
        <v>6</v>
      </c>
      <c r="J217" s="4">
        <v>1200</v>
      </c>
      <c r="K217" s="6">
        <v>0.05</v>
      </c>
      <c r="L217" s="8">
        <v>6840</v>
      </c>
      <c r="M217" s="8">
        <v>4320</v>
      </c>
      <c r="N217" s="8">
        <v>2520</v>
      </c>
      <c r="O217" s="8">
        <f>SalesData[[#This Row],[Quantity]]*SalesData[[#This Row],[Unit Price]]*(1-SalesData[[#This Row],[Discount]])</f>
        <v>6840</v>
      </c>
      <c r="P217" s="8">
        <f>SalesData[[#This Row],[Sales_Check]]-SalesData[[#This Row],[Cost]]</f>
        <v>2520</v>
      </c>
      <c r="Q217" s="13">
        <f>IFERROR(SalesData[[#This Row],[Profit]]/SalesData[[#This Row],[Sales]],0)</f>
        <v>0.36842105263157893</v>
      </c>
      <c r="R217" t="str">
        <f>TEXT(SalesData[[#This Row],[Order Date]],"mmm-yyyy")</f>
        <v>Nov-2025</v>
      </c>
      <c r="S217">
        <f>YEAR(SalesData[[#This Row],[Order Date]])</f>
        <v>2025</v>
      </c>
      <c r="T217" t="str">
        <f>IF(SalesData[[#This Row],[Profit Margin]]&gt;=30%,"High",IF(SalesData[[#This Row],[Profit Margin]]&gt;=15%,"Medium","Low"))</f>
        <v>High</v>
      </c>
    </row>
    <row r="218" spans="1:20" x14ac:dyDescent="0.35">
      <c r="A218" t="s">
        <v>491</v>
      </c>
      <c r="B218" s="23" t="s">
        <v>489</v>
      </c>
      <c r="C218" t="s">
        <v>119</v>
      </c>
      <c r="D218" t="s">
        <v>17</v>
      </c>
      <c r="E218" t="s">
        <v>18</v>
      </c>
      <c r="F218" t="s">
        <v>37</v>
      </c>
      <c r="G218" t="s">
        <v>73</v>
      </c>
      <c r="H218" t="s">
        <v>21</v>
      </c>
      <c r="I218">
        <v>7</v>
      </c>
      <c r="J218" s="4">
        <v>1800</v>
      </c>
      <c r="K218" s="6">
        <v>0</v>
      </c>
      <c r="L218" s="8">
        <v>12600</v>
      </c>
      <c r="M218" s="8">
        <v>7700</v>
      </c>
      <c r="N218" s="8">
        <v>4900</v>
      </c>
      <c r="O218" s="8">
        <f>SalesData[[#This Row],[Quantity]]*SalesData[[#This Row],[Unit Price]]*(1-SalesData[[#This Row],[Discount]])</f>
        <v>12600</v>
      </c>
      <c r="P218" s="8">
        <f>SalesData[[#This Row],[Sales_Check]]-SalesData[[#This Row],[Cost]]</f>
        <v>4900</v>
      </c>
      <c r="Q218" s="13">
        <f>IFERROR(SalesData[[#This Row],[Profit]]/SalesData[[#This Row],[Sales]],0)</f>
        <v>0.3888888888888889</v>
      </c>
      <c r="R218" t="str">
        <f>TEXT(SalesData[[#This Row],[Order Date]],"mmm-yyyy")</f>
        <v>Nov-2025</v>
      </c>
      <c r="S218">
        <f>YEAR(SalesData[[#This Row],[Order Date]])</f>
        <v>2025</v>
      </c>
      <c r="T218" t="str">
        <f>IF(SalesData[[#This Row],[Profit Margin]]&gt;=30%,"High",IF(SalesData[[#This Row],[Profit Margin]]&gt;=15%,"Medium","Low"))</f>
        <v>High</v>
      </c>
    </row>
    <row r="219" spans="1:20" x14ac:dyDescent="0.35">
      <c r="A219" t="s">
        <v>492</v>
      </c>
      <c r="B219" s="23" t="s">
        <v>493</v>
      </c>
      <c r="C219" t="s">
        <v>494</v>
      </c>
      <c r="D219" t="s">
        <v>43</v>
      </c>
      <c r="E219" t="s">
        <v>44</v>
      </c>
      <c r="F219" t="s">
        <v>27</v>
      </c>
      <c r="G219" t="s">
        <v>85</v>
      </c>
      <c r="H219" t="s">
        <v>125</v>
      </c>
      <c r="I219">
        <v>3</v>
      </c>
      <c r="J219" s="4">
        <v>2200</v>
      </c>
      <c r="K219" s="6">
        <v>0.1</v>
      </c>
      <c r="L219" s="8">
        <v>5940</v>
      </c>
      <c r="M219" s="8">
        <v>4350</v>
      </c>
      <c r="N219" s="8">
        <v>1590</v>
      </c>
      <c r="O219" s="8">
        <f>SalesData[[#This Row],[Quantity]]*SalesData[[#This Row],[Unit Price]]*(1-SalesData[[#This Row],[Discount]])</f>
        <v>5940</v>
      </c>
      <c r="P219" s="8">
        <f>SalesData[[#This Row],[Sales_Check]]-SalesData[[#This Row],[Cost]]</f>
        <v>1590</v>
      </c>
      <c r="Q219" s="13">
        <f>IFERROR(SalesData[[#This Row],[Profit]]/SalesData[[#This Row],[Sales]],0)</f>
        <v>0.26767676767676768</v>
      </c>
      <c r="R219" t="str">
        <f>TEXT(SalesData[[#This Row],[Order Date]],"mmm-yyyy")</f>
        <v>Nov-2025</v>
      </c>
      <c r="S219">
        <f>YEAR(SalesData[[#This Row],[Order Date]])</f>
        <v>2025</v>
      </c>
      <c r="T219" t="str">
        <f>IF(SalesData[[#This Row],[Profit Margin]]&gt;=30%,"High",IF(SalesData[[#This Row],[Profit Margin]]&gt;=15%,"Medium","Low"))</f>
        <v>Medium</v>
      </c>
    </row>
    <row r="220" spans="1:20" x14ac:dyDescent="0.35">
      <c r="A220" t="s">
        <v>495</v>
      </c>
      <c r="B220" s="23" t="s">
        <v>493</v>
      </c>
      <c r="C220" t="s">
        <v>53</v>
      </c>
      <c r="D220" t="s">
        <v>25</v>
      </c>
      <c r="E220" t="s">
        <v>36</v>
      </c>
      <c r="F220" t="s">
        <v>27</v>
      </c>
      <c r="G220" t="s">
        <v>51</v>
      </c>
      <c r="H220" t="s">
        <v>39</v>
      </c>
      <c r="I220">
        <v>2</v>
      </c>
      <c r="J220" s="4">
        <v>700</v>
      </c>
      <c r="K220" s="6">
        <v>0</v>
      </c>
      <c r="L220" s="8">
        <v>1400</v>
      </c>
      <c r="M220" s="8">
        <v>800</v>
      </c>
      <c r="N220" s="8">
        <v>600</v>
      </c>
      <c r="O220" s="8">
        <f>SalesData[[#This Row],[Quantity]]*SalesData[[#This Row],[Unit Price]]*(1-SalesData[[#This Row],[Discount]])</f>
        <v>1400</v>
      </c>
      <c r="P220" s="8">
        <f>SalesData[[#This Row],[Sales_Check]]-SalesData[[#This Row],[Cost]]</f>
        <v>600</v>
      </c>
      <c r="Q220" s="13">
        <f>IFERROR(SalesData[[#This Row],[Profit]]/SalesData[[#This Row],[Sales]],0)</f>
        <v>0.42857142857142855</v>
      </c>
      <c r="R220" t="str">
        <f>TEXT(SalesData[[#This Row],[Order Date]],"mmm-yyyy")</f>
        <v>Nov-2025</v>
      </c>
      <c r="S220">
        <f>YEAR(SalesData[[#This Row],[Order Date]])</f>
        <v>2025</v>
      </c>
      <c r="T220" t="str">
        <f>IF(SalesData[[#This Row],[Profit Margin]]&gt;=30%,"High",IF(SalesData[[#This Row],[Profit Margin]]&gt;=15%,"Medium","Low"))</f>
        <v>High</v>
      </c>
    </row>
    <row r="221" spans="1:20" x14ac:dyDescent="0.35">
      <c r="A221" t="s">
        <v>496</v>
      </c>
      <c r="B221" s="23" t="s">
        <v>493</v>
      </c>
      <c r="C221" t="s">
        <v>348</v>
      </c>
      <c r="D221" t="s">
        <v>43</v>
      </c>
      <c r="E221" t="s">
        <v>143</v>
      </c>
      <c r="F221" t="s">
        <v>27</v>
      </c>
      <c r="G221" t="s">
        <v>90</v>
      </c>
      <c r="H221" t="s">
        <v>39</v>
      </c>
      <c r="I221">
        <v>1</v>
      </c>
      <c r="J221" s="4">
        <v>650</v>
      </c>
      <c r="K221" s="6">
        <v>0</v>
      </c>
      <c r="L221" s="8">
        <v>650</v>
      </c>
      <c r="M221" s="8">
        <v>350</v>
      </c>
      <c r="N221" s="8">
        <v>300</v>
      </c>
      <c r="O221" s="8">
        <f>SalesData[[#This Row],[Quantity]]*SalesData[[#This Row],[Unit Price]]*(1-SalesData[[#This Row],[Discount]])</f>
        <v>650</v>
      </c>
      <c r="P221" s="8">
        <f>SalesData[[#This Row],[Sales_Check]]-SalesData[[#This Row],[Cost]]</f>
        <v>300</v>
      </c>
      <c r="Q221" s="13">
        <f>IFERROR(SalesData[[#This Row],[Profit]]/SalesData[[#This Row],[Sales]],0)</f>
        <v>0.46153846153846156</v>
      </c>
      <c r="R221" t="str">
        <f>TEXT(SalesData[[#This Row],[Order Date]],"mmm-yyyy")</f>
        <v>Nov-2025</v>
      </c>
      <c r="S221">
        <f>YEAR(SalesData[[#This Row],[Order Date]])</f>
        <v>2025</v>
      </c>
      <c r="T221" t="str">
        <f>IF(SalesData[[#This Row],[Profit Margin]]&gt;=30%,"High",IF(SalesData[[#This Row],[Profit Margin]]&gt;=15%,"Medium","Low"))</f>
        <v>High</v>
      </c>
    </row>
    <row r="222" spans="1:20" x14ac:dyDescent="0.35">
      <c r="A222" t="s">
        <v>497</v>
      </c>
      <c r="B222" s="23" t="s">
        <v>493</v>
      </c>
      <c r="C222" t="s">
        <v>112</v>
      </c>
      <c r="D222" t="s">
        <v>43</v>
      </c>
      <c r="E222" t="s">
        <v>250</v>
      </c>
      <c r="F222" t="s">
        <v>27</v>
      </c>
      <c r="G222" t="s">
        <v>51</v>
      </c>
      <c r="H222" t="s">
        <v>47</v>
      </c>
      <c r="I222">
        <v>10</v>
      </c>
      <c r="J222" s="4">
        <v>900</v>
      </c>
      <c r="K222" s="6">
        <v>0</v>
      </c>
      <c r="L222" s="8">
        <v>9000</v>
      </c>
      <c r="M222" s="8">
        <v>5200</v>
      </c>
      <c r="N222" s="8">
        <v>3800</v>
      </c>
      <c r="O222" s="8">
        <f>SalesData[[#This Row],[Quantity]]*SalesData[[#This Row],[Unit Price]]*(1-SalesData[[#This Row],[Discount]])</f>
        <v>9000</v>
      </c>
      <c r="P222" s="8">
        <f>SalesData[[#This Row],[Sales_Check]]-SalesData[[#This Row],[Cost]]</f>
        <v>3800</v>
      </c>
      <c r="Q222" s="13">
        <f>IFERROR(SalesData[[#This Row],[Profit]]/SalesData[[#This Row],[Sales]],0)</f>
        <v>0.42222222222222222</v>
      </c>
      <c r="R222" t="str">
        <f>TEXT(SalesData[[#This Row],[Order Date]],"mmm-yyyy")</f>
        <v>Nov-2025</v>
      </c>
      <c r="S222">
        <f>YEAR(SalesData[[#This Row],[Order Date]])</f>
        <v>2025</v>
      </c>
      <c r="T222" t="str">
        <f>IF(SalesData[[#This Row],[Profit Margin]]&gt;=30%,"High",IF(SalesData[[#This Row],[Profit Margin]]&gt;=15%,"Medium","Low"))</f>
        <v>High</v>
      </c>
    </row>
    <row r="223" spans="1:20" x14ac:dyDescent="0.35">
      <c r="A223" t="s">
        <v>498</v>
      </c>
      <c r="B223" s="23" t="s">
        <v>493</v>
      </c>
      <c r="C223" t="s">
        <v>16</v>
      </c>
      <c r="D223" t="s">
        <v>43</v>
      </c>
      <c r="E223" t="s">
        <v>62</v>
      </c>
      <c r="F223" t="s">
        <v>37</v>
      </c>
      <c r="G223" t="s">
        <v>73</v>
      </c>
      <c r="H223" t="s">
        <v>125</v>
      </c>
      <c r="I223">
        <v>9</v>
      </c>
      <c r="J223" s="4">
        <v>500</v>
      </c>
      <c r="K223" s="6">
        <v>0</v>
      </c>
      <c r="L223" s="8">
        <v>4500</v>
      </c>
      <c r="M223" s="8">
        <v>2520</v>
      </c>
      <c r="N223" s="8">
        <v>1980</v>
      </c>
      <c r="O223" s="8">
        <f>SalesData[[#This Row],[Quantity]]*SalesData[[#This Row],[Unit Price]]*(1-SalesData[[#This Row],[Discount]])</f>
        <v>4500</v>
      </c>
      <c r="P223" s="8">
        <f>SalesData[[#This Row],[Sales_Check]]-SalesData[[#This Row],[Cost]]</f>
        <v>1980</v>
      </c>
      <c r="Q223" s="13">
        <f>IFERROR(SalesData[[#This Row],[Profit]]/SalesData[[#This Row],[Sales]],0)</f>
        <v>0.44</v>
      </c>
      <c r="R223" t="str">
        <f>TEXT(SalesData[[#This Row],[Order Date]],"mmm-yyyy")</f>
        <v>Nov-2025</v>
      </c>
      <c r="S223">
        <f>YEAR(SalesData[[#This Row],[Order Date]])</f>
        <v>2025</v>
      </c>
      <c r="T223" t="str">
        <f>IF(SalesData[[#This Row],[Profit Margin]]&gt;=30%,"High",IF(SalesData[[#This Row],[Profit Margin]]&gt;=15%,"Medium","Low"))</f>
        <v>High</v>
      </c>
    </row>
    <row r="224" spans="1:20" x14ac:dyDescent="0.35">
      <c r="A224" t="s">
        <v>499</v>
      </c>
      <c r="B224" s="23" t="s">
        <v>493</v>
      </c>
      <c r="C224" t="s">
        <v>252</v>
      </c>
      <c r="D224" t="s">
        <v>17</v>
      </c>
      <c r="E224" t="s">
        <v>65</v>
      </c>
      <c r="F224" t="s">
        <v>45</v>
      </c>
      <c r="G224" t="s">
        <v>46</v>
      </c>
      <c r="H224" t="s">
        <v>29</v>
      </c>
      <c r="I224">
        <v>2</v>
      </c>
      <c r="J224" s="4">
        <v>2200</v>
      </c>
      <c r="K224" s="6">
        <v>0.05</v>
      </c>
      <c r="L224" s="8">
        <v>4180</v>
      </c>
      <c r="M224" s="8">
        <v>2800</v>
      </c>
      <c r="N224" s="8">
        <v>1380</v>
      </c>
      <c r="O224" s="8">
        <f>SalesData[[#This Row],[Quantity]]*SalesData[[#This Row],[Unit Price]]*(1-SalesData[[#This Row],[Discount]])</f>
        <v>4180</v>
      </c>
      <c r="P224" s="8">
        <f>SalesData[[#This Row],[Sales_Check]]-SalesData[[#This Row],[Cost]]</f>
        <v>1380</v>
      </c>
      <c r="Q224" s="13">
        <f>IFERROR(SalesData[[#This Row],[Profit]]/SalesData[[#This Row],[Sales]],0)</f>
        <v>0.33014354066985646</v>
      </c>
      <c r="R224" t="str">
        <f>TEXT(SalesData[[#This Row],[Order Date]],"mmm-yyyy")</f>
        <v>Nov-2025</v>
      </c>
      <c r="S224">
        <f>YEAR(SalesData[[#This Row],[Order Date]])</f>
        <v>2025</v>
      </c>
      <c r="T224" t="str">
        <f>IF(SalesData[[#This Row],[Profit Margin]]&gt;=30%,"High",IF(SalesData[[#This Row],[Profit Margin]]&gt;=15%,"Medium","Low"))</f>
        <v>High</v>
      </c>
    </row>
    <row r="225" spans="1:20" x14ac:dyDescent="0.35">
      <c r="A225" t="s">
        <v>500</v>
      </c>
      <c r="B225" s="23" t="s">
        <v>501</v>
      </c>
      <c r="C225" t="s">
        <v>318</v>
      </c>
      <c r="D225" t="s">
        <v>17</v>
      </c>
      <c r="E225" t="s">
        <v>18</v>
      </c>
      <c r="F225" t="s">
        <v>45</v>
      </c>
      <c r="G225" t="s">
        <v>104</v>
      </c>
      <c r="H225" t="s">
        <v>39</v>
      </c>
      <c r="I225">
        <v>8</v>
      </c>
      <c r="J225" s="4">
        <v>1800</v>
      </c>
      <c r="K225" s="6">
        <v>0</v>
      </c>
      <c r="L225" s="8">
        <v>14400</v>
      </c>
      <c r="M225" s="8">
        <v>8800</v>
      </c>
      <c r="N225" s="8">
        <v>5600</v>
      </c>
      <c r="O225" s="8">
        <f>SalesData[[#This Row],[Quantity]]*SalesData[[#This Row],[Unit Price]]*(1-SalesData[[#This Row],[Discount]])</f>
        <v>14400</v>
      </c>
      <c r="P225" s="8">
        <f>SalesData[[#This Row],[Sales_Check]]-SalesData[[#This Row],[Cost]]</f>
        <v>5600</v>
      </c>
      <c r="Q225" s="13">
        <f>IFERROR(SalesData[[#This Row],[Profit]]/SalesData[[#This Row],[Sales]],0)</f>
        <v>0.3888888888888889</v>
      </c>
      <c r="R225" t="str">
        <f>TEXT(SalesData[[#This Row],[Order Date]],"mmm-yyyy")</f>
        <v>Nov-2025</v>
      </c>
      <c r="S225">
        <f>YEAR(SalesData[[#This Row],[Order Date]])</f>
        <v>2025</v>
      </c>
      <c r="T225" t="str">
        <f>IF(SalesData[[#This Row],[Profit Margin]]&gt;=30%,"High",IF(SalesData[[#This Row],[Profit Margin]]&gt;=15%,"Medium","Low"))</f>
        <v>High</v>
      </c>
    </row>
    <row r="226" spans="1:20" x14ac:dyDescent="0.35">
      <c r="A226" t="s">
        <v>502</v>
      </c>
      <c r="B226" s="23" t="s">
        <v>501</v>
      </c>
      <c r="C226" t="s">
        <v>390</v>
      </c>
      <c r="D226" t="s">
        <v>43</v>
      </c>
      <c r="E226" t="s">
        <v>250</v>
      </c>
      <c r="F226" t="s">
        <v>45</v>
      </c>
      <c r="G226" t="s">
        <v>104</v>
      </c>
      <c r="H226" t="s">
        <v>47</v>
      </c>
      <c r="I226">
        <v>1</v>
      </c>
      <c r="J226" s="4">
        <v>900</v>
      </c>
      <c r="K226" s="6">
        <v>0</v>
      </c>
      <c r="L226" s="8">
        <v>900</v>
      </c>
      <c r="M226" s="8">
        <v>520</v>
      </c>
      <c r="N226" s="8">
        <v>380</v>
      </c>
      <c r="O226" s="8">
        <f>SalesData[[#This Row],[Quantity]]*SalesData[[#This Row],[Unit Price]]*(1-SalesData[[#This Row],[Discount]])</f>
        <v>900</v>
      </c>
      <c r="P226" s="8">
        <f>SalesData[[#This Row],[Sales_Check]]-SalesData[[#This Row],[Cost]]</f>
        <v>380</v>
      </c>
      <c r="Q226" s="13">
        <f>IFERROR(SalesData[[#This Row],[Profit]]/SalesData[[#This Row],[Sales]],0)</f>
        <v>0.42222222222222222</v>
      </c>
      <c r="R226" t="str">
        <f>TEXT(SalesData[[#This Row],[Order Date]],"mmm-yyyy")</f>
        <v>Nov-2025</v>
      </c>
      <c r="S226">
        <f>YEAR(SalesData[[#This Row],[Order Date]])</f>
        <v>2025</v>
      </c>
      <c r="T226" t="str">
        <f>IF(SalesData[[#This Row],[Profit Margin]]&gt;=30%,"High",IF(SalesData[[#This Row],[Profit Margin]]&gt;=15%,"Medium","Low"))</f>
        <v>High</v>
      </c>
    </row>
    <row r="227" spans="1:20" x14ac:dyDescent="0.35">
      <c r="A227" t="s">
        <v>503</v>
      </c>
      <c r="B227" s="23" t="s">
        <v>501</v>
      </c>
      <c r="C227" t="s">
        <v>402</v>
      </c>
      <c r="D227" t="s">
        <v>25</v>
      </c>
      <c r="E227" t="s">
        <v>26</v>
      </c>
      <c r="F227" t="s">
        <v>37</v>
      </c>
      <c r="G227" t="s">
        <v>38</v>
      </c>
      <c r="H227" t="s">
        <v>39</v>
      </c>
      <c r="I227">
        <v>10</v>
      </c>
      <c r="J227" s="4">
        <v>600</v>
      </c>
      <c r="K227" s="6">
        <v>0.15</v>
      </c>
      <c r="L227" s="8">
        <v>5100</v>
      </c>
      <c r="M227" s="8">
        <v>3300</v>
      </c>
      <c r="N227" s="8">
        <v>1800</v>
      </c>
      <c r="O227" s="8">
        <f>SalesData[[#This Row],[Quantity]]*SalesData[[#This Row],[Unit Price]]*(1-SalesData[[#This Row],[Discount]])</f>
        <v>5100</v>
      </c>
      <c r="P227" s="8">
        <f>SalesData[[#This Row],[Sales_Check]]-SalesData[[#This Row],[Cost]]</f>
        <v>1800</v>
      </c>
      <c r="Q227" s="13">
        <f>IFERROR(SalesData[[#This Row],[Profit]]/SalesData[[#This Row],[Sales]],0)</f>
        <v>0.35294117647058826</v>
      </c>
      <c r="R227" t="str">
        <f>TEXT(SalesData[[#This Row],[Order Date]],"mmm-yyyy")</f>
        <v>Nov-2025</v>
      </c>
      <c r="S227">
        <f>YEAR(SalesData[[#This Row],[Order Date]])</f>
        <v>2025</v>
      </c>
      <c r="T227" t="str">
        <f>IF(SalesData[[#This Row],[Profit Margin]]&gt;=30%,"High",IF(SalesData[[#This Row],[Profit Margin]]&gt;=15%,"Medium","Low"))</f>
        <v>High</v>
      </c>
    </row>
    <row r="228" spans="1:20" x14ac:dyDescent="0.35">
      <c r="A228" t="s">
        <v>504</v>
      </c>
      <c r="B228" s="23" t="s">
        <v>505</v>
      </c>
      <c r="C228" t="s">
        <v>506</v>
      </c>
      <c r="D228" t="s">
        <v>25</v>
      </c>
      <c r="E228" t="s">
        <v>26</v>
      </c>
      <c r="F228" t="s">
        <v>45</v>
      </c>
      <c r="G228" t="s">
        <v>104</v>
      </c>
      <c r="H228" t="s">
        <v>47</v>
      </c>
      <c r="I228">
        <v>1</v>
      </c>
      <c r="J228" s="4">
        <v>600</v>
      </c>
      <c r="K228" s="6">
        <v>0</v>
      </c>
      <c r="L228" s="8">
        <v>600</v>
      </c>
      <c r="M228" s="8">
        <v>330</v>
      </c>
      <c r="N228" s="8">
        <v>270</v>
      </c>
      <c r="O228" s="8">
        <f>SalesData[[#This Row],[Quantity]]*SalesData[[#This Row],[Unit Price]]*(1-SalesData[[#This Row],[Discount]])</f>
        <v>600</v>
      </c>
      <c r="P228" s="8">
        <f>SalesData[[#This Row],[Sales_Check]]-SalesData[[#This Row],[Cost]]</f>
        <v>270</v>
      </c>
      <c r="Q228" s="13">
        <f>IFERROR(SalesData[[#This Row],[Profit]]/SalesData[[#This Row],[Sales]],0)</f>
        <v>0.45</v>
      </c>
      <c r="R228" t="str">
        <f>TEXT(SalesData[[#This Row],[Order Date]],"mmm-yyyy")</f>
        <v>Nov-2025</v>
      </c>
      <c r="S228">
        <f>YEAR(SalesData[[#This Row],[Order Date]])</f>
        <v>2025</v>
      </c>
      <c r="T228" t="str">
        <f>IF(SalesData[[#This Row],[Profit Margin]]&gt;=30%,"High",IF(SalesData[[#This Row],[Profit Margin]]&gt;=15%,"Medium","Low"))</f>
        <v>High</v>
      </c>
    </row>
    <row r="229" spans="1:20" x14ac:dyDescent="0.35">
      <c r="A229" t="s">
        <v>507</v>
      </c>
      <c r="B229" s="23" t="s">
        <v>505</v>
      </c>
      <c r="C229" t="s">
        <v>352</v>
      </c>
      <c r="D229" t="s">
        <v>54</v>
      </c>
      <c r="E229" t="s">
        <v>103</v>
      </c>
      <c r="F229" t="s">
        <v>37</v>
      </c>
      <c r="G229" t="s">
        <v>38</v>
      </c>
      <c r="H229" t="s">
        <v>29</v>
      </c>
      <c r="I229">
        <v>8</v>
      </c>
      <c r="J229" s="4">
        <v>150</v>
      </c>
      <c r="K229" s="6">
        <v>0.05</v>
      </c>
      <c r="L229" s="8">
        <v>1140</v>
      </c>
      <c r="M229" s="8">
        <v>600</v>
      </c>
      <c r="N229" s="8">
        <v>540</v>
      </c>
      <c r="O229" s="8">
        <f>SalesData[[#This Row],[Quantity]]*SalesData[[#This Row],[Unit Price]]*(1-SalesData[[#This Row],[Discount]])</f>
        <v>1140</v>
      </c>
      <c r="P229" s="8">
        <f>SalesData[[#This Row],[Sales_Check]]-SalesData[[#This Row],[Cost]]</f>
        <v>540</v>
      </c>
      <c r="Q229" s="13">
        <f>IFERROR(SalesData[[#This Row],[Profit]]/SalesData[[#This Row],[Sales]],0)</f>
        <v>0.47368421052631576</v>
      </c>
      <c r="R229" t="str">
        <f>TEXT(SalesData[[#This Row],[Order Date]],"mmm-yyyy")</f>
        <v>Nov-2025</v>
      </c>
      <c r="S229">
        <f>YEAR(SalesData[[#This Row],[Order Date]])</f>
        <v>2025</v>
      </c>
      <c r="T229" t="str">
        <f>IF(SalesData[[#This Row],[Profit Margin]]&gt;=30%,"High",IF(SalesData[[#This Row],[Profit Margin]]&gt;=15%,"Medium","Low"))</f>
        <v>High</v>
      </c>
    </row>
    <row r="230" spans="1:20" x14ac:dyDescent="0.35">
      <c r="A230" t="s">
        <v>508</v>
      </c>
      <c r="B230" s="23" t="s">
        <v>509</v>
      </c>
      <c r="C230" t="s">
        <v>207</v>
      </c>
      <c r="D230" t="s">
        <v>25</v>
      </c>
      <c r="E230" t="s">
        <v>36</v>
      </c>
      <c r="F230" t="s">
        <v>45</v>
      </c>
      <c r="G230" t="s">
        <v>104</v>
      </c>
      <c r="H230" t="s">
        <v>33</v>
      </c>
      <c r="I230">
        <v>9</v>
      </c>
      <c r="J230" s="4">
        <v>700</v>
      </c>
      <c r="K230" s="6">
        <v>0.05</v>
      </c>
      <c r="L230" s="8">
        <v>5985</v>
      </c>
      <c r="M230" s="8">
        <v>3600</v>
      </c>
      <c r="N230" s="8">
        <v>2385</v>
      </c>
      <c r="O230" s="8">
        <f>SalesData[[#This Row],[Quantity]]*SalesData[[#This Row],[Unit Price]]*(1-SalesData[[#This Row],[Discount]])</f>
        <v>5985</v>
      </c>
      <c r="P230" s="8">
        <f>SalesData[[#This Row],[Sales_Check]]-SalesData[[#This Row],[Cost]]</f>
        <v>2385</v>
      </c>
      <c r="Q230" s="13">
        <f>IFERROR(SalesData[[#This Row],[Profit]]/SalesData[[#This Row],[Sales]],0)</f>
        <v>0.39849624060150374</v>
      </c>
      <c r="R230" t="str">
        <f>TEXT(SalesData[[#This Row],[Order Date]],"mmm-yyyy")</f>
        <v>Nov-2025</v>
      </c>
      <c r="S230">
        <f>YEAR(SalesData[[#This Row],[Order Date]])</f>
        <v>2025</v>
      </c>
      <c r="T230" t="str">
        <f>IF(SalesData[[#This Row],[Profit Margin]]&gt;=30%,"High",IF(SalesData[[#This Row],[Profit Margin]]&gt;=15%,"Medium","Low"))</f>
        <v>High</v>
      </c>
    </row>
    <row r="231" spans="1:20" x14ac:dyDescent="0.35">
      <c r="A231" t="s">
        <v>510</v>
      </c>
      <c r="B231" s="23" t="s">
        <v>509</v>
      </c>
      <c r="C231" t="s">
        <v>339</v>
      </c>
      <c r="D231" t="s">
        <v>25</v>
      </c>
      <c r="E231" t="s">
        <v>69</v>
      </c>
      <c r="F231" t="s">
        <v>27</v>
      </c>
      <c r="G231" t="s">
        <v>51</v>
      </c>
      <c r="H231" t="s">
        <v>29</v>
      </c>
      <c r="I231">
        <v>3</v>
      </c>
      <c r="J231" s="4">
        <v>350</v>
      </c>
      <c r="K231" s="6">
        <v>0.05</v>
      </c>
      <c r="L231" s="8">
        <v>997.5</v>
      </c>
      <c r="M231" s="8">
        <v>540</v>
      </c>
      <c r="N231" s="8">
        <v>457.5</v>
      </c>
      <c r="O231" s="8">
        <f>SalesData[[#This Row],[Quantity]]*SalesData[[#This Row],[Unit Price]]*(1-SalesData[[#This Row],[Discount]])</f>
        <v>997.5</v>
      </c>
      <c r="P231" s="8">
        <f>SalesData[[#This Row],[Sales_Check]]-SalesData[[#This Row],[Cost]]</f>
        <v>457.5</v>
      </c>
      <c r="Q231" s="13">
        <f>IFERROR(SalesData[[#This Row],[Profit]]/SalesData[[#This Row],[Sales]],0)</f>
        <v>0.45864661654135336</v>
      </c>
      <c r="R231" t="str">
        <f>TEXT(SalesData[[#This Row],[Order Date]],"mmm-yyyy")</f>
        <v>Nov-2025</v>
      </c>
      <c r="S231">
        <f>YEAR(SalesData[[#This Row],[Order Date]])</f>
        <v>2025</v>
      </c>
      <c r="T231" t="str">
        <f>IF(SalesData[[#This Row],[Profit Margin]]&gt;=30%,"High",IF(SalesData[[#This Row],[Profit Margin]]&gt;=15%,"Medium","Low"))</f>
        <v>High</v>
      </c>
    </row>
    <row r="232" spans="1:20" x14ac:dyDescent="0.35">
      <c r="A232" t="s">
        <v>511</v>
      </c>
      <c r="B232" s="23" t="s">
        <v>509</v>
      </c>
      <c r="C232" t="s">
        <v>238</v>
      </c>
      <c r="D232" t="s">
        <v>17</v>
      </c>
      <c r="E232" t="s">
        <v>65</v>
      </c>
      <c r="F232" t="s">
        <v>27</v>
      </c>
      <c r="G232" t="s">
        <v>28</v>
      </c>
      <c r="H232" t="s">
        <v>125</v>
      </c>
      <c r="I232">
        <v>9</v>
      </c>
      <c r="J232" s="4">
        <v>2200</v>
      </c>
      <c r="K232" s="6">
        <v>0</v>
      </c>
      <c r="L232" s="8">
        <v>19800</v>
      </c>
      <c r="M232" s="8">
        <v>12600</v>
      </c>
      <c r="N232" s="8">
        <v>7200</v>
      </c>
      <c r="O232" s="8">
        <f>SalesData[[#This Row],[Quantity]]*SalesData[[#This Row],[Unit Price]]*(1-SalesData[[#This Row],[Discount]])</f>
        <v>19800</v>
      </c>
      <c r="P232" s="8">
        <f>SalesData[[#This Row],[Sales_Check]]-SalesData[[#This Row],[Cost]]</f>
        <v>7200</v>
      </c>
      <c r="Q232" s="13">
        <f>IFERROR(SalesData[[#This Row],[Profit]]/SalesData[[#This Row],[Sales]],0)</f>
        <v>0.36363636363636365</v>
      </c>
      <c r="R232" t="str">
        <f>TEXT(SalesData[[#This Row],[Order Date]],"mmm-yyyy")</f>
        <v>Nov-2025</v>
      </c>
      <c r="S232">
        <f>YEAR(SalesData[[#This Row],[Order Date]])</f>
        <v>2025</v>
      </c>
      <c r="T232" t="str">
        <f>IF(SalesData[[#This Row],[Profit Margin]]&gt;=30%,"High",IF(SalesData[[#This Row],[Profit Margin]]&gt;=15%,"Medium","Low"))</f>
        <v>High</v>
      </c>
    </row>
    <row r="233" spans="1:20" x14ac:dyDescent="0.35">
      <c r="A233" t="s">
        <v>512</v>
      </c>
      <c r="B233" s="23" t="s">
        <v>513</v>
      </c>
      <c r="C233" t="s">
        <v>339</v>
      </c>
      <c r="D233" t="s">
        <v>25</v>
      </c>
      <c r="E233" t="s">
        <v>36</v>
      </c>
      <c r="F233" t="s">
        <v>19</v>
      </c>
      <c r="G233" t="s">
        <v>20</v>
      </c>
      <c r="H233" t="s">
        <v>39</v>
      </c>
      <c r="I233">
        <v>9</v>
      </c>
      <c r="J233" s="4">
        <v>700</v>
      </c>
      <c r="K233" s="6">
        <v>0.1</v>
      </c>
      <c r="L233" s="8">
        <v>5670</v>
      </c>
      <c r="M233" s="8">
        <v>3600</v>
      </c>
      <c r="N233" s="8">
        <v>2070</v>
      </c>
      <c r="O233" s="8">
        <f>SalesData[[#This Row],[Quantity]]*SalesData[[#This Row],[Unit Price]]*(1-SalesData[[#This Row],[Discount]])</f>
        <v>5670</v>
      </c>
      <c r="P233" s="8">
        <f>SalesData[[#This Row],[Sales_Check]]-SalesData[[#This Row],[Cost]]</f>
        <v>2070</v>
      </c>
      <c r="Q233" s="13">
        <f>IFERROR(SalesData[[#This Row],[Profit]]/SalesData[[#This Row],[Sales]],0)</f>
        <v>0.36507936507936506</v>
      </c>
      <c r="R233" t="str">
        <f>TEXT(SalesData[[#This Row],[Order Date]],"mmm-yyyy")</f>
        <v>Nov-2025</v>
      </c>
      <c r="S233">
        <f>YEAR(SalesData[[#This Row],[Order Date]])</f>
        <v>2025</v>
      </c>
      <c r="T233" t="str">
        <f>IF(SalesData[[#This Row],[Profit Margin]]&gt;=30%,"High",IF(SalesData[[#This Row],[Profit Margin]]&gt;=15%,"Medium","Low"))</f>
        <v>High</v>
      </c>
    </row>
    <row r="234" spans="1:20" x14ac:dyDescent="0.35">
      <c r="A234" t="s">
        <v>514</v>
      </c>
      <c r="B234" s="23" t="s">
        <v>513</v>
      </c>
      <c r="C234" t="s">
        <v>350</v>
      </c>
      <c r="D234" t="s">
        <v>43</v>
      </c>
      <c r="E234" t="s">
        <v>62</v>
      </c>
      <c r="F234" t="s">
        <v>45</v>
      </c>
      <c r="G234" t="s">
        <v>122</v>
      </c>
      <c r="H234" t="s">
        <v>29</v>
      </c>
      <c r="I234">
        <v>10</v>
      </c>
      <c r="J234" s="4">
        <v>500</v>
      </c>
      <c r="K234" s="6">
        <v>0</v>
      </c>
      <c r="L234" s="8">
        <v>5000</v>
      </c>
      <c r="M234" s="8">
        <v>2800</v>
      </c>
      <c r="N234" s="8">
        <v>2200</v>
      </c>
      <c r="O234" s="8">
        <f>SalesData[[#This Row],[Quantity]]*SalesData[[#This Row],[Unit Price]]*(1-SalesData[[#This Row],[Discount]])</f>
        <v>5000</v>
      </c>
      <c r="P234" s="8">
        <f>SalesData[[#This Row],[Sales_Check]]-SalesData[[#This Row],[Cost]]</f>
        <v>2200</v>
      </c>
      <c r="Q234" s="13">
        <f>IFERROR(SalesData[[#This Row],[Profit]]/SalesData[[#This Row],[Sales]],0)</f>
        <v>0.44</v>
      </c>
      <c r="R234" t="str">
        <f>TEXT(SalesData[[#This Row],[Order Date]],"mmm-yyyy")</f>
        <v>Nov-2025</v>
      </c>
      <c r="S234">
        <f>YEAR(SalesData[[#This Row],[Order Date]])</f>
        <v>2025</v>
      </c>
      <c r="T234" t="str">
        <f>IF(SalesData[[#This Row],[Profit Margin]]&gt;=30%,"High",IF(SalesData[[#This Row],[Profit Margin]]&gt;=15%,"Medium","Low"))</f>
        <v>High</v>
      </c>
    </row>
    <row r="235" spans="1:20" x14ac:dyDescent="0.35">
      <c r="A235" t="s">
        <v>515</v>
      </c>
      <c r="B235" s="23" t="s">
        <v>516</v>
      </c>
      <c r="C235" t="s">
        <v>517</v>
      </c>
      <c r="D235" t="s">
        <v>17</v>
      </c>
      <c r="E235" t="s">
        <v>65</v>
      </c>
      <c r="F235" t="s">
        <v>37</v>
      </c>
      <c r="G235" t="s">
        <v>73</v>
      </c>
      <c r="H235" t="s">
        <v>47</v>
      </c>
      <c r="I235">
        <v>7</v>
      </c>
      <c r="J235" s="4">
        <v>2200</v>
      </c>
      <c r="K235" s="6">
        <v>0</v>
      </c>
      <c r="L235" s="8">
        <v>15400</v>
      </c>
      <c r="M235" s="8">
        <v>9800</v>
      </c>
      <c r="N235" s="8">
        <v>5600</v>
      </c>
      <c r="O235" s="8">
        <f>SalesData[[#This Row],[Quantity]]*SalesData[[#This Row],[Unit Price]]*(1-SalesData[[#This Row],[Discount]])</f>
        <v>15400</v>
      </c>
      <c r="P235" s="8">
        <f>SalesData[[#This Row],[Sales_Check]]-SalesData[[#This Row],[Cost]]</f>
        <v>5600</v>
      </c>
      <c r="Q235" s="13">
        <f>IFERROR(SalesData[[#This Row],[Profit]]/SalesData[[#This Row],[Sales]],0)</f>
        <v>0.36363636363636365</v>
      </c>
      <c r="R235" t="str">
        <f>TEXT(SalesData[[#This Row],[Order Date]],"mmm-yyyy")</f>
        <v>Nov-2025</v>
      </c>
      <c r="S235">
        <f>YEAR(SalesData[[#This Row],[Order Date]])</f>
        <v>2025</v>
      </c>
      <c r="T235" t="str">
        <f>IF(SalesData[[#This Row],[Profit Margin]]&gt;=30%,"High",IF(SalesData[[#This Row],[Profit Margin]]&gt;=15%,"Medium","Low"))</f>
        <v>High</v>
      </c>
    </row>
    <row r="236" spans="1:20" x14ac:dyDescent="0.35">
      <c r="A236" t="s">
        <v>518</v>
      </c>
      <c r="B236" s="23" t="s">
        <v>516</v>
      </c>
      <c r="C236" t="s">
        <v>121</v>
      </c>
      <c r="D236" t="s">
        <v>54</v>
      </c>
      <c r="E236" t="s">
        <v>110</v>
      </c>
      <c r="F236" t="s">
        <v>27</v>
      </c>
      <c r="G236" t="s">
        <v>28</v>
      </c>
      <c r="H236" t="s">
        <v>21</v>
      </c>
      <c r="I236">
        <v>4</v>
      </c>
      <c r="J236" s="4">
        <v>280</v>
      </c>
      <c r="K236" s="6">
        <v>0</v>
      </c>
      <c r="L236" s="8">
        <v>1120</v>
      </c>
      <c r="M236" s="8">
        <v>600</v>
      </c>
      <c r="N236" s="8">
        <v>520</v>
      </c>
      <c r="O236" s="8">
        <f>SalesData[[#This Row],[Quantity]]*SalesData[[#This Row],[Unit Price]]*(1-SalesData[[#This Row],[Discount]])</f>
        <v>1120</v>
      </c>
      <c r="P236" s="8">
        <f>SalesData[[#This Row],[Sales_Check]]-SalesData[[#This Row],[Cost]]</f>
        <v>520</v>
      </c>
      <c r="Q236" s="13">
        <f>IFERROR(SalesData[[#This Row],[Profit]]/SalesData[[#This Row],[Sales]],0)</f>
        <v>0.4642857142857143</v>
      </c>
      <c r="R236" t="str">
        <f>TEXT(SalesData[[#This Row],[Order Date]],"mmm-yyyy")</f>
        <v>Nov-2025</v>
      </c>
      <c r="S236">
        <f>YEAR(SalesData[[#This Row],[Order Date]])</f>
        <v>2025</v>
      </c>
      <c r="T236" t="str">
        <f>IF(SalesData[[#This Row],[Profit Margin]]&gt;=30%,"High",IF(SalesData[[#This Row],[Profit Margin]]&gt;=15%,"Medium","Low"))</f>
        <v>High</v>
      </c>
    </row>
    <row r="237" spans="1:20" x14ac:dyDescent="0.35">
      <c r="A237" t="s">
        <v>519</v>
      </c>
      <c r="B237" s="23" t="s">
        <v>520</v>
      </c>
      <c r="C237" t="s">
        <v>155</v>
      </c>
      <c r="D237" t="s">
        <v>43</v>
      </c>
      <c r="E237" t="s">
        <v>169</v>
      </c>
      <c r="F237" t="s">
        <v>19</v>
      </c>
      <c r="G237" t="s">
        <v>113</v>
      </c>
      <c r="H237" t="s">
        <v>21</v>
      </c>
      <c r="I237">
        <v>2</v>
      </c>
      <c r="J237" s="4">
        <v>350</v>
      </c>
      <c r="K237" s="6">
        <v>0</v>
      </c>
      <c r="L237" s="8">
        <v>700</v>
      </c>
      <c r="M237" s="8">
        <v>340</v>
      </c>
      <c r="N237" s="8">
        <v>360</v>
      </c>
      <c r="O237" s="8">
        <f>SalesData[[#This Row],[Quantity]]*SalesData[[#This Row],[Unit Price]]*(1-SalesData[[#This Row],[Discount]])</f>
        <v>700</v>
      </c>
      <c r="P237" s="8">
        <f>SalesData[[#This Row],[Sales_Check]]-SalesData[[#This Row],[Cost]]</f>
        <v>360</v>
      </c>
      <c r="Q237" s="13">
        <f>IFERROR(SalesData[[#This Row],[Profit]]/SalesData[[#This Row],[Sales]],0)</f>
        <v>0.51428571428571423</v>
      </c>
      <c r="R237" t="str">
        <f>TEXT(SalesData[[#This Row],[Order Date]],"mmm-yyyy")</f>
        <v>Nov-2025</v>
      </c>
      <c r="S237">
        <f>YEAR(SalesData[[#This Row],[Order Date]])</f>
        <v>2025</v>
      </c>
      <c r="T237" t="str">
        <f>IF(SalesData[[#This Row],[Profit Margin]]&gt;=30%,"High",IF(SalesData[[#This Row],[Profit Margin]]&gt;=15%,"Medium","Low"))</f>
        <v>High</v>
      </c>
    </row>
    <row r="238" spans="1:20" x14ac:dyDescent="0.35">
      <c r="A238" t="s">
        <v>521</v>
      </c>
      <c r="B238" s="23" t="s">
        <v>520</v>
      </c>
      <c r="C238" t="s">
        <v>211</v>
      </c>
      <c r="D238" t="s">
        <v>25</v>
      </c>
      <c r="E238" t="s">
        <v>36</v>
      </c>
      <c r="F238" t="s">
        <v>19</v>
      </c>
      <c r="G238" t="s">
        <v>56</v>
      </c>
      <c r="H238" t="s">
        <v>125</v>
      </c>
      <c r="I238">
        <v>7</v>
      </c>
      <c r="J238" s="4">
        <v>700</v>
      </c>
      <c r="K238" s="6">
        <v>0</v>
      </c>
      <c r="L238" s="8">
        <v>4900</v>
      </c>
      <c r="M238" s="8">
        <v>2800</v>
      </c>
      <c r="N238" s="8">
        <v>2100</v>
      </c>
      <c r="O238" s="8">
        <f>SalesData[[#This Row],[Quantity]]*SalesData[[#This Row],[Unit Price]]*(1-SalesData[[#This Row],[Discount]])</f>
        <v>4900</v>
      </c>
      <c r="P238" s="8">
        <f>SalesData[[#This Row],[Sales_Check]]-SalesData[[#This Row],[Cost]]</f>
        <v>2100</v>
      </c>
      <c r="Q238" s="13">
        <f>IFERROR(SalesData[[#This Row],[Profit]]/SalesData[[#This Row],[Sales]],0)</f>
        <v>0.42857142857142855</v>
      </c>
      <c r="R238" t="str">
        <f>TEXT(SalesData[[#This Row],[Order Date]],"mmm-yyyy")</f>
        <v>Nov-2025</v>
      </c>
      <c r="S238">
        <f>YEAR(SalesData[[#This Row],[Order Date]])</f>
        <v>2025</v>
      </c>
      <c r="T238" t="str">
        <f>IF(SalesData[[#This Row],[Profit Margin]]&gt;=30%,"High",IF(SalesData[[#This Row],[Profit Margin]]&gt;=15%,"Medium","Low"))</f>
        <v>High</v>
      </c>
    </row>
    <row r="239" spans="1:20" x14ac:dyDescent="0.35">
      <c r="A239" t="s">
        <v>522</v>
      </c>
      <c r="B239" s="23" t="s">
        <v>523</v>
      </c>
      <c r="C239" t="s">
        <v>217</v>
      </c>
      <c r="D239" t="s">
        <v>54</v>
      </c>
      <c r="E239" t="s">
        <v>103</v>
      </c>
      <c r="F239" t="s">
        <v>37</v>
      </c>
      <c r="G239" t="s">
        <v>140</v>
      </c>
      <c r="H239" t="s">
        <v>33</v>
      </c>
      <c r="I239">
        <v>10</v>
      </c>
      <c r="J239" s="4">
        <v>150</v>
      </c>
      <c r="K239" s="6">
        <v>0</v>
      </c>
      <c r="L239" s="8">
        <v>1500</v>
      </c>
      <c r="M239" s="8">
        <v>750</v>
      </c>
      <c r="N239" s="8">
        <v>750</v>
      </c>
      <c r="O239" s="8">
        <f>SalesData[[#This Row],[Quantity]]*SalesData[[#This Row],[Unit Price]]*(1-SalesData[[#This Row],[Discount]])</f>
        <v>1500</v>
      </c>
      <c r="P239" s="8">
        <f>SalesData[[#This Row],[Sales_Check]]-SalesData[[#This Row],[Cost]]</f>
        <v>750</v>
      </c>
      <c r="Q239" s="13">
        <f>IFERROR(SalesData[[#This Row],[Profit]]/SalesData[[#This Row],[Sales]],0)</f>
        <v>0.5</v>
      </c>
      <c r="R239" t="str">
        <f>TEXT(SalesData[[#This Row],[Order Date]],"mmm-yyyy")</f>
        <v>Nov-2025</v>
      </c>
      <c r="S239">
        <f>YEAR(SalesData[[#This Row],[Order Date]])</f>
        <v>2025</v>
      </c>
      <c r="T239" t="str">
        <f>IF(SalesData[[#This Row],[Profit Margin]]&gt;=30%,"High",IF(SalesData[[#This Row],[Profit Margin]]&gt;=15%,"Medium","Low"))</f>
        <v>High</v>
      </c>
    </row>
    <row r="240" spans="1:20" x14ac:dyDescent="0.35">
      <c r="A240" t="s">
        <v>524</v>
      </c>
      <c r="B240" s="23" t="s">
        <v>523</v>
      </c>
      <c r="C240" t="s">
        <v>355</v>
      </c>
      <c r="D240" t="s">
        <v>54</v>
      </c>
      <c r="E240" t="s">
        <v>110</v>
      </c>
      <c r="F240" t="s">
        <v>45</v>
      </c>
      <c r="G240" t="s">
        <v>70</v>
      </c>
      <c r="H240" t="s">
        <v>29</v>
      </c>
      <c r="I240">
        <v>5</v>
      </c>
      <c r="J240" s="4">
        <v>280</v>
      </c>
      <c r="K240" s="6">
        <v>0.05</v>
      </c>
      <c r="L240" s="8">
        <v>1330</v>
      </c>
      <c r="M240" s="8">
        <v>750</v>
      </c>
      <c r="N240" s="8">
        <v>580</v>
      </c>
      <c r="O240" s="8">
        <f>SalesData[[#This Row],[Quantity]]*SalesData[[#This Row],[Unit Price]]*(1-SalesData[[#This Row],[Discount]])</f>
        <v>1330</v>
      </c>
      <c r="P240" s="8">
        <f>SalesData[[#This Row],[Sales_Check]]-SalesData[[#This Row],[Cost]]</f>
        <v>580</v>
      </c>
      <c r="Q240" s="13">
        <f>IFERROR(SalesData[[#This Row],[Profit]]/SalesData[[#This Row],[Sales]],0)</f>
        <v>0.43609022556390975</v>
      </c>
      <c r="R240" t="str">
        <f>TEXT(SalesData[[#This Row],[Order Date]],"mmm-yyyy")</f>
        <v>Nov-2025</v>
      </c>
      <c r="S240">
        <f>YEAR(SalesData[[#This Row],[Order Date]])</f>
        <v>2025</v>
      </c>
      <c r="T240" t="str">
        <f>IF(SalesData[[#This Row],[Profit Margin]]&gt;=30%,"High",IF(SalesData[[#This Row],[Profit Margin]]&gt;=15%,"Medium","Low"))</f>
        <v>High</v>
      </c>
    </row>
    <row r="241" spans="1:20" x14ac:dyDescent="0.35">
      <c r="A241" t="s">
        <v>525</v>
      </c>
      <c r="B241" s="23" t="s">
        <v>523</v>
      </c>
      <c r="C241" t="s">
        <v>248</v>
      </c>
      <c r="D241" t="s">
        <v>17</v>
      </c>
      <c r="E241" t="s">
        <v>18</v>
      </c>
      <c r="F241" t="s">
        <v>27</v>
      </c>
      <c r="G241" t="s">
        <v>51</v>
      </c>
      <c r="H241" t="s">
        <v>47</v>
      </c>
      <c r="I241">
        <v>8</v>
      </c>
      <c r="J241" s="4">
        <v>1800</v>
      </c>
      <c r="K241" s="6">
        <v>0.05</v>
      </c>
      <c r="L241" s="8">
        <v>13680</v>
      </c>
      <c r="M241" s="8">
        <v>8800</v>
      </c>
      <c r="N241" s="8">
        <v>4880</v>
      </c>
      <c r="O241" s="8">
        <f>SalesData[[#This Row],[Quantity]]*SalesData[[#This Row],[Unit Price]]*(1-SalesData[[#This Row],[Discount]])</f>
        <v>13680</v>
      </c>
      <c r="P241" s="8">
        <f>SalesData[[#This Row],[Sales_Check]]-SalesData[[#This Row],[Cost]]</f>
        <v>4880</v>
      </c>
      <c r="Q241" s="13">
        <f>IFERROR(SalesData[[#This Row],[Profit]]/SalesData[[#This Row],[Sales]],0)</f>
        <v>0.35672514619883039</v>
      </c>
      <c r="R241" t="str">
        <f>TEXT(SalesData[[#This Row],[Order Date]],"mmm-yyyy")</f>
        <v>Nov-2025</v>
      </c>
      <c r="S241">
        <f>YEAR(SalesData[[#This Row],[Order Date]])</f>
        <v>2025</v>
      </c>
      <c r="T241" t="str">
        <f>IF(SalesData[[#This Row],[Profit Margin]]&gt;=30%,"High",IF(SalesData[[#This Row],[Profit Margin]]&gt;=15%,"Medium","Low"))</f>
        <v>High</v>
      </c>
    </row>
    <row r="242" spans="1:20" x14ac:dyDescent="0.35">
      <c r="A242" t="s">
        <v>526</v>
      </c>
      <c r="B242" s="23" t="s">
        <v>523</v>
      </c>
      <c r="C242" t="s">
        <v>455</v>
      </c>
      <c r="D242" t="s">
        <v>25</v>
      </c>
      <c r="E242" t="s">
        <v>36</v>
      </c>
      <c r="F242" t="s">
        <v>37</v>
      </c>
      <c r="G242" t="s">
        <v>97</v>
      </c>
      <c r="H242" t="s">
        <v>125</v>
      </c>
      <c r="I242">
        <v>9</v>
      </c>
      <c r="J242" s="4">
        <v>700</v>
      </c>
      <c r="K242" s="6">
        <v>0.1</v>
      </c>
      <c r="L242" s="8">
        <v>5670</v>
      </c>
      <c r="M242" s="8">
        <v>3600</v>
      </c>
      <c r="N242" s="8">
        <v>2070</v>
      </c>
      <c r="O242" s="8">
        <f>SalesData[[#This Row],[Quantity]]*SalesData[[#This Row],[Unit Price]]*(1-SalesData[[#This Row],[Discount]])</f>
        <v>5670</v>
      </c>
      <c r="P242" s="8">
        <f>SalesData[[#This Row],[Sales_Check]]-SalesData[[#This Row],[Cost]]</f>
        <v>2070</v>
      </c>
      <c r="Q242" s="13">
        <f>IFERROR(SalesData[[#This Row],[Profit]]/SalesData[[#This Row],[Sales]],0)</f>
        <v>0.36507936507936506</v>
      </c>
      <c r="R242" t="str">
        <f>TEXT(SalesData[[#This Row],[Order Date]],"mmm-yyyy")</f>
        <v>Nov-2025</v>
      </c>
      <c r="S242">
        <f>YEAR(SalesData[[#This Row],[Order Date]])</f>
        <v>2025</v>
      </c>
      <c r="T242" t="str">
        <f>IF(SalesData[[#This Row],[Profit Margin]]&gt;=30%,"High",IF(SalesData[[#This Row],[Profit Margin]]&gt;=15%,"Medium","Low"))</f>
        <v>High</v>
      </c>
    </row>
    <row r="243" spans="1:20" x14ac:dyDescent="0.35">
      <c r="A243" t="s">
        <v>527</v>
      </c>
      <c r="B243" s="23" t="s">
        <v>523</v>
      </c>
      <c r="C243" t="s">
        <v>528</v>
      </c>
      <c r="D243" t="s">
        <v>54</v>
      </c>
      <c r="E243" t="s">
        <v>116</v>
      </c>
      <c r="F243" t="s">
        <v>37</v>
      </c>
      <c r="G243" t="s">
        <v>73</v>
      </c>
      <c r="H243" t="s">
        <v>29</v>
      </c>
      <c r="I243">
        <v>6</v>
      </c>
      <c r="J243" s="4">
        <v>450</v>
      </c>
      <c r="K243" s="6">
        <v>0.05</v>
      </c>
      <c r="L243" s="8">
        <v>2565</v>
      </c>
      <c r="M243" s="8">
        <v>1500</v>
      </c>
      <c r="N243" s="8">
        <v>1065</v>
      </c>
      <c r="O243" s="8">
        <f>SalesData[[#This Row],[Quantity]]*SalesData[[#This Row],[Unit Price]]*(1-SalesData[[#This Row],[Discount]])</f>
        <v>2565</v>
      </c>
      <c r="P243" s="8">
        <f>SalesData[[#This Row],[Sales_Check]]-SalesData[[#This Row],[Cost]]</f>
        <v>1065</v>
      </c>
      <c r="Q243" s="13">
        <f>IFERROR(SalesData[[#This Row],[Profit]]/SalesData[[#This Row],[Sales]],0)</f>
        <v>0.41520467836257308</v>
      </c>
      <c r="R243" t="str">
        <f>TEXT(SalesData[[#This Row],[Order Date]],"mmm-yyyy")</f>
        <v>Nov-2025</v>
      </c>
      <c r="S243">
        <f>YEAR(SalesData[[#This Row],[Order Date]])</f>
        <v>2025</v>
      </c>
      <c r="T243" t="str">
        <f>IF(SalesData[[#This Row],[Profit Margin]]&gt;=30%,"High",IF(SalesData[[#This Row],[Profit Margin]]&gt;=15%,"Medium","Low"))</f>
        <v>High</v>
      </c>
    </row>
    <row r="244" spans="1:20" x14ac:dyDescent="0.35">
      <c r="A244" t="s">
        <v>529</v>
      </c>
      <c r="B244" s="23" t="s">
        <v>523</v>
      </c>
      <c r="C244" t="s">
        <v>309</v>
      </c>
      <c r="D244" t="s">
        <v>17</v>
      </c>
      <c r="E244" t="s">
        <v>18</v>
      </c>
      <c r="F244" t="s">
        <v>19</v>
      </c>
      <c r="G244" t="s">
        <v>215</v>
      </c>
      <c r="H244" t="s">
        <v>125</v>
      </c>
      <c r="I244">
        <v>10</v>
      </c>
      <c r="J244" s="4">
        <v>1800</v>
      </c>
      <c r="K244" s="6">
        <v>0</v>
      </c>
      <c r="L244" s="8">
        <v>18000</v>
      </c>
      <c r="M244" s="8">
        <v>11000</v>
      </c>
      <c r="N244" s="8">
        <v>7000</v>
      </c>
      <c r="O244" s="8">
        <f>SalesData[[#This Row],[Quantity]]*SalesData[[#This Row],[Unit Price]]*(1-SalesData[[#This Row],[Discount]])</f>
        <v>18000</v>
      </c>
      <c r="P244" s="8">
        <f>SalesData[[#This Row],[Sales_Check]]-SalesData[[#This Row],[Cost]]</f>
        <v>7000</v>
      </c>
      <c r="Q244" s="13">
        <f>IFERROR(SalesData[[#This Row],[Profit]]/SalesData[[#This Row],[Sales]],0)</f>
        <v>0.3888888888888889</v>
      </c>
      <c r="R244" t="str">
        <f>TEXT(SalesData[[#This Row],[Order Date]],"mmm-yyyy")</f>
        <v>Nov-2025</v>
      </c>
      <c r="S244">
        <f>YEAR(SalesData[[#This Row],[Order Date]])</f>
        <v>2025</v>
      </c>
      <c r="T244" t="str">
        <f>IF(SalesData[[#This Row],[Profit Margin]]&gt;=30%,"High",IF(SalesData[[#This Row],[Profit Margin]]&gt;=15%,"Medium","Low"))</f>
        <v>High</v>
      </c>
    </row>
    <row r="245" spans="1:20" x14ac:dyDescent="0.35">
      <c r="A245" t="s">
        <v>530</v>
      </c>
      <c r="B245" s="23" t="s">
        <v>531</v>
      </c>
      <c r="C245" t="s">
        <v>175</v>
      </c>
      <c r="D245" t="s">
        <v>43</v>
      </c>
      <c r="E245" t="s">
        <v>62</v>
      </c>
      <c r="F245" t="s">
        <v>27</v>
      </c>
      <c r="G245" t="s">
        <v>28</v>
      </c>
      <c r="H245" t="s">
        <v>33</v>
      </c>
      <c r="I245">
        <v>3</v>
      </c>
      <c r="J245" s="4">
        <v>500</v>
      </c>
      <c r="K245" s="6">
        <v>0</v>
      </c>
      <c r="L245" s="8">
        <v>1500</v>
      </c>
      <c r="M245" s="8">
        <v>840</v>
      </c>
      <c r="N245" s="8">
        <v>660</v>
      </c>
      <c r="O245" s="8">
        <f>SalesData[[#This Row],[Quantity]]*SalesData[[#This Row],[Unit Price]]*(1-SalesData[[#This Row],[Discount]])</f>
        <v>1500</v>
      </c>
      <c r="P245" s="8">
        <f>SalesData[[#This Row],[Sales_Check]]-SalesData[[#This Row],[Cost]]</f>
        <v>660</v>
      </c>
      <c r="Q245" s="13">
        <f>IFERROR(SalesData[[#This Row],[Profit]]/SalesData[[#This Row],[Sales]],0)</f>
        <v>0.44</v>
      </c>
      <c r="R245" t="str">
        <f>TEXT(SalesData[[#This Row],[Order Date]],"mmm-yyyy")</f>
        <v>Nov-2025</v>
      </c>
      <c r="S245">
        <f>YEAR(SalesData[[#This Row],[Order Date]])</f>
        <v>2025</v>
      </c>
      <c r="T245" t="str">
        <f>IF(SalesData[[#This Row],[Profit Margin]]&gt;=30%,"High",IF(SalesData[[#This Row],[Profit Margin]]&gt;=15%,"Medium","Low"))</f>
        <v>High</v>
      </c>
    </row>
    <row r="246" spans="1:20" x14ac:dyDescent="0.35">
      <c r="A246" t="s">
        <v>532</v>
      </c>
      <c r="B246" s="23" t="s">
        <v>533</v>
      </c>
      <c r="C246" t="s">
        <v>534</v>
      </c>
      <c r="D246" t="s">
        <v>43</v>
      </c>
      <c r="E246" t="s">
        <v>250</v>
      </c>
      <c r="F246" t="s">
        <v>45</v>
      </c>
      <c r="G246" t="s">
        <v>70</v>
      </c>
      <c r="H246" t="s">
        <v>39</v>
      </c>
      <c r="I246">
        <v>3</v>
      </c>
      <c r="J246" s="4">
        <v>900</v>
      </c>
      <c r="K246" s="6">
        <v>0.1</v>
      </c>
      <c r="L246" s="8">
        <v>2430</v>
      </c>
      <c r="M246" s="8">
        <v>1560</v>
      </c>
      <c r="N246" s="8">
        <v>870</v>
      </c>
      <c r="O246" s="8">
        <f>SalesData[[#This Row],[Quantity]]*SalesData[[#This Row],[Unit Price]]*(1-SalesData[[#This Row],[Discount]])</f>
        <v>2430</v>
      </c>
      <c r="P246" s="8">
        <f>SalesData[[#This Row],[Sales_Check]]-SalesData[[#This Row],[Cost]]</f>
        <v>870</v>
      </c>
      <c r="Q246" s="13">
        <f>IFERROR(SalesData[[#This Row],[Profit]]/SalesData[[#This Row],[Sales]],0)</f>
        <v>0.35802469135802467</v>
      </c>
      <c r="R246" t="str">
        <f>TEXT(SalesData[[#This Row],[Order Date]],"mmm-yyyy")</f>
        <v>Dec-2025</v>
      </c>
      <c r="S246">
        <f>YEAR(SalesData[[#This Row],[Order Date]])</f>
        <v>2025</v>
      </c>
      <c r="T246" t="str">
        <f>IF(SalesData[[#This Row],[Profit Margin]]&gt;=30%,"High",IF(SalesData[[#This Row],[Profit Margin]]&gt;=15%,"Medium","Low"))</f>
        <v>High</v>
      </c>
    </row>
    <row r="247" spans="1:20" x14ac:dyDescent="0.35">
      <c r="A247" t="s">
        <v>535</v>
      </c>
      <c r="B247" s="23" t="s">
        <v>533</v>
      </c>
      <c r="C247" t="s">
        <v>485</v>
      </c>
      <c r="D247" t="s">
        <v>17</v>
      </c>
      <c r="E247" t="s">
        <v>65</v>
      </c>
      <c r="F247" t="s">
        <v>19</v>
      </c>
      <c r="G247" t="s">
        <v>20</v>
      </c>
      <c r="H247" t="s">
        <v>125</v>
      </c>
      <c r="I247">
        <v>3</v>
      </c>
      <c r="J247" s="4">
        <v>2200</v>
      </c>
      <c r="K247" s="6">
        <v>0</v>
      </c>
      <c r="L247" s="8">
        <v>6600</v>
      </c>
      <c r="M247" s="8">
        <v>4200</v>
      </c>
      <c r="N247" s="8">
        <v>2400</v>
      </c>
      <c r="O247" s="8">
        <f>SalesData[[#This Row],[Quantity]]*SalesData[[#This Row],[Unit Price]]*(1-SalesData[[#This Row],[Discount]])</f>
        <v>6600</v>
      </c>
      <c r="P247" s="8">
        <f>SalesData[[#This Row],[Sales_Check]]-SalesData[[#This Row],[Cost]]</f>
        <v>2400</v>
      </c>
      <c r="Q247" s="13">
        <f>IFERROR(SalesData[[#This Row],[Profit]]/SalesData[[#This Row],[Sales]],0)</f>
        <v>0.36363636363636365</v>
      </c>
      <c r="R247" t="str">
        <f>TEXT(SalesData[[#This Row],[Order Date]],"mmm-yyyy")</f>
        <v>Dec-2025</v>
      </c>
      <c r="S247">
        <f>YEAR(SalesData[[#This Row],[Order Date]])</f>
        <v>2025</v>
      </c>
      <c r="T247" t="str">
        <f>IF(SalesData[[#This Row],[Profit Margin]]&gt;=30%,"High",IF(SalesData[[#This Row],[Profit Margin]]&gt;=15%,"Medium","Low"))</f>
        <v>High</v>
      </c>
    </row>
    <row r="248" spans="1:20" x14ac:dyDescent="0.35">
      <c r="A248" t="s">
        <v>536</v>
      </c>
      <c r="B248" s="23" t="s">
        <v>533</v>
      </c>
      <c r="C248" t="s">
        <v>222</v>
      </c>
      <c r="D248" t="s">
        <v>54</v>
      </c>
      <c r="E248" t="s">
        <v>107</v>
      </c>
      <c r="F248" t="s">
        <v>37</v>
      </c>
      <c r="G248" t="s">
        <v>97</v>
      </c>
      <c r="H248" t="s">
        <v>29</v>
      </c>
      <c r="I248">
        <v>2</v>
      </c>
      <c r="J248" s="4">
        <v>120</v>
      </c>
      <c r="K248" s="6">
        <v>0</v>
      </c>
      <c r="L248" s="8">
        <v>240</v>
      </c>
      <c r="M248" s="8">
        <v>110</v>
      </c>
      <c r="N248" s="8">
        <v>130</v>
      </c>
      <c r="O248" s="8">
        <f>SalesData[[#This Row],[Quantity]]*SalesData[[#This Row],[Unit Price]]*(1-SalesData[[#This Row],[Discount]])</f>
        <v>240</v>
      </c>
      <c r="P248" s="8">
        <f>SalesData[[#This Row],[Sales_Check]]-SalesData[[#This Row],[Cost]]</f>
        <v>130</v>
      </c>
      <c r="Q248" s="13">
        <f>IFERROR(SalesData[[#This Row],[Profit]]/SalesData[[#This Row],[Sales]],0)</f>
        <v>0.54166666666666663</v>
      </c>
      <c r="R248" t="str">
        <f>TEXT(SalesData[[#This Row],[Order Date]],"mmm-yyyy")</f>
        <v>Dec-2025</v>
      </c>
      <c r="S248">
        <f>YEAR(SalesData[[#This Row],[Order Date]])</f>
        <v>2025</v>
      </c>
      <c r="T248" t="str">
        <f>IF(SalesData[[#This Row],[Profit Margin]]&gt;=30%,"High",IF(SalesData[[#This Row],[Profit Margin]]&gt;=15%,"Medium","Low"))</f>
        <v>High</v>
      </c>
    </row>
    <row r="249" spans="1:20" x14ac:dyDescent="0.35">
      <c r="A249" t="s">
        <v>537</v>
      </c>
      <c r="B249" s="23" t="s">
        <v>533</v>
      </c>
      <c r="C249" t="s">
        <v>96</v>
      </c>
      <c r="D249" t="s">
        <v>25</v>
      </c>
      <c r="E249" t="s">
        <v>36</v>
      </c>
      <c r="F249" t="s">
        <v>45</v>
      </c>
      <c r="G249" t="s">
        <v>70</v>
      </c>
      <c r="H249" t="s">
        <v>39</v>
      </c>
      <c r="I249">
        <v>9</v>
      </c>
      <c r="J249" s="4">
        <v>700</v>
      </c>
      <c r="K249" s="6">
        <v>0.05</v>
      </c>
      <c r="L249" s="8">
        <v>5985</v>
      </c>
      <c r="M249" s="8">
        <v>3600</v>
      </c>
      <c r="N249" s="8">
        <v>2385</v>
      </c>
      <c r="O249" s="8">
        <f>SalesData[[#This Row],[Quantity]]*SalesData[[#This Row],[Unit Price]]*(1-SalesData[[#This Row],[Discount]])</f>
        <v>5985</v>
      </c>
      <c r="P249" s="8">
        <f>SalesData[[#This Row],[Sales_Check]]-SalesData[[#This Row],[Cost]]</f>
        <v>2385</v>
      </c>
      <c r="Q249" s="13">
        <f>IFERROR(SalesData[[#This Row],[Profit]]/SalesData[[#This Row],[Sales]],0)</f>
        <v>0.39849624060150374</v>
      </c>
      <c r="R249" t="str">
        <f>TEXT(SalesData[[#This Row],[Order Date]],"mmm-yyyy")</f>
        <v>Dec-2025</v>
      </c>
      <c r="S249">
        <f>YEAR(SalesData[[#This Row],[Order Date]])</f>
        <v>2025</v>
      </c>
      <c r="T249" t="str">
        <f>IF(SalesData[[#This Row],[Profit Margin]]&gt;=30%,"High",IF(SalesData[[#This Row],[Profit Margin]]&gt;=15%,"Medium","Low"))</f>
        <v>High</v>
      </c>
    </row>
    <row r="250" spans="1:20" x14ac:dyDescent="0.35">
      <c r="A250" t="s">
        <v>538</v>
      </c>
      <c r="B250" s="23" t="s">
        <v>539</v>
      </c>
      <c r="C250" t="s">
        <v>254</v>
      </c>
      <c r="D250" t="s">
        <v>43</v>
      </c>
      <c r="E250" t="s">
        <v>143</v>
      </c>
      <c r="F250" t="s">
        <v>45</v>
      </c>
      <c r="G250" t="s">
        <v>46</v>
      </c>
      <c r="H250" t="s">
        <v>21</v>
      </c>
      <c r="I250">
        <v>3</v>
      </c>
      <c r="J250" s="4">
        <v>650</v>
      </c>
      <c r="K250" s="6">
        <v>0</v>
      </c>
      <c r="L250" s="8">
        <v>1950</v>
      </c>
      <c r="M250" s="8">
        <v>1050</v>
      </c>
      <c r="N250" s="8">
        <v>900</v>
      </c>
      <c r="O250" s="8">
        <f>SalesData[[#This Row],[Quantity]]*SalesData[[#This Row],[Unit Price]]*(1-SalesData[[#This Row],[Discount]])</f>
        <v>1950</v>
      </c>
      <c r="P250" s="8">
        <f>SalesData[[#This Row],[Sales_Check]]-SalesData[[#This Row],[Cost]]</f>
        <v>900</v>
      </c>
      <c r="Q250" s="13">
        <f>IFERROR(SalesData[[#This Row],[Profit]]/SalesData[[#This Row],[Sales]],0)</f>
        <v>0.46153846153846156</v>
      </c>
      <c r="R250" t="str">
        <f>TEXT(SalesData[[#This Row],[Order Date]],"mmm-yyyy")</f>
        <v>Dec-2025</v>
      </c>
      <c r="S250">
        <f>YEAR(SalesData[[#This Row],[Order Date]])</f>
        <v>2025</v>
      </c>
      <c r="T250" t="str">
        <f>IF(SalesData[[#This Row],[Profit Margin]]&gt;=30%,"High",IF(SalesData[[#This Row],[Profit Margin]]&gt;=15%,"Medium","Low"))</f>
        <v>High</v>
      </c>
    </row>
    <row r="251" spans="1:20" x14ac:dyDescent="0.35">
      <c r="A251" t="s">
        <v>540</v>
      </c>
      <c r="B251" s="23" t="s">
        <v>539</v>
      </c>
      <c r="C251" t="s">
        <v>541</v>
      </c>
      <c r="D251" t="s">
        <v>54</v>
      </c>
      <c r="E251" t="s">
        <v>103</v>
      </c>
      <c r="F251" t="s">
        <v>45</v>
      </c>
      <c r="G251" t="s">
        <v>46</v>
      </c>
      <c r="H251" t="s">
        <v>29</v>
      </c>
      <c r="I251">
        <v>2</v>
      </c>
      <c r="J251" s="4">
        <v>150</v>
      </c>
      <c r="K251" s="6">
        <v>0.05</v>
      </c>
      <c r="L251" s="8">
        <v>285</v>
      </c>
      <c r="M251" s="8">
        <v>150</v>
      </c>
      <c r="N251" s="8">
        <v>135</v>
      </c>
      <c r="O251" s="8">
        <f>SalesData[[#This Row],[Quantity]]*SalesData[[#This Row],[Unit Price]]*(1-SalesData[[#This Row],[Discount]])</f>
        <v>285</v>
      </c>
      <c r="P251" s="8">
        <f>SalesData[[#This Row],[Sales_Check]]-SalesData[[#This Row],[Cost]]</f>
        <v>135</v>
      </c>
      <c r="Q251" s="13">
        <f>IFERROR(SalesData[[#This Row],[Profit]]/SalesData[[#This Row],[Sales]],0)</f>
        <v>0.47368421052631576</v>
      </c>
      <c r="R251" t="str">
        <f>TEXT(SalesData[[#This Row],[Order Date]],"mmm-yyyy")</f>
        <v>Dec-2025</v>
      </c>
      <c r="S251">
        <f>YEAR(SalesData[[#This Row],[Order Date]])</f>
        <v>2025</v>
      </c>
      <c r="T251" t="str">
        <f>IF(SalesData[[#This Row],[Profit Margin]]&gt;=30%,"High",IF(SalesData[[#This Row],[Profit Margin]]&gt;=15%,"Medium","Low"))</f>
        <v>High</v>
      </c>
    </row>
    <row r="252" spans="1:20" x14ac:dyDescent="0.35">
      <c r="A252" t="s">
        <v>542</v>
      </c>
      <c r="B252" s="23" t="s">
        <v>539</v>
      </c>
      <c r="C252" t="s">
        <v>543</v>
      </c>
      <c r="D252" t="s">
        <v>54</v>
      </c>
      <c r="E252" t="s">
        <v>103</v>
      </c>
      <c r="F252" t="s">
        <v>37</v>
      </c>
      <c r="G252" t="s">
        <v>140</v>
      </c>
      <c r="H252" t="s">
        <v>21</v>
      </c>
      <c r="I252">
        <v>1</v>
      </c>
      <c r="J252" s="4">
        <v>150</v>
      </c>
      <c r="K252" s="6">
        <v>0.05</v>
      </c>
      <c r="L252" s="8">
        <v>142.5</v>
      </c>
      <c r="M252" s="8">
        <v>75</v>
      </c>
      <c r="N252" s="8">
        <v>67.5</v>
      </c>
      <c r="O252" s="8">
        <f>SalesData[[#This Row],[Quantity]]*SalesData[[#This Row],[Unit Price]]*(1-SalesData[[#This Row],[Discount]])</f>
        <v>142.5</v>
      </c>
      <c r="P252" s="8">
        <f>SalesData[[#This Row],[Sales_Check]]-SalesData[[#This Row],[Cost]]</f>
        <v>67.5</v>
      </c>
      <c r="Q252" s="13">
        <f>IFERROR(SalesData[[#This Row],[Profit]]/SalesData[[#This Row],[Sales]],0)</f>
        <v>0.47368421052631576</v>
      </c>
      <c r="R252" t="str">
        <f>TEXT(SalesData[[#This Row],[Order Date]],"mmm-yyyy")</f>
        <v>Dec-2025</v>
      </c>
      <c r="S252">
        <f>YEAR(SalesData[[#This Row],[Order Date]])</f>
        <v>2025</v>
      </c>
      <c r="T252" t="str">
        <f>IF(SalesData[[#This Row],[Profit Margin]]&gt;=30%,"High",IF(SalesData[[#This Row],[Profit Margin]]&gt;=15%,"Medium","Low"))</f>
        <v>High</v>
      </c>
    </row>
    <row r="253" spans="1:20" x14ac:dyDescent="0.35">
      <c r="A253" t="s">
        <v>544</v>
      </c>
      <c r="B253" s="23" t="s">
        <v>539</v>
      </c>
      <c r="C253" t="s">
        <v>134</v>
      </c>
      <c r="D253" t="s">
        <v>17</v>
      </c>
      <c r="E253" t="s">
        <v>124</v>
      </c>
      <c r="F253" t="s">
        <v>37</v>
      </c>
      <c r="G253" t="s">
        <v>73</v>
      </c>
      <c r="H253" t="s">
        <v>125</v>
      </c>
      <c r="I253">
        <v>1</v>
      </c>
      <c r="J253" s="4">
        <v>1200</v>
      </c>
      <c r="K253" s="6">
        <v>0</v>
      </c>
      <c r="L253" s="8">
        <v>1200</v>
      </c>
      <c r="M253" s="8">
        <v>720</v>
      </c>
      <c r="N253" s="8">
        <v>480</v>
      </c>
      <c r="O253" s="8">
        <f>SalesData[[#This Row],[Quantity]]*SalesData[[#This Row],[Unit Price]]*(1-SalesData[[#This Row],[Discount]])</f>
        <v>1200</v>
      </c>
      <c r="P253" s="8">
        <f>SalesData[[#This Row],[Sales_Check]]-SalesData[[#This Row],[Cost]]</f>
        <v>480</v>
      </c>
      <c r="Q253" s="13">
        <f>IFERROR(SalesData[[#This Row],[Profit]]/SalesData[[#This Row],[Sales]],0)</f>
        <v>0.4</v>
      </c>
      <c r="R253" t="str">
        <f>TEXT(SalesData[[#This Row],[Order Date]],"mmm-yyyy")</f>
        <v>Dec-2025</v>
      </c>
      <c r="S253">
        <f>YEAR(SalesData[[#This Row],[Order Date]])</f>
        <v>2025</v>
      </c>
      <c r="T253" t="str">
        <f>IF(SalesData[[#This Row],[Profit Margin]]&gt;=30%,"High",IF(SalesData[[#This Row],[Profit Margin]]&gt;=15%,"Medium","Low"))</f>
        <v>High</v>
      </c>
    </row>
    <row r="254" spans="1:20" x14ac:dyDescent="0.35">
      <c r="A254" t="s">
        <v>545</v>
      </c>
      <c r="B254" s="23" t="s">
        <v>546</v>
      </c>
      <c r="C254" t="s">
        <v>248</v>
      </c>
      <c r="D254" t="s">
        <v>25</v>
      </c>
      <c r="E254" t="s">
        <v>89</v>
      </c>
      <c r="F254" t="s">
        <v>37</v>
      </c>
      <c r="G254" t="s">
        <v>73</v>
      </c>
      <c r="H254" t="s">
        <v>21</v>
      </c>
      <c r="I254">
        <v>5</v>
      </c>
      <c r="J254" s="4">
        <v>550</v>
      </c>
      <c r="K254" s="6">
        <v>0</v>
      </c>
      <c r="L254" s="8">
        <v>2750</v>
      </c>
      <c r="M254" s="8">
        <v>1500</v>
      </c>
      <c r="N254" s="8">
        <v>1250</v>
      </c>
      <c r="O254" s="8">
        <f>SalesData[[#This Row],[Quantity]]*SalesData[[#This Row],[Unit Price]]*(1-SalesData[[#This Row],[Discount]])</f>
        <v>2750</v>
      </c>
      <c r="P254" s="8">
        <f>SalesData[[#This Row],[Sales_Check]]-SalesData[[#This Row],[Cost]]</f>
        <v>1250</v>
      </c>
      <c r="Q254" s="13">
        <f>IFERROR(SalesData[[#This Row],[Profit]]/SalesData[[#This Row],[Sales]],0)</f>
        <v>0.45454545454545453</v>
      </c>
      <c r="R254" t="str">
        <f>TEXT(SalesData[[#This Row],[Order Date]],"mmm-yyyy")</f>
        <v>Dec-2025</v>
      </c>
      <c r="S254">
        <f>YEAR(SalesData[[#This Row],[Order Date]])</f>
        <v>2025</v>
      </c>
      <c r="T254" t="str">
        <f>IF(SalesData[[#This Row],[Profit Margin]]&gt;=30%,"High",IF(SalesData[[#This Row],[Profit Margin]]&gt;=15%,"Medium","Low"))</f>
        <v>High</v>
      </c>
    </row>
    <row r="255" spans="1:20" x14ac:dyDescent="0.35">
      <c r="A255" t="s">
        <v>547</v>
      </c>
      <c r="B255" s="23" t="s">
        <v>546</v>
      </c>
      <c r="C255" t="s">
        <v>331</v>
      </c>
      <c r="D255" t="s">
        <v>17</v>
      </c>
      <c r="E255" t="s">
        <v>50</v>
      </c>
      <c r="F255" t="s">
        <v>19</v>
      </c>
      <c r="G255" t="s">
        <v>215</v>
      </c>
      <c r="H255" t="s">
        <v>47</v>
      </c>
      <c r="I255">
        <v>8</v>
      </c>
      <c r="J255" s="4">
        <v>650</v>
      </c>
      <c r="K255" s="6">
        <v>0.05</v>
      </c>
      <c r="L255" s="8">
        <v>4940</v>
      </c>
      <c r="M255" s="8">
        <v>3040</v>
      </c>
      <c r="N255" s="8">
        <v>1900</v>
      </c>
      <c r="O255" s="8">
        <f>SalesData[[#This Row],[Quantity]]*SalesData[[#This Row],[Unit Price]]*(1-SalesData[[#This Row],[Discount]])</f>
        <v>4940</v>
      </c>
      <c r="P255" s="8">
        <f>SalesData[[#This Row],[Sales_Check]]-SalesData[[#This Row],[Cost]]</f>
        <v>1900</v>
      </c>
      <c r="Q255" s="13">
        <f>IFERROR(SalesData[[#This Row],[Profit]]/SalesData[[#This Row],[Sales]],0)</f>
        <v>0.38461538461538464</v>
      </c>
      <c r="R255" t="str">
        <f>TEXT(SalesData[[#This Row],[Order Date]],"mmm-yyyy")</f>
        <v>Dec-2025</v>
      </c>
      <c r="S255">
        <f>YEAR(SalesData[[#This Row],[Order Date]])</f>
        <v>2025</v>
      </c>
      <c r="T255" t="str">
        <f>IF(SalesData[[#This Row],[Profit Margin]]&gt;=30%,"High",IF(SalesData[[#This Row],[Profit Margin]]&gt;=15%,"Medium","Low"))</f>
        <v>High</v>
      </c>
    </row>
    <row r="256" spans="1:20" x14ac:dyDescent="0.35">
      <c r="A256" t="s">
        <v>548</v>
      </c>
      <c r="B256" s="23" t="s">
        <v>546</v>
      </c>
      <c r="C256" t="s">
        <v>549</v>
      </c>
      <c r="D256" t="s">
        <v>25</v>
      </c>
      <c r="E256" t="s">
        <v>89</v>
      </c>
      <c r="F256" t="s">
        <v>45</v>
      </c>
      <c r="G256" t="s">
        <v>122</v>
      </c>
      <c r="H256" t="s">
        <v>125</v>
      </c>
      <c r="I256">
        <v>2</v>
      </c>
      <c r="J256" s="4">
        <v>550</v>
      </c>
      <c r="K256" s="6">
        <v>0</v>
      </c>
      <c r="L256" s="8">
        <v>1100</v>
      </c>
      <c r="M256" s="8">
        <v>600</v>
      </c>
      <c r="N256" s="8">
        <v>500</v>
      </c>
      <c r="O256" s="8">
        <f>SalesData[[#This Row],[Quantity]]*SalesData[[#This Row],[Unit Price]]*(1-SalesData[[#This Row],[Discount]])</f>
        <v>1100</v>
      </c>
      <c r="P256" s="8">
        <f>SalesData[[#This Row],[Sales_Check]]-SalesData[[#This Row],[Cost]]</f>
        <v>500</v>
      </c>
      <c r="Q256" s="13">
        <f>IFERROR(SalesData[[#This Row],[Profit]]/SalesData[[#This Row],[Sales]],0)</f>
        <v>0.45454545454545453</v>
      </c>
      <c r="R256" t="str">
        <f>TEXT(SalesData[[#This Row],[Order Date]],"mmm-yyyy")</f>
        <v>Dec-2025</v>
      </c>
      <c r="S256">
        <f>YEAR(SalesData[[#This Row],[Order Date]])</f>
        <v>2025</v>
      </c>
      <c r="T256" t="str">
        <f>IF(SalesData[[#This Row],[Profit Margin]]&gt;=30%,"High",IF(SalesData[[#This Row],[Profit Margin]]&gt;=15%,"Medium","Low"))</f>
        <v>High</v>
      </c>
    </row>
    <row r="257" spans="1:20" x14ac:dyDescent="0.35">
      <c r="A257" t="s">
        <v>550</v>
      </c>
      <c r="B257" s="23" t="s">
        <v>546</v>
      </c>
      <c r="C257" t="s">
        <v>348</v>
      </c>
      <c r="D257" t="s">
        <v>43</v>
      </c>
      <c r="E257" t="s">
        <v>169</v>
      </c>
      <c r="F257" t="s">
        <v>45</v>
      </c>
      <c r="G257" t="s">
        <v>70</v>
      </c>
      <c r="H257" t="s">
        <v>125</v>
      </c>
      <c r="I257">
        <v>6</v>
      </c>
      <c r="J257" s="4">
        <v>350</v>
      </c>
      <c r="K257" s="6">
        <v>0.05</v>
      </c>
      <c r="L257" s="8">
        <v>1995</v>
      </c>
      <c r="M257" s="8">
        <v>1020</v>
      </c>
      <c r="N257" s="8">
        <v>975</v>
      </c>
      <c r="O257" s="8">
        <f>SalesData[[#This Row],[Quantity]]*SalesData[[#This Row],[Unit Price]]*(1-SalesData[[#This Row],[Discount]])</f>
        <v>1995</v>
      </c>
      <c r="P257" s="8">
        <f>SalesData[[#This Row],[Sales_Check]]-SalesData[[#This Row],[Cost]]</f>
        <v>975</v>
      </c>
      <c r="Q257" s="13">
        <f>IFERROR(SalesData[[#This Row],[Profit]]/SalesData[[#This Row],[Sales]],0)</f>
        <v>0.48872180451127817</v>
      </c>
      <c r="R257" t="str">
        <f>TEXT(SalesData[[#This Row],[Order Date]],"mmm-yyyy")</f>
        <v>Dec-2025</v>
      </c>
      <c r="S257">
        <f>YEAR(SalesData[[#This Row],[Order Date]])</f>
        <v>2025</v>
      </c>
      <c r="T257" t="str">
        <f>IF(SalesData[[#This Row],[Profit Margin]]&gt;=30%,"High",IF(SalesData[[#This Row],[Profit Margin]]&gt;=15%,"Medium","Low"))</f>
        <v>High</v>
      </c>
    </row>
    <row r="258" spans="1:20" x14ac:dyDescent="0.35">
      <c r="A258" t="s">
        <v>551</v>
      </c>
      <c r="B258" s="23" t="s">
        <v>552</v>
      </c>
      <c r="C258" t="s">
        <v>485</v>
      </c>
      <c r="D258" t="s">
        <v>25</v>
      </c>
      <c r="E258" t="s">
        <v>89</v>
      </c>
      <c r="F258" t="s">
        <v>45</v>
      </c>
      <c r="G258" t="s">
        <v>104</v>
      </c>
      <c r="H258" t="s">
        <v>47</v>
      </c>
      <c r="I258">
        <v>6</v>
      </c>
      <c r="J258" s="4">
        <v>550</v>
      </c>
      <c r="K258" s="6">
        <v>0</v>
      </c>
      <c r="L258" s="8">
        <v>3300</v>
      </c>
      <c r="M258" s="8">
        <v>1800</v>
      </c>
      <c r="N258" s="8">
        <v>1500</v>
      </c>
      <c r="O258" s="8">
        <f>SalesData[[#This Row],[Quantity]]*SalesData[[#This Row],[Unit Price]]*(1-SalesData[[#This Row],[Discount]])</f>
        <v>3300</v>
      </c>
      <c r="P258" s="8">
        <f>SalesData[[#This Row],[Sales_Check]]-SalesData[[#This Row],[Cost]]</f>
        <v>1500</v>
      </c>
      <c r="Q258" s="13">
        <f>IFERROR(SalesData[[#This Row],[Profit]]/SalesData[[#This Row],[Sales]],0)</f>
        <v>0.45454545454545453</v>
      </c>
      <c r="R258" t="str">
        <f>TEXT(SalesData[[#This Row],[Order Date]],"mmm-yyyy")</f>
        <v>Dec-2025</v>
      </c>
      <c r="S258">
        <f>YEAR(SalesData[[#This Row],[Order Date]])</f>
        <v>2025</v>
      </c>
      <c r="T258" t="str">
        <f>IF(SalesData[[#This Row],[Profit Margin]]&gt;=30%,"High",IF(SalesData[[#This Row],[Profit Margin]]&gt;=15%,"Medium","Low"))</f>
        <v>High</v>
      </c>
    </row>
    <row r="259" spans="1:20" x14ac:dyDescent="0.35">
      <c r="A259" t="s">
        <v>553</v>
      </c>
      <c r="B259" s="23" t="s">
        <v>552</v>
      </c>
      <c r="C259" t="s">
        <v>267</v>
      </c>
      <c r="D259" t="s">
        <v>25</v>
      </c>
      <c r="E259" t="s">
        <v>36</v>
      </c>
      <c r="F259" t="s">
        <v>37</v>
      </c>
      <c r="G259" t="s">
        <v>140</v>
      </c>
      <c r="H259" t="s">
        <v>47</v>
      </c>
      <c r="I259">
        <v>10</v>
      </c>
      <c r="J259" s="4">
        <v>700</v>
      </c>
      <c r="K259" s="6">
        <v>0</v>
      </c>
      <c r="L259" s="8">
        <v>7000</v>
      </c>
      <c r="M259" s="8">
        <v>4000</v>
      </c>
      <c r="N259" s="8">
        <v>3000</v>
      </c>
      <c r="O259" s="8">
        <f>SalesData[[#This Row],[Quantity]]*SalesData[[#This Row],[Unit Price]]*(1-SalesData[[#This Row],[Discount]])</f>
        <v>7000</v>
      </c>
      <c r="P259" s="8">
        <f>SalesData[[#This Row],[Sales_Check]]-SalesData[[#This Row],[Cost]]</f>
        <v>3000</v>
      </c>
      <c r="Q259" s="13">
        <f>IFERROR(SalesData[[#This Row],[Profit]]/SalesData[[#This Row],[Sales]],0)</f>
        <v>0.42857142857142855</v>
      </c>
      <c r="R259" t="str">
        <f>TEXT(SalesData[[#This Row],[Order Date]],"mmm-yyyy")</f>
        <v>Dec-2025</v>
      </c>
      <c r="S259">
        <f>YEAR(SalesData[[#This Row],[Order Date]])</f>
        <v>2025</v>
      </c>
      <c r="T259" t="str">
        <f>IF(SalesData[[#This Row],[Profit Margin]]&gt;=30%,"High",IF(SalesData[[#This Row],[Profit Margin]]&gt;=15%,"Medium","Low"))</f>
        <v>High</v>
      </c>
    </row>
    <row r="260" spans="1:20" x14ac:dyDescent="0.35">
      <c r="A260" t="s">
        <v>554</v>
      </c>
      <c r="B260" s="23" t="s">
        <v>555</v>
      </c>
      <c r="C260" t="s">
        <v>446</v>
      </c>
      <c r="D260" t="s">
        <v>54</v>
      </c>
      <c r="E260" t="s">
        <v>116</v>
      </c>
      <c r="F260" t="s">
        <v>37</v>
      </c>
      <c r="G260" t="s">
        <v>38</v>
      </c>
      <c r="H260" t="s">
        <v>29</v>
      </c>
      <c r="I260">
        <v>4</v>
      </c>
      <c r="J260" s="4">
        <v>450</v>
      </c>
      <c r="K260" s="6">
        <v>0</v>
      </c>
      <c r="L260" s="8">
        <v>1800</v>
      </c>
      <c r="M260" s="8">
        <v>1000</v>
      </c>
      <c r="N260" s="8">
        <v>800</v>
      </c>
      <c r="O260" s="8">
        <f>SalesData[[#This Row],[Quantity]]*SalesData[[#This Row],[Unit Price]]*(1-SalesData[[#This Row],[Discount]])</f>
        <v>1800</v>
      </c>
      <c r="P260" s="8">
        <f>SalesData[[#This Row],[Sales_Check]]-SalesData[[#This Row],[Cost]]</f>
        <v>800</v>
      </c>
      <c r="Q260" s="13">
        <f>IFERROR(SalesData[[#This Row],[Profit]]/SalesData[[#This Row],[Sales]],0)</f>
        <v>0.44444444444444442</v>
      </c>
      <c r="R260" t="str">
        <f>TEXT(SalesData[[#This Row],[Order Date]],"mmm-yyyy")</f>
        <v>Dec-2025</v>
      </c>
      <c r="S260">
        <f>YEAR(SalesData[[#This Row],[Order Date]])</f>
        <v>2025</v>
      </c>
      <c r="T260" t="str">
        <f>IF(SalesData[[#This Row],[Profit Margin]]&gt;=30%,"High",IF(SalesData[[#This Row],[Profit Margin]]&gt;=15%,"Medium","Low"))</f>
        <v>High</v>
      </c>
    </row>
    <row r="261" spans="1:20" x14ac:dyDescent="0.35">
      <c r="A261" t="s">
        <v>556</v>
      </c>
      <c r="B261" s="23" t="s">
        <v>555</v>
      </c>
      <c r="C261" t="s">
        <v>557</v>
      </c>
      <c r="D261" t="s">
        <v>25</v>
      </c>
      <c r="E261" t="s">
        <v>26</v>
      </c>
      <c r="F261" t="s">
        <v>45</v>
      </c>
      <c r="G261" t="s">
        <v>46</v>
      </c>
      <c r="H261" t="s">
        <v>125</v>
      </c>
      <c r="I261">
        <v>4</v>
      </c>
      <c r="J261" s="4">
        <v>600</v>
      </c>
      <c r="K261" s="6">
        <v>0.05</v>
      </c>
      <c r="L261" s="8">
        <v>2280</v>
      </c>
      <c r="M261" s="8">
        <v>1320</v>
      </c>
      <c r="N261" s="8">
        <v>960</v>
      </c>
      <c r="O261" s="8">
        <f>SalesData[[#This Row],[Quantity]]*SalesData[[#This Row],[Unit Price]]*(1-SalesData[[#This Row],[Discount]])</f>
        <v>2280</v>
      </c>
      <c r="P261" s="8">
        <f>SalesData[[#This Row],[Sales_Check]]-SalesData[[#This Row],[Cost]]</f>
        <v>960</v>
      </c>
      <c r="Q261" s="13">
        <f>IFERROR(SalesData[[#This Row],[Profit]]/SalesData[[#This Row],[Sales]],0)</f>
        <v>0.42105263157894735</v>
      </c>
      <c r="R261" t="str">
        <f>TEXT(SalesData[[#This Row],[Order Date]],"mmm-yyyy")</f>
        <v>Dec-2025</v>
      </c>
      <c r="S261">
        <f>YEAR(SalesData[[#This Row],[Order Date]])</f>
        <v>2025</v>
      </c>
      <c r="T261" t="str">
        <f>IF(SalesData[[#This Row],[Profit Margin]]&gt;=30%,"High",IF(SalesData[[#This Row],[Profit Margin]]&gt;=15%,"Medium","Low"))</f>
        <v>High</v>
      </c>
    </row>
    <row r="262" spans="1:20" x14ac:dyDescent="0.35">
      <c r="A262" t="s">
        <v>558</v>
      </c>
      <c r="B262" s="23" t="s">
        <v>559</v>
      </c>
      <c r="C262" t="s">
        <v>49</v>
      </c>
      <c r="D262" t="s">
        <v>43</v>
      </c>
      <c r="E262" t="s">
        <v>169</v>
      </c>
      <c r="F262" t="s">
        <v>45</v>
      </c>
      <c r="G262" t="s">
        <v>70</v>
      </c>
      <c r="H262" t="s">
        <v>47</v>
      </c>
      <c r="I262">
        <v>2</v>
      </c>
      <c r="J262" s="4">
        <v>350</v>
      </c>
      <c r="K262" s="6">
        <v>0</v>
      </c>
      <c r="L262" s="8">
        <v>700</v>
      </c>
      <c r="M262" s="8">
        <v>340</v>
      </c>
      <c r="N262" s="8">
        <v>360</v>
      </c>
      <c r="O262" s="8">
        <f>SalesData[[#This Row],[Quantity]]*SalesData[[#This Row],[Unit Price]]*(1-SalesData[[#This Row],[Discount]])</f>
        <v>700</v>
      </c>
      <c r="P262" s="8">
        <f>SalesData[[#This Row],[Sales_Check]]-SalesData[[#This Row],[Cost]]</f>
        <v>360</v>
      </c>
      <c r="Q262" s="13">
        <f>IFERROR(SalesData[[#This Row],[Profit]]/SalesData[[#This Row],[Sales]],0)</f>
        <v>0.51428571428571423</v>
      </c>
      <c r="R262" t="str">
        <f>TEXT(SalesData[[#This Row],[Order Date]],"mmm-yyyy")</f>
        <v>Dec-2025</v>
      </c>
      <c r="S262">
        <f>YEAR(SalesData[[#This Row],[Order Date]])</f>
        <v>2025</v>
      </c>
      <c r="T262" t="str">
        <f>IF(SalesData[[#This Row],[Profit Margin]]&gt;=30%,"High",IF(SalesData[[#This Row],[Profit Margin]]&gt;=15%,"Medium","Low"))</f>
        <v>High</v>
      </c>
    </row>
    <row r="263" spans="1:20" x14ac:dyDescent="0.35">
      <c r="A263" t="s">
        <v>560</v>
      </c>
      <c r="B263" s="23" t="s">
        <v>559</v>
      </c>
      <c r="C263" t="s">
        <v>138</v>
      </c>
      <c r="D263" t="s">
        <v>43</v>
      </c>
      <c r="E263" t="s">
        <v>143</v>
      </c>
      <c r="F263" t="s">
        <v>19</v>
      </c>
      <c r="G263" t="s">
        <v>113</v>
      </c>
      <c r="H263" t="s">
        <v>47</v>
      </c>
      <c r="I263">
        <v>6</v>
      </c>
      <c r="J263" s="4">
        <v>650</v>
      </c>
      <c r="K263" s="6">
        <v>0.05</v>
      </c>
      <c r="L263" s="8">
        <v>3705</v>
      </c>
      <c r="M263" s="8">
        <v>2100</v>
      </c>
      <c r="N263" s="8">
        <v>1605</v>
      </c>
      <c r="O263" s="8">
        <f>SalesData[[#This Row],[Quantity]]*SalesData[[#This Row],[Unit Price]]*(1-SalesData[[#This Row],[Discount]])</f>
        <v>3705</v>
      </c>
      <c r="P263" s="8">
        <f>SalesData[[#This Row],[Sales_Check]]-SalesData[[#This Row],[Cost]]</f>
        <v>1605</v>
      </c>
      <c r="Q263" s="13">
        <f>IFERROR(SalesData[[#This Row],[Profit]]/SalesData[[#This Row],[Sales]],0)</f>
        <v>0.4331983805668016</v>
      </c>
      <c r="R263" t="str">
        <f>TEXT(SalesData[[#This Row],[Order Date]],"mmm-yyyy")</f>
        <v>Dec-2025</v>
      </c>
      <c r="S263">
        <f>YEAR(SalesData[[#This Row],[Order Date]])</f>
        <v>2025</v>
      </c>
      <c r="T263" t="str">
        <f>IF(SalesData[[#This Row],[Profit Margin]]&gt;=30%,"High",IF(SalesData[[#This Row],[Profit Margin]]&gt;=15%,"Medium","Low"))</f>
        <v>High</v>
      </c>
    </row>
    <row r="264" spans="1:20" x14ac:dyDescent="0.35">
      <c r="A264" t="s">
        <v>561</v>
      </c>
      <c r="B264" s="23" t="s">
        <v>559</v>
      </c>
      <c r="C264" t="s">
        <v>257</v>
      </c>
      <c r="D264" t="s">
        <v>17</v>
      </c>
      <c r="E264" t="s">
        <v>124</v>
      </c>
      <c r="F264" t="s">
        <v>45</v>
      </c>
      <c r="G264" t="s">
        <v>122</v>
      </c>
      <c r="H264" t="s">
        <v>33</v>
      </c>
      <c r="I264">
        <v>2</v>
      </c>
      <c r="J264" s="4">
        <v>1200</v>
      </c>
      <c r="K264" s="6">
        <v>0</v>
      </c>
      <c r="L264" s="8">
        <v>2400</v>
      </c>
      <c r="M264" s="8">
        <v>1440</v>
      </c>
      <c r="N264" s="8">
        <v>960</v>
      </c>
      <c r="O264" s="8">
        <f>SalesData[[#This Row],[Quantity]]*SalesData[[#This Row],[Unit Price]]*(1-SalesData[[#This Row],[Discount]])</f>
        <v>2400</v>
      </c>
      <c r="P264" s="8">
        <f>SalesData[[#This Row],[Sales_Check]]-SalesData[[#This Row],[Cost]]</f>
        <v>960</v>
      </c>
      <c r="Q264" s="13">
        <f>IFERROR(SalesData[[#This Row],[Profit]]/SalesData[[#This Row],[Sales]],0)</f>
        <v>0.4</v>
      </c>
      <c r="R264" t="str">
        <f>TEXT(SalesData[[#This Row],[Order Date]],"mmm-yyyy")</f>
        <v>Dec-2025</v>
      </c>
      <c r="S264">
        <f>YEAR(SalesData[[#This Row],[Order Date]])</f>
        <v>2025</v>
      </c>
      <c r="T264" t="str">
        <f>IF(SalesData[[#This Row],[Profit Margin]]&gt;=30%,"High",IF(SalesData[[#This Row],[Profit Margin]]&gt;=15%,"Medium","Low"))</f>
        <v>High</v>
      </c>
    </row>
    <row r="265" spans="1:20" x14ac:dyDescent="0.35">
      <c r="A265" t="s">
        <v>562</v>
      </c>
      <c r="B265" s="23" t="s">
        <v>559</v>
      </c>
      <c r="C265" t="s">
        <v>238</v>
      </c>
      <c r="D265" t="s">
        <v>54</v>
      </c>
      <c r="E265" t="s">
        <v>116</v>
      </c>
      <c r="F265" t="s">
        <v>19</v>
      </c>
      <c r="G265" t="s">
        <v>215</v>
      </c>
      <c r="H265" t="s">
        <v>47</v>
      </c>
      <c r="I265">
        <v>7</v>
      </c>
      <c r="J265" s="4">
        <v>450</v>
      </c>
      <c r="K265" s="6">
        <v>0.05</v>
      </c>
      <c r="L265" s="8">
        <v>2992.5</v>
      </c>
      <c r="M265" s="8">
        <v>1750</v>
      </c>
      <c r="N265" s="8">
        <v>1242.5</v>
      </c>
      <c r="O265" s="8">
        <f>SalesData[[#This Row],[Quantity]]*SalesData[[#This Row],[Unit Price]]*(1-SalesData[[#This Row],[Discount]])</f>
        <v>2992.5</v>
      </c>
      <c r="P265" s="8">
        <f>SalesData[[#This Row],[Sales_Check]]-SalesData[[#This Row],[Cost]]</f>
        <v>1242.5</v>
      </c>
      <c r="Q265" s="13">
        <f>IFERROR(SalesData[[#This Row],[Profit]]/SalesData[[#This Row],[Sales]],0)</f>
        <v>0.41520467836257308</v>
      </c>
      <c r="R265" t="str">
        <f>TEXT(SalesData[[#This Row],[Order Date]],"mmm-yyyy")</f>
        <v>Dec-2025</v>
      </c>
      <c r="S265">
        <f>YEAR(SalesData[[#This Row],[Order Date]])</f>
        <v>2025</v>
      </c>
      <c r="T265" t="str">
        <f>IF(SalesData[[#This Row],[Profit Margin]]&gt;=30%,"High",IF(SalesData[[#This Row],[Profit Margin]]&gt;=15%,"Medium","Low"))</f>
        <v>High</v>
      </c>
    </row>
    <row r="266" spans="1:20" x14ac:dyDescent="0.35">
      <c r="A266" t="s">
        <v>563</v>
      </c>
      <c r="B266" s="23" t="s">
        <v>564</v>
      </c>
      <c r="C266" t="s">
        <v>224</v>
      </c>
      <c r="D266" t="s">
        <v>54</v>
      </c>
      <c r="E266" t="s">
        <v>55</v>
      </c>
      <c r="F266" t="s">
        <v>19</v>
      </c>
      <c r="G266" t="s">
        <v>20</v>
      </c>
      <c r="H266" t="s">
        <v>29</v>
      </c>
      <c r="I266">
        <v>8</v>
      </c>
      <c r="J266" s="4">
        <v>180</v>
      </c>
      <c r="K266" s="6">
        <v>0.05</v>
      </c>
      <c r="L266" s="8">
        <v>1368</v>
      </c>
      <c r="M266" s="8">
        <v>720</v>
      </c>
      <c r="N266" s="8">
        <v>648</v>
      </c>
      <c r="O266" s="8">
        <f>SalesData[[#This Row],[Quantity]]*SalesData[[#This Row],[Unit Price]]*(1-SalesData[[#This Row],[Discount]])</f>
        <v>1368</v>
      </c>
      <c r="P266" s="8">
        <f>SalesData[[#This Row],[Sales_Check]]-SalesData[[#This Row],[Cost]]</f>
        <v>648</v>
      </c>
      <c r="Q266" s="13">
        <f>IFERROR(SalesData[[#This Row],[Profit]]/SalesData[[#This Row],[Sales]],0)</f>
        <v>0.47368421052631576</v>
      </c>
      <c r="R266" t="str">
        <f>TEXT(SalesData[[#This Row],[Order Date]],"mmm-yyyy")</f>
        <v>Dec-2025</v>
      </c>
      <c r="S266">
        <f>YEAR(SalesData[[#This Row],[Order Date]])</f>
        <v>2025</v>
      </c>
      <c r="T266" t="str">
        <f>IF(SalesData[[#This Row],[Profit Margin]]&gt;=30%,"High",IF(SalesData[[#This Row],[Profit Margin]]&gt;=15%,"Medium","Low"))</f>
        <v>High</v>
      </c>
    </row>
    <row r="267" spans="1:20" x14ac:dyDescent="0.35">
      <c r="A267" t="s">
        <v>565</v>
      </c>
      <c r="B267" s="23" t="s">
        <v>564</v>
      </c>
      <c r="C267" t="s">
        <v>566</v>
      </c>
      <c r="D267" t="s">
        <v>54</v>
      </c>
      <c r="E267" t="s">
        <v>110</v>
      </c>
      <c r="F267" t="s">
        <v>37</v>
      </c>
      <c r="G267" t="s">
        <v>97</v>
      </c>
      <c r="H267" t="s">
        <v>29</v>
      </c>
      <c r="I267">
        <v>9</v>
      </c>
      <c r="J267" s="4">
        <v>280</v>
      </c>
      <c r="K267" s="6">
        <v>0</v>
      </c>
      <c r="L267" s="8">
        <v>2520</v>
      </c>
      <c r="M267" s="8">
        <v>1350</v>
      </c>
      <c r="N267" s="8">
        <v>1170</v>
      </c>
      <c r="O267" s="8">
        <f>SalesData[[#This Row],[Quantity]]*SalesData[[#This Row],[Unit Price]]*(1-SalesData[[#This Row],[Discount]])</f>
        <v>2520</v>
      </c>
      <c r="P267" s="8">
        <f>SalesData[[#This Row],[Sales_Check]]-SalesData[[#This Row],[Cost]]</f>
        <v>1170</v>
      </c>
      <c r="Q267" s="13">
        <f>IFERROR(SalesData[[#This Row],[Profit]]/SalesData[[#This Row],[Sales]],0)</f>
        <v>0.4642857142857143</v>
      </c>
      <c r="R267" t="str">
        <f>TEXT(SalesData[[#This Row],[Order Date]],"mmm-yyyy")</f>
        <v>Dec-2025</v>
      </c>
      <c r="S267">
        <f>YEAR(SalesData[[#This Row],[Order Date]])</f>
        <v>2025</v>
      </c>
      <c r="T267" t="str">
        <f>IF(SalesData[[#This Row],[Profit Margin]]&gt;=30%,"High",IF(SalesData[[#This Row],[Profit Margin]]&gt;=15%,"Medium","Low"))</f>
        <v>High</v>
      </c>
    </row>
    <row r="268" spans="1:20" x14ac:dyDescent="0.35">
      <c r="A268" t="s">
        <v>567</v>
      </c>
      <c r="B268" s="23" t="s">
        <v>568</v>
      </c>
      <c r="C268" t="s">
        <v>569</v>
      </c>
      <c r="D268" t="s">
        <v>43</v>
      </c>
      <c r="E268" t="s">
        <v>62</v>
      </c>
      <c r="F268" t="s">
        <v>27</v>
      </c>
      <c r="G268" t="s">
        <v>90</v>
      </c>
      <c r="H268" t="s">
        <v>39</v>
      </c>
      <c r="I268">
        <v>7</v>
      </c>
      <c r="J268" s="4">
        <v>500</v>
      </c>
      <c r="K268" s="6">
        <v>0</v>
      </c>
      <c r="L268" s="8">
        <v>3500</v>
      </c>
      <c r="M268" s="8">
        <v>1960</v>
      </c>
      <c r="N268" s="8">
        <v>1540</v>
      </c>
      <c r="O268" s="8">
        <f>SalesData[[#This Row],[Quantity]]*SalesData[[#This Row],[Unit Price]]*(1-SalesData[[#This Row],[Discount]])</f>
        <v>3500</v>
      </c>
      <c r="P268" s="8">
        <f>SalesData[[#This Row],[Sales_Check]]-SalesData[[#This Row],[Cost]]</f>
        <v>1540</v>
      </c>
      <c r="Q268" s="13">
        <f>IFERROR(SalesData[[#This Row],[Profit]]/SalesData[[#This Row],[Sales]],0)</f>
        <v>0.44</v>
      </c>
      <c r="R268" t="str">
        <f>TEXT(SalesData[[#This Row],[Order Date]],"mmm-yyyy")</f>
        <v>Dec-2025</v>
      </c>
      <c r="S268">
        <f>YEAR(SalesData[[#This Row],[Order Date]])</f>
        <v>2025</v>
      </c>
      <c r="T268" t="str">
        <f>IF(SalesData[[#This Row],[Profit Margin]]&gt;=30%,"High",IF(SalesData[[#This Row],[Profit Margin]]&gt;=15%,"Medium","Low"))</f>
        <v>High</v>
      </c>
    </row>
    <row r="269" spans="1:20" x14ac:dyDescent="0.35">
      <c r="A269" t="s">
        <v>570</v>
      </c>
      <c r="B269" s="23" t="s">
        <v>568</v>
      </c>
      <c r="C269" t="s">
        <v>24</v>
      </c>
      <c r="D269" t="s">
        <v>43</v>
      </c>
      <c r="E269" t="s">
        <v>169</v>
      </c>
      <c r="F269" t="s">
        <v>37</v>
      </c>
      <c r="G269" t="s">
        <v>97</v>
      </c>
      <c r="H269" t="s">
        <v>125</v>
      </c>
      <c r="I269">
        <v>1</v>
      </c>
      <c r="J269" s="4">
        <v>350</v>
      </c>
      <c r="K269" s="6">
        <v>0.05</v>
      </c>
      <c r="L269" s="8">
        <v>332.5</v>
      </c>
      <c r="M269" s="8">
        <v>170</v>
      </c>
      <c r="N269" s="8">
        <v>162.5</v>
      </c>
      <c r="O269" s="8">
        <f>SalesData[[#This Row],[Quantity]]*SalesData[[#This Row],[Unit Price]]*(1-SalesData[[#This Row],[Discount]])</f>
        <v>332.5</v>
      </c>
      <c r="P269" s="8">
        <f>SalesData[[#This Row],[Sales_Check]]-SalesData[[#This Row],[Cost]]</f>
        <v>162.5</v>
      </c>
      <c r="Q269" s="13">
        <f>IFERROR(SalesData[[#This Row],[Profit]]/SalesData[[#This Row],[Sales]],0)</f>
        <v>0.48872180451127817</v>
      </c>
      <c r="R269" t="str">
        <f>TEXT(SalesData[[#This Row],[Order Date]],"mmm-yyyy")</f>
        <v>Dec-2025</v>
      </c>
      <c r="S269">
        <f>YEAR(SalesData[[#This Row],[Order Date]])</f>
        <v>2025</v>
      </c>
      <c r="T269" t="str">
        <f>IF(SalesData[[#This Row],[Profit Margin]]&gt;=30%,"High",IF(SalesData[[#This Row],[Profit Margin]]&gt;=15%,"Medium","Low"))</f>
        <v>High</v>
      </c>
    </row>
    <row r="270" spans="1:20" x14ac:dyDescent="0.35">
      <c r="A270" t="s">
        <v>571</v>
      </c>
      <c r="B270" s="23" t="s">
        <v>568</v>
      </c>
      <c r="C270" t="s">
        <v>339</v>
      </c>
      <c r="D270" t="s">
        <v>17</v>
      </c>
      <c r="E270" t="s">
        <v>65</v>
      </c>
      <c r="F270" t="s">
        <v>37</v>
      </c>
      <c r="G270" t="s">
        <v>140</v>
      </c>
      <c r="H270" t="s">
        <v>33</v>
      </c>
      <c r="I270">
        <v>8</v>
      </c>
      <c r="J270" s="4">
        <v>2200</v>
      </c>
      <c r="K270" s="6">
        <v>0.05</v>
      </c>
      <c r="L270" s="8">
        <v>16720</v>
      </c>
      <c r="M270" s="8">
        <v>11200</v>
      </c>
      <c r="N270" s="8">
        <v>5520</v>
      </c>
      <c r="O270" s="8">
        <f>SalesData[[#This Row],[Quantity]]*SalesData[[#This Row],[Unit Price]]*(1-SalesData[[#This Row],[Discount]])</f>
        <v>16720</v>
      </c>
      <c r="P270" s="8">
        <f>SalesData[[#This Row],[Sales_Check]]-SalesData[[#This Row],[Cost]]</f>
        <v>5520</v>
      </c>
      <c r="Q270" s="13">
        <f>IFERROR(SalesData[[#This Row],[Profit]]/SalesData[[#This Row],[Sales]],0)</f>
        <v>0.33014354066985646</v>
      </c>
      <c r="R270" t="str">
        <f>TEXT(SalesData[[#This Row],[Order Date]],"mmm-yyyy")</f>
        <v>Dec-2025</v>
      </c>
      <c r="S270">
        <f>YEAR(SalesData[[#This Row],[Order Date]])</f>
        <v>2025</v>
      </c>
      <c r="T270" t="str">
        <f>IF(SalesData[[#This Row],[Profit Margin]]&gt;=30%,"High",IF(SalesData[[#This Row],[Profit Margin]]&gt;=15%,"Medium","Low"))</f>
        <v>High</v>
      </c>
    </row>
    <row r="271" spans="1:20" x14ac:dyDescent="0.35">
      <c r="A271" t="s">
        <v>572</v>
      </c>
      <c r="B271" s="23" t="s">
        <v>568</v>
      </c>
      <c r="C271" t="s">
        <v>145</v>
      </c>
      <c r="D271" t="s">
        <v>17</v>
      </c>
      <c r="E271" t="s">
        <v>65</v>
      </c>
      <c r="F271" t="s">
        <v>19</v>
      </c>
      <c r="G271" t="s">
        <v>215</v>
      </c>
      <c r="H271" t="s">
        <v>21</v>
      </c>
      <c r="I271">
        <v>2</v>
      </c>
      <c r="J271" s="4">
        <v>2200</v>
      </c>
      <c r="K271" s="6">
        <v>0.1</v>
      </c>
      <c r="L271" s="8">
        <v>3960</v>
      </c>
      <c r="M271" s="8">
        <v>2800</v>
      </c>
      <c r="N271" s="8">
        <v>1160</v>
      </c>
      <c r="O271" s="8">
        <f>SalesData[[#This Row],[Quantity]]*SalesData[[#This Row],[Unit Price]]*(1-SalesData[[#This Row],[Discount]])</f>
        <v>3960</v>
      </c>
      <c r="P271" s="8">
        <f>SalesData[[#This Row],[Sales_Check]]-SalesData[[#This Row],[Cost]]</f>
        <v>1160</v>
      </c>
      <c r="Q271" s="13">
        <f>IFERROR(SalesData[[#This Row],[Profit]]/SalesData[[#This Row],[Sales]],0)</f>
        <v>0.29292929292929293</v>
      </c>
      <c r="R271" t="str">
        <f>TEXT(SalesData[[#This Row],[Order Date]],"mmm-yyyy")</f>
        <v>Dec-2025</v>
      </c>
      <c r="S271">
        <f>YEAR(SalesData[[#This Row],[Order Date]])</f>
        <v>2025</v>
      </c>
      <c r="T271" t="str">
        <f>IF(SalesData[[#This Row],[Profit Margin]]&gt;=30%,"High",IF(SalesData[[#This Row],[Profit Margin]]&gt;=15%,"Medium","Low"))</f>
        <v>Medium</v>
      </c>
    </row>
    <row r="272" spans="1:20" x14ac:dyDescent="0.35">
      <c r="A272" t="s">
        <v>573</v>
      </c>
      <c r="B272" s="23" t="s">
        <v>574</v>
      </c>
      <c r="C272" t="s">
        <v>575</v>
      </c>
      <c r="D272" t="s">
        <v>43</v>
      </c>
      <c r="E272" t="s">
        <v>250</v>
      </c>
      <c r="F272" t="s">
        <v>37</v>
      </c>
      <c r="G272" t="s">
        <v>73</v>
      </c>
      <c r="H272" t="s">
        <v>125</v>
      </c>
      <c r="I272">
        <v>6</v>
      </c>
      <c r="J272" s="4">
        <v>900</v>
      </c>
      <c r="K272" s="6">
        <v>0.1</v>
      </c>
      <c r="L272" s="8">
        <v>4860</v>
      </c>
      <c r="M272" s="8">
        <v>3120</v>
      </c>
      <c r="N272" s="8">
        <v>1740</v>
      </c>
      <c r="O272" s="8">
        <f>SalesData[[#This Row],[Quantity]]*SalesData[[#This Row],[Unit Price]]*(1-SalesData[[#This Row],[Discount]])</f>
        <v>4860</v>
      </c>
      <c r="P272" s="8">
        <f>SalesData[[#This Row],[Sales_Check]]-SalesData[[#This Row],[Cost]]</f>
        <v>1740</v>
      </c>
      <c r="Q272" s="13">
        <f>IFERROR(SalesData[[#This Row],[Profit]]/SalesData[[#This Row],[Sales]],0)</f>
        <v>0.35802469135802467</v>
      </c>
      <c r="R272" t="str">
        <f>TEXT(SalesData[[#This Row],[Order Date]],"mmm-yyyy")</f>
        <v>Dec-2025</v>
      </c>
      <c r="S272">
        <f>YEAR(SalesData[[#This Row],[Order Date]])</f>
        <v>2025</v>
      </c>
      <c r="T272" t="str">
        <f>IF(SalesData[[#This Row],[Profit Margin]]&gt;=30%,"High",IF(SalesData[[#This Row],[Profit Margin]]&gt;=15%,"Medium","Low"))</f>
        <v>High</v>
      </c>
    </row>
    <row r="273" spans="1:20" x14ac:dyDescent="0.35">
      <c r="A273" t="s">
        <v>576</v>
      </c>
      <c r="B273" s="23" t="s">
        <v>574</v>
      </c>
      <c r="C273" t="s">
        <v>362</v>
      </c>
      <c r="D273" t="s">
        <v>43</v>
      </c>
      <c r="E273" t="s">
        <v>44</v>
      </c>
      <c r="F273" t="s">
        <v>37</v>
      </c>
      <c r="G273" t="s">
        <v>97</v>
      </c>
      <c r="H273" t="s">
        <v>47</v>
      </c>
      <c r="I273">
        <v>2</v>
      </c>
      <c r="J273" s="4">
        <v>2200</v>
      </c>
      <c r="K273" s="6">
        <v>0</v>
      </c>
      <c r="L273" s="8">
        <v>4400</v>
      </c>
      <c r="M273" s="8">
        <v>2900</v>
      </c>
      <c r="N273" s="8">
        <v>1500</v>
      </c>
      <c r="O273" s="8">
        <f>SalesData[[#This Row],[Quantity]]*SalesData[[#This Row],[Unit Price]]*(1-SalesData[[#This Row],[Discount]])</f>
        <v>4400</v>
      </c>
      <c r="P273" s="8">
        <f>SalesData[[#This Row],[Sales_Check]]-SalesData[[#This Row],[Cost]]</f>
        <v>1500</v>
      </c>
      <c r="Q273" s="13">
        <f>IFERROR(SalesData[[#This Row],[Profit]]/SalesData[[#This Row],[Sales]],0)</f>
        <v>0.34090909090909088</v>
      </c>
      <c r="R273" t="str">
        <f>TEXT(SalesData[[#This Row],[Order Date]],"mmm-yyyy")</f>
        <v>Dec-2025</v>
      </c>
      <c r="S273">
        <f>YEAR(SalesData[[#This Row],[Order Date]])</f>
        <v>2025</v>
      </c>
      <c r="T273" t="str">
        <f>IF(SalesData[[#This Row],[Profit Margin]]&gt;=30%,"High",IF(SalesData[[#This Row],[Profit Margin]]&gt;=15%,"Medium","Low"))</f>
        <v>High</v>
      </c>
    </row>
    <row r="274" spans="1:20" x14ac:dyDescent="0.35">
      <c r="A274" t="s">
        <v>577</v>
      </c>
      <c r="B274" s="23" t="s">
        <v>578</v>
      </c>
      <c r="C274" t="s">
        <v>242</v>
      </c>
      <c r="D274" t="s">
        <v>25</v>
      </c>
      <c r="E274" t="s">
        <v>26</v>
      </c>
      <c r="F274" t="s">
        <v>45</v>
      </c>
      <c r="G274" t="s">
        <v>122</v>
      </c>
      <c r="H274" t="s">
        <v>125</v>
      </c>
      <c r="I274">
        <v>3</v>
      </c>
      <c r="J274" s="4">
        <v>600</v>
      </c>
      <c r="K274" s="6">
        <v>0</v>
      </c>
      <c r="L274" s="8">
        <v>1800</v>
      </c>
      <c r="M274" s="8">
        <v>990</v>
      </c>
      <c r="N274" s="8">
        <v>810</v>
      </c>
      <c r="O274" s="8">
        <f>SalesData[[#This Row],[Quantity]]*SalesData[[#This Row],[Unit Price]]*(1-SalesData[[#This Row],[Discount]])</f>
        <v>1800</v>
      </c>
      <c r="P274" s="8">
        <f>SalesData[[#This Row],[Sales_Check]]-SalesData[[#This Row],[Cost]]</f>
        <v>810</v>
      </c>
      <c r="Q274" s="13">
        <f>IFERROR(SalesData[[#This Row],[Profit]]/SalesData[[#This Row],[Sales]],0)</f>
        <v>0.45</v>
      </c>
      <c r="R274" t="str">
        <f>TEXT(SalesData[[#This Row],[Order Date]],"mmm-yyyy")</f>
        <v>Dec-2025</v>
      </c>
      <c r="S274">
        <f>YEAR(SalesData[[#This Row],[Order Date]])</f>
        <v>2025</v>
      </c>
      <c r="T274" t="str">
        <f>IF(SalesData[[#This Row],[Profit Margin]]&gt;=30%,"High",IF(SalesData[[#This Row],[Profit Margin]]&gt;=15%,"Medium","Low"))</f>
        <v>High</v>
      </c>
    </row>
    <row r="275" spans="1:20" x14ac:dyDescent="0.35">
      <c r="A275" t="s">
        <v>579</v>
      </c>
      <c r="B275" s="23" t="s">
        <v>580</v>
      </c>
      <c r="C275" t="s">
        <v>388</v>
      </c>
      <c r="D275" t="s">
        <v>54</v>
      </c>
      <c r="E275" t="s">
        <v>110</v>
      </c>
      <c r="F275" t="s">
        <v>19</v>
      </c>
      <c r="G275" t="s">
        <v>215</v>
      </c>
      <c r="H275" t="s">
        <v>39</v>
      </c>
      <c r="I275">
        <v>8</v>
      </c>
      <c r="J275" s="4">
        <v>280</v>
      </c>
      <c r="K275" s="6">
        <v>0.05</v>
      </c>
      <c r="L275" s="8">
        <v>2128</v>
      </c>
      <c r="M275" s="8">
        <v>1200</v>
      </c>
      <c r="N275" s="8">
        <v>928</v>
      </c>
      <c r="O275" s="8">
        <f>SalesData[[#This Row],[Quantity]]*SalesData[[#This Row],[Unit Price]]*(1-SalesData[[#This Row],[Discount]])</f>
        <v>2128</v>
      </c>
      <c r="P275" s="8">
        <f>SalesData[[#This Row],[Sales_Check]]-SalesData[[#This Row],[Cost]]</f>
        <v>928</v>
      </c>
      <c r="Q275" s="13">
        <f>IFERROR(SalesData[[#This Row],[Profit]]/SalesData[[#This Row],[Sales]],0)</f>
        <v>0.43609022556390975</v>
      </c>
      <c r="R275" t="str">
        <f>TEXT(SalesData[[#This Row],[Order Date]],"mmm-yyyy")</f>
        <v>Dec-2025</v>
      </c>
      <c r="S275">
        <f>YEAR(SalesData[[#This Row],[Order Date]])</f>
        <v>2025</v>
      </c>
      <c r="T275" t="str">
        <f>IF(SalesData[[#This Row],[Profit Margin]]&gt;=30%,"High",IF(SalesData[[#This Row],[Profit Margin]]&gt;=15%,"Medium","Low"))</f>
        <v>High</v>
      </c>
    </row>
    <row r="276" spans="1:20" x14ac:dyDescent="0.35">
      <c r="A276" t="s">
        <v>581</v>
      </c>
      <c r="B276" s="23" t="s">
        <v>580</v>
      </c>
      <c r="C276" t="s">
        <v>464</v>
      </c>
      <c r="D276" t="s">
        <v>17</v>
      </c>
      <c r="E276" t="s">
        <v>32</v>
      </c>
      <c r="F276" t="s">
        <v>37</v>
      </c>
      <c r="G276" t="s">
        <v>73</v>
      </c>
      <c r="H276" t="s">
        <v>21</v>
      </c>
      <c r="I276">
        <v>2</v>
      </c>
      <c r="J276" s="4">
        <v>1500</v>
      </c>
      <c r="K276" s="6">
        <v>0.1</v>
      </c>
      <c r="L276" s="8">
        <v>2700</v>
      </c>
      <c r="M276" s="8">
        <v>1800</v>
      </c>
      <c r="N276" s="8">
        <v>900</v>
      </c>
      <c r="O276" s="8">
        <f>SalesData[[#This Row],[Quantity]]*SalesData[[#This Row],[Unit Price]]*(1-SalesData[[#This Row],[Discount]])</f>
        <v>2700</v>
      </c>
      <c r="P276" s="8">
        <f>SalesData[[#This Row],[Sales_Check]]-SalesData[[#This Row],[Cost]]</f>
        <v>900</v>
      </c>
      <c r="Q276" s="13">
        <f>IFERROR(SalesData[[#This Row],[Profit]]/SalesData[[#This Row],[Sales]],0)</f>
        <v>0.33333333333333331</v>
      </c>
      <c r="R276" t="str">
        <f>TEXT(SalesData[[#This Row],[Order Date]],"mmm-yyyy")</f>
        <v>Dec-2025</v>
      </c>
      <c r="S276">
        <f>YEAR(SalesData[[#This Row],[Order Date]])</f>
        <v>2025</v>
      </c>
      <c r="T276" t="str">
        <f>IF(SalesData[[#This Row],[Profit Margin]]&gt;=30%,"High",IF(SalesData[[#This Row],[Profit Margin]]&gt;=15%,"Medium","Low"))</f>
        <v>High</v>
      </c>
    </row>
    <row r="277" spans="1:20" x14ac:dyDescent="0.35">
      <c r="A277" t="s">
        <v>582</v>
      </c>
      <c r="B277" s="23" t="s">
        <v>580</v>
      </c>
      <c r="C277" t="s">
        <v>528</v>
      </c>
      <c r="D277" t="s">
        <v>25</v>
      </c>
      <c r="E277" t="s">
        <v>80</v>
      </c>
      <c r="F277" t="s">
        <v>37</v>
      </c>
      <c r="G277" t="s">
        <v>73</v>
      </c>
      <c r="H277" t="s">
        <v>125</v>
      </c>
      <c r="I277">
        <v>10</v>
      </c>
      <c r="J277" s="4">
        <v>950</v>
      </c>
      <c r="K277" s="6">
        <v>0.1</v>
      </c>
      <c r="L277" s="8">
        <v>8550</v>
      </c>
      <c r="M277" s="8">
        <v>5600</v>
      </c>
      <c r="N277" s="8">
        <v>2950</v>
      </c>
      <c r="O277" s="8">
        <f>SalesData[[#This Row],[Quantity]]*SalesData[[#This Row],[Unit Price]]*(1-SalesData[[#This Row],[Discount]])</f>
        <v>8550</v>
      </c>
      <c r="P277" s="8">
        <f>SalesData[[#This Row],[Sales_Check]]-SalesData[[#This Row],[Cost]]</f>
        <v>2950</v>
      </c>
      <c r="Q277" s="13">
        <f>IFERROR(SalesData[[#This Row],[Profit]]/SalesData[[#This Row],[Sales]],0)</f>
        <v>0.34502923976608185</v>
      </c>
      <c r="R277" t="str">
        <f>TEXT(SalesData[[#This Row],[Order Date]],"mmm-yyyy")</f>
        <v>Dec-2025</v>
      </c>
      <c r="S277">
        <f>YEAR(SalesData[[#This Row],[Order Date]])</f>
        <v>2025</v>
      </c>
      <c r="T277" t="str">
        <f>IF(SalesData[[#This Row],[Profit Margin]]&gt;=30%,"High",IF(SalesData[[#This Row],[Profit Margin]]&gt;=15%,"Medium","Low"))</f>
        <v>High</v>
      </c>
    </row>
    <row r="278" spans="1:20" x14ac:dyDescent="0.35">
      <c r="A278" t="s">
        <v>583</v>
      </c>
      <c r="B278" s="23" t="s">
        <v>580</v>
      </c>
      <c r="C278" t="s">
        <v>566</v>
      </c>
      <c r="D278" t="s">
        <v>17</v>
      </c>
      <c r="E278" t="s">
        <v>32</v>
      </c>
      <c r="F278" t="s">
        <v>45</v>
      </c>
      <c r="G278" t="s">
        <v>70</v>
      </c>
      <c r="H278" t="s">
        <v>47</v>
      </c>
      <c r="I278">
        <v>7</v>
      </c>
      <c r="J278" s="4">
        <v>1500</v>
      </c>
      <c r="K278" s="6">
        <v>0.1</v>
      </c>
      <c r="L278" s="8">
        <v>9450</v>
      </c>
      <c r="M278" s="8">
        <v>6300</v>
      </c>
      <c r="N278" s="8">
        <v>3150</v>
      </c>
      <c r="O278" s="8">
        <f>SalesData[[#This Row],[Quantity]]*SalesData[[#This Row],[Unit Price]]*(1-SalesData[[#This Row],[Discount]])</f>
        <v>9450</v>
      </c>
      <c r="P278" s="8">
        <f>SalesData[[#This Row],[Sales_Check]]-SalesData[[#This Row],[Cost]]</f>
        <v>3150</v>
      </c>
      <c r="Q278" s="13">
        <f>IFERROR(SalesData[[#This Row],[Profit]]/SalesData[[#This Row],[Sales]],0)</f>
        <v>0.33333333333333331</v>
      </c>
      <c r="R278" t="str">
        <f>TEXT(SalesData[[#This Row],[Order Date]],"mmm-yyyy")</f>
        <v>Dec-2025</v>
      </c>
      <c r="S278">
        <f>YEAR(SalesData[[#This Row],[Order Date]])</f>
        <v>2025</v>
      </c>
      <c r="T278" t="str">
        <f>IF(SalesData[[#This Row],[Profit Margin]]&gt;=30%,"High",IF(SalesData[[#This Row],[Profit Margin]]&gt;=15%,"Medium","Low"))</f>
        <v>High</v>
      </c>
    </row>
    <row r="279" spans="1:20" x14ac:dyDescent="0.35">
      <c r="A279" t="s">
        <v>584</v>
      </c>
      <c r="B279" s="23" t="s">
        <v>585</v>
      </c>
      <c r="C279" t="s">
        <v>82</v>
      </c>
      <c r="D279" t="s">
        <v>43</v>
      </c>
      <c r="E279" t="s">
        <v>250</v>
      </c>
      <c r="F279" t="s">
        <v>27</v>
      </c>
      <c r="G279" t="s">
        <v>51</v>
      </c>
      <c r="H279" t="s">
        <v>29</v>
      </c>
      <c r="I279">
        <v>1</v>
      </c>
      <c r="J279" s="4">
        <v>900</v>
      </c>
      <c r="K279" s="6">
        <v>0</v>
      </c>
      <c r="L279" s="8">
        <v>900</v>
      </c>
      <c r="M279" s="8">
        <v>520</v>
      </c>
      <c r="N279" s="8">
        <v>380</v>
      </c>
      <c r="O279" s="8">
        <f>SalesData[[#This Row],[Quantity]]*SalesData[[#This Row],[Unit Price]]*(1-SalesData[[#This Row],[Discount]])</f>
        <v>900</v>
      </c>
      <c r="P279" s="8">
        <f>SalesData[[#This Row],[Sales_Check]]-SalesData[[#This Row],[Cost]]</f>
        <v>380</v>
      </c>
      <c r="Q279" s="13">
        <f>IFERROR(SalesData[[#This Row],[Profit]]/SalesData[[#This Row],[Sales]],0)</f>
        <v>0.42222222222222222</v>
      </c>
      <c r="R279" t="str">
        <f>TEXT(SalesData[[#This Row],[Order Date]],"mmm-yyyy")</f>
        <v>Dec-2025</v>
      </c>
      <c r="S279">
        <f>YEAR(SalesData[[#This Row],[Order Date]])</f>
        <v>2025</v>
      </c>
      <c r="T279" t="str">
        <f>IF(SalesData[[#This Row],[Profit Margin]]&gt;=30%,"High",IF(SalesData[[#This Row],[Profit Margin]]&gt;=15%,"Medium","Low"))</f>
        <v>High</v>
      </c>
    </row>
    <row r="280" spans="1:20" x14ac:dyDescent="0.35">
      <c r="A280" t="s">
        <v>586</v>
      </c>
      <c r="B280" s="23" t="s">
        <v>587</v>
      </c>
      <c r="C280" t="s">
        <v>79</v>
      </c>
      <c r="D280" t="s">
        <v>54</v>
      </c>
      <c r="E280" t="s">
        <v>55</v>
      </c>
      <c r="F280" t="s">
        <v>27</v>
      </c>
      <c r="G280" t="s">
        <v>28</v>
      </c>
      <c r="H280" t="s">
        <v>39</v>
      </c>
      <c r="I280">
        <v>5</v>
      </c>
      <c r="J280" s="4">
        <v>180</v>
      </c>
      <c r="K280" s="6">
        <v>0</v>
      </c>
      <c r="L280" s="8">
        <v>900</v>
      </c>
      <c r="M280" s="8">
        <v>450</v>
      </c>
      <c r="N280" s="8">
        <v>450</v>
      </c>
      <c r="O280" s="8">
        <f>SalesData[[#This Row],[Quantity]]*SalesData[[#This Row],[Unit Price]]*(1-SalesData[[#This Row],[Discount]])</f>
        <v>900</v>
      </c>
      <c r="P280" s="8">
        <f>SalesData[[#This Row],[Sales_Check]]-SalesData[[#This Row],[Cost]]</f>
        <v>450</v>
      </c>
      <c r="Q280" s="13">
        <f>IFERROR(SalesData[[#This Row],[Profit]]/SalesData[[#This Row],[Sales]],0)</f>
        <v>0.5</v>
      </c>
      <c r="R280" t="str">
        <f>TEXT(SalesData[[#This Row],[Order Date]],"mmm-yyyy")</f>
        <v>Dec-2025</v>
      </c>
      <c r="S280">
        <f>YEAR(SalesData[[#This Row],[Order Date]])</f>
        <v>2025</v>
      </c>
      <c r="T280" t="str">
        <f>IF(SalesData[[#This Row],[Profit Margin]]&gt;=30%,"High",IF(SalesData[[#This Row],[Profit Margin]]&gt;=15%,"Medium","Low"))</f>
        <v>High</v>
      </c>
    </row>
    <row r="281" spans="1:20" x14ac:dyDescent="0.35">
      <c r="A281" t="s">
        <v>588</v>
      </c>
      <c r="B281" s="23" t="s">
        <v>587</v>
      </c>
      <c r="C281" t="s">
        <v>517</v>
      </c>
      <c r="D281" t="s">
        <v>43</v>
      </c>
      <c r="E281" t="s">
        <v>169</v>
      </c>
      <c r="F281" t="s">
        <v>45</v>
      </c>
      <c r="G281" t="s">
        <v>70</v>
      </c>
      <c r="H281" t="s">
        <v>125</v>
      </c>
      <c r="I281">
        <v>2</v>
      </c>
      <c r="J281" s="4">
        <v>350</v>
      </c>
      <c r="K281" s="6">
        <v>0.1</v>
      </c>
      <c r="L281" s="8">
        <v>630</v>
      </c>
      <c r="M281" s="8">
        <v>340</v>
      </c>
      <c r="N281" s="8">
        <v>290</v>
      </c>
      <c r="O281" s="8">
        <f>SalesData[[#This Row],[Quantity]]*SalesData[[#This Row],[Unit Price]]*(1-SalesData[[#This Row],[Discount]])</f>
        <v>630</v>
      </c>
      <c r="P281" s="8">
        <f>SalesData[[#This Row],[Sales_Check]]-SalesData[[#This Row],[Cost]]</f>
        <v>290</v>
      </c>
      <c r="Q281" s="13">
        <f>IFERROR(SalesData[[#This Row],[Profit]]/SalesData[[#This Row],[Sales]],0)</f>
        <v>0.46031746031746029</v>
      </c>
      <c r="R281" t="str">
        <f>TEXT(SalesData[[#This Row],[Order Date]],"mmm-yyyy")</f>
        <v>Dec-2025</v>
      </c>
      <c r="S281">
        <f>YEAR(SalesData[[#This Row],[Order Date]])</f>
        <v>2025</v>
      </c>
      <c r="T281" t="str">
        <f>IF(SalesData[[#This Row],[Profit Margin]]&gt;=30%,"High",IF(SalesData[[#This Row],[Profit Margin]]&gt;=15%,"Medium","Low"))</f>
        <v>High</v>
      </c>
    </row>
    <row r="282" spans="1:20" x14ac:dyDescent="0.35">
      <c r="A282" t="s">
        <v>589</v>
      </c>
      <c r="B282" s="23" t="s">
        <v>587</v>
      </c>
      <c r="C282" t="s">
        <v>450</v>
      </c>
      <c r="D282" t="s">
        <v>25</v>
      </c>
      <c r="E282" t="s">
        <v>89</v>
      </c>
      <c r="F282" t="s">
        <v>19</v>
      </c>
      <c r="G282" t="s">
        <v>113</v>
      </c>
      <c r="H282" t="s">
        <v>29</v>
      </c>
      <c r="I282">
        <v>5</v>
      </c>
      <c r="J282" s="4">
        <v>550</v>
      </c>
      <c r="K282" s="6">
        <v>0</v>
      </c>
      <c r="L282" s="8">
        <v>2750</v>
      </c>
      <c r="M282" s="8">
        <v>1500</v>
      </c>
      <c r="N282" s="8">
        <v>1250</v>
      </c>
      <c r="O282" s="8">
        <f>SalesData[[#This Row],[Quantity]]*SalesData[[#This Row],[Unit Price]]*(1-SalesData[[#This Row],[Discount]])</f>
        <v>2750</v>
      </c>
      <c r="P282" s="8">
        <f>SalesData[[#This Row],[Sales_Check]]-SalesData[[#This Row],[Cost]]</f>
        <v>1250</v>
      </c>
      <c r="Q282" s="13">
        <f>IFERROR(SalesData[[#This Row],[Profit]]/SalesData[[#This Row],[Sales]],0)</f>
        <v>0.45454545454545453</v>
      </c>
      <c r="R282" t="str">
        <f>TEXT(SalesData[[#This Row],[Order Date]],"mmm-yyyy")</f>
        <v>Dec-2025</v>
      </c>
      <c r="S282">
        <f>YEAR(SalesData[[#This Row],[Order Date]])</f>
        <v>2025</v>
      </c>
      <c r="T282" t="str">
        <f>IF(SalesData[[#This Row],[Profit Margin]]&gt;=30%,"High",IF(SalesData[[#This Row],[Profit Margin]]&gt;=15%,"Medium","Low"))</f>
        <v>High</v>
      </c>
    </row>
    <row r="283" spans="1:20" x14ac:dyDescent="0.35">
      <c r="A283" t="s">
        <v>590</v>
      </c>
      <c r="B283" s="23" t="s">
        <v>587</v>
      </c>
      <c r="C283" t="s">
        <v>591</v>
      </c>
      <c r="D283" t="s">
        <v>17</v>
      </c>
      <c r="E283" t="s">
        <v>32</v>
      </c>
      <c r="F283" t="s">
        <v>19</v>
      </c>
      <c r="G283" t="s">
        <v>56</v>
      </c>
      <c r="H283" t="s">
        <v>39</v>
      </c>
      <c r="I283">
        <v>7</v>
      </c>
      <c r="J283" s="4">
        <v>1500</v>
      </c>
      <c r="K283" s="6">
        <v>0</v>
      </c>
      <c r="L283" s="8">
        <v>10500</v>
      </c>
      <c r="M283" s="8">
        <v>6300</v>
      </c>
      <c r="N283" s="8">
        <v>4200</v>
      </c>
      <c r="O283" s="8">
        <f>SalesData[[#This Row],[Quantity]]*SalesData[[#This Row],[Unit Price]]*(1-SalesData[[#This Row],[Discount]])</f>
        <v>10500</v>
      </c>
      <c r="P283" s="8">
        <f>SalesData[[#This Row],[Sales_Check]]-SalesData[[#This Row],[Cost]]</f>
        <v>4200</v>
      </c>
      <c r="Q283" s="13">
        <f>IFERROR(SalesData[[#This Row],[Profit]]/SalesData[[#This Row],[Sales]],0)</f>
        <v>0.4</v>
      </c>
      <c r="R283" t="str">
        <f>TEXT(SalesData[[#This Row],[Order Date]],"mmm-yyyy")</f>
        <v>Dec-2025</v>
      </c>
      <c r="S283">
        <f>YEAR(SalesData[[#This Row],[Order Date]])</f>
        <v>2025</v>
      </c>
      <c r="T283" t="str">
        <f>IF(SalesData[[#This Row],[Profit Margin]]&gt;=30%,"High",IF(SalesData[[#This Row],[Profit Margin]]&gt;=15%,"Medium","Low"))</f>
        <v>High</v>
      </c>
    </row>
    <row r="284" spans="1:20" x14ac:dyDescent="0.35">
      <c r="A284" t="s">
        <v>592</v>
      </c>
      <c r="B284" s="23" t="s">
        <v>593</v>
      </c>
      <c r="C284" t="s">
        <v>68</v>
      </c>
      <c r="D284" t="s">
        <v>43</v>
      </c>
      <c r="E284" t="s">
        <v>143</v>
      </c>
      <c r="F284" t="s">
        <v>45</v>
      </c>
      <c r="G284" t="s">
        <v>46</v>
      </c>
      <c r="H284" t="s">
        <v>21</v>
      </c>
      <c r="I284">
        <v>2</v>
      </c>
      <c r="J284" s="4">
        <v>650</v>
      </c>
      <c r="K284" s="6">
        <v>0.1</v>
      </c>
      <c r="L284" s="8">
        <v>1170</v>
      </c>
      <c r="M284" s="8">
        <v>700</v>
      </c>
      <c r="N284" s="8">
        <v>470</v>
      </c>
      <c r="O284" s="8">
        <f>SalesData[[#This Row],[Quantity]]*SalesData[[#This Row],[Unit Price]]*(1-SalesData[[#This Row],[Discount]])</f>
        <v>1170</v>
      </c>
      <c r="P284" s="8">
        <f>SalesData[[#This Row],[Sales_Check]]-SalesData[[#This Row],[Cost]]</f>
        <v>470</v>
      </c>
      <c r="Q284" s="13">
        <f>IFERROR(SalesData[[#This Row],[Profit]]/SalesData[[#This Row],[Sales]],0)</f>
        <v>0.40170940170940173</v>
      </c>
      <c r="R284" t="str">
        <f>TEXT(SalesData[[#This Row],[Order Date]],"mmm-yyyy")</f>
        <v>Dec-2025</v>
      </c>
      <c r="S284">
        <f>YEAR(SalesData[[#This Row],[Order Date]])</f>
        <v>2025</v>
      </c>
      <c r="T284" t="str">
        <f>IF(SalesData[[#This Row],[Profit Margin]]&gt;=30%,"High",IF(SalesData[[#This Row],[Profit Margin]]&gt;=15%,"Medium","Low"))</f>
        <v>High</v>
      </c>
    </row>
    <row r="285" spans="1:20" x14ac:dyDescent="0.35">
      <c r="A285" t="s">
        <v>594</v>
      </c>
      <c r="B285" s="23" t="s">
        <v>593</v>
      </c>
      <c r="C285" t="s">
        <v>248</v>
      </c>
      <c r="D285" t="s">
        <v>43</v>
      </c>
      <c r="E285" t="s">
        <v>62</v>
      </c>
      <c r="F285" t="s">
        <v>19</v>
      </c>
      <c r="G285" t="s">
        <v>215</v>
      </c>
      <c r="H285" t="s">
        <v>29</v>
      </c>
      <c r="I285">
        <v>9</v>
      </c>
      <c r="J285" s="4">
        <v>500</v>
      </c>
      <c r="K285" s="6">
        <v>0</v>
      </c>
      <c r="L285" s="8">
        <v>4500</v>
      </c>
      <c r="M285" s="8">
        <v>2520</v>
      </c>
      <c r="N285" s="8">
        <v>1980</v>
      </c>
      <c r="O285" s="8">
        <f>SalesData[[#This Row],[Quantity]]*SalesData[[#This Row],[Unit Price]]*(1-SalesData[[#This Row],[Discount]])</f>
        <v>4500</v>
      </c>
      <c r="P285" s="8">
        <f>SalesData[[#This Row],[Sales_Check]]-SalesData[[#This Row],[Cost]]</f>
        <v>1980</v>
      </c>
      <c r="Q285" s="13">
        <f>IFERROR(SalesData[[#This Row],[Profit]]/SalesData[[#This Row],[Sales]],0)</f>
        <v>0.44</v>
      </c>
      <c r="R285" t="str">
        <f>TEXT(SalesData[[#This Row],[Order Date]],"mmm-yyyy")</f>
        <v>Dec-2025</v>
      </c>
      <c r="S285">
        <f>YEAR(SalesData[[#This Row],[Order Date]])</f>
        <v>2025</v>
      </c>
      <c r="T285" t="str">
        <f>IF(SalesData[[#This Row],[Profit Margin]]&gt;=30%,"High",IF(SalesData[[#This Row],[Profit Margin]]&gt;=15%,"Medium","Low"))</f>
        <v>High</v>
      </c>
    </row>
    <row r="286" spans="1:20" x14ac:dyDescent="0.35">
      <c r="A286" t="s">
        <v>595</v>
      </c>
      <c r="B286" s="23" t="s">
        <v>593</v>
      </c>
      <c r="C286" t="s">
        <v>292</v>
      </c>
      <c r="D286" t="s">
        <v>17</v>
      </c>
      <c r="E286" t="s">
        <v>124</v>
      </c>
      <c r="F286" t="s">
        <v>37</v>
      </c>
      <c r="G286" t="s">
        <v>73</v>
      </c>
      <c r="H286" t="s">
        <v>125</v>
      </c>
      <c r="I286">
        <v>9</v>
      </c>
      <c r="J286" s="4">
        <v>1200</v>
      </c>
      <c r="K286" s="6">
        <v>0.05</v>
      </c>
      <c r="L286" s="8">
        <v>10260</v>
      </c>
      <c r="M286" s="8">
        <v>6480</v>
      </c>
      <c r="N286" s="8">
        <v>3780</v>
      </c>
      <c r="O286" s="8">
        <f>SalesData[[#This Row],[Quantity]]*SalesData[[#This Row],[Unit Price]]*(1-SalesData[[#This Row],[Discount]])</f>
        <v>10260</v>
      </c>
      <c r="P286" s="8">
        <f>SalesData[[#This Row],[Sales_Check]]-SalesData[[#This Row],[Cost]]</f>
        <v>3780</v>
      </c>
      <c r="Q286" s="13">
        <f>IFERROR(SalesData[[#This Row],[Profit]]/SalesData[[#This Row],[Sales]],0)</f>
        <v>0.36842105263157893</v>
      </c>
      <c r="R286" t="str">
        <f>TEXT(SalesData[[#This Row],[Order Date]],"mmm-yyyy")</f>
        <v>Dec-2025</v>
      </c>
      <c r="S286">
        <f>YEAR(SalesData[[#This Row],[Order Date]])</f>
        <v>2025</v>
      </c>
      <c r="T286" t="str">
        <f>IF(SalesData[[#This Row],[Profit Margin]]&gt;=30%,"High",IF(SalesData[[#This Row],[Profit Margin]]&gt;=15%,"Medium","Low"))</f>
        <v>High</v>
      </c>
    </row>
    <row r="287" spans="1:20" x14ac:dyDescent="0.35">
      <c r="A287" t="s">
        <v>596</v>
      </c>
      <c r="B287" s="23" t="s">
        <v>597</v>
      </c>
      <c r="C287" t="s">
        <v>598</v>
      </c>
      <c r="D287" t="s">
        <v>54</v>
      </c>
      <c r="E287" t="s">
        <v>116</v>
      </c>
      <c r="F287" t="s">
        <v>45</v>
      </c>
      <c r="G287" t="s">
        <v>46</v>
      </c>
      <c r="H287" t="s">
        <v>47</v>
      </c>
      <c r="I287">
        <v>1</v>
      </c>
      <c r="J287" s="4">
        <v>450</v>
      </c>
      <c r="K287" s="6">
        <v>0.1</v>
      </c>
      <c r="L287" s="8">
        <v>405</v>
      </c>
      <c r="M287" s="8">
        <v>250</v>
      </c>
      <c r="N287" s="8">
        <v>155</v>
      </c>
      <c r="O287" s="8">
        <f>SalesData[[#This Row],[Quantity]]*SalesData[[#This Row],[Unit Price]]*(1-SalesData[[#This Row],[Discount]])</f>
        <v>405</v>
      </c>
      <c r="P287" s="8">
        <f>SalesData[[#This Row],[Sales_Check]]-SalesData[[#This Row],[Cost]]</f>
        <v>155</v>
      </c>
      <c r="Q287" s="13">
        <f>IFERROR(SalesData[[#This Row],[Profit]]/SalesData[[#This Row],[Sales]],0)</f>
        <v>0.38271604938271603</v>
      </c>
      <c r="R287" t="str">
        <f>TEXT(SalesData[[#This Row],[Order Date]],"mmm-yyyy")</f>
        <v>Dec-2025</v>
      </c>
      <c r="S287">
        <f>YEAR(SalesData[[#This Row],[Order Date]])</f>
        <v>2025</v>
      </c>
      <c r="T287" t="str">
        <f>IF(SalesData[[#This Row],[Profit Margin]]&gt;=30%,"High",IF(SalesData[[#This Row],[Profit Margin]]&gt;=15%,"Medium","Low"))</f>
        <v>High</v>
      </c>
    </row>
    <row r="288" spans="1:20" x14ac:dyDescent="0.35">
      <c r="A288" t="s">
        <v>599</v>
      </c>
      <c r="B288" s="23" t="s">
        <v>597</v>
      </c>
      <c r="C288" t="s">
        <v>261</v>
      </c>
      <c r="D288" t="s">
        <v>25</v>
      </c>
      <c r="E288" t="s">
        <v>26</v>
      </c>
      <c r="F288" t="s">
        <v>19</v>
      </c>
      <c r="G288" t="s">
        <v>56</v>
      </c>
      <c r="H288" t="s">
        <v>39</v>
      </c>
      <c r="I288">
        <v>4</v>
      </c>
      <c r="J288" s="4">
        <v>600</v>
      </c>
      <c r="K288" s="6">
        <v>0</v>
      </c>
      <c r="L288" s="8">
        <v>2400</v>
      </c>
      <c r="M288" s="8">
        <v>1320</v>
      </c>
      <c r="N288" s="8">
        <v>1080</v>
      </c>
      <c r="O288" s="8">
        <f>SalesData[[#This Row],[Quantity]]*SalesData[[#This Row],[Unit Price]]*(1-SalesData[[#This Row],[Discount]])</f>
        <v>2400</v>
      </c>
      <c r="P288" s="8">
        <f>SalesData[[#This Row],[Sales_Check]]-SalesData[[#This Row],[Cost]]</f>
        <v>1080</v>
      </c>
      <c r="Q288" s="13">
        <f>IFERROR(SalesData[[#This Row],[Profit]]/SalesData[[#This Row],[Sales]],0)</f>
        <v>0.45</v>
      </c>
      <c r="R288" t="str">
        <f>TEXT(SalesData[[#This Row],[Order Date]],"mmm-yyyy")</f>
        <v>Dec-2025</v>
      </c>
      <c r="S288">
        <f>YEAR(SalesData[[#This Row],[Order Date]])</f>
        <v>2025</v>
      </c>
      <c r="T288" t="str">
        <f>IF(SalesData[[#This Row],[Profit Margin]]&gt;=30%,"High",IF(SalesData[[#This Row],[Profit Margin]]&gt;=15%,"Medium","Low"))</f>
        <v>High</v>
      </c>
    </row>
    <row r="289" spans="1:20" x14ac:dyDescent="0.35">
      <c r="A289" t="s">
        <v>600</v>
      </c>
      <c r="B289" s="23" t="s">
        <v>601</v>
      </c>
      <c r="C289" t="s">
        <v>602</v>
      </c>
      <c r="D289" t="s">
        <v>54</v>
      </c>
      <c r="E289" t="s">
        <v>55</v>
      </c>
      <c r="F289" t="s">
        <v>37</v>
      </c>
      <c r="G289" t="s">
        <v>73</v>
      </c>
      <c r="H289" t="s">
        <v>33</v>
      </c>
      <c r="I289">
        <v>1</v>
      </c>
      <c r="J289" s="4">
        <v>180</v>
      </c>
      <c r="K289" s="6">
        <v>0.1</v>
      </c>
      <c r="L289" s="8">
        <v>162</v>
      </c>
      <c r="M289" s="8">
        <v>90</v>
      </c>
      <c r="N289" s="8">
        <v>72</v>
      </c>
      <c r="O289" s="8">
        <f>SalesData[[#This Row],[Quantity]]*SalesData[[#This Row],[Unit Price]]*(1-SalesData[[#This Row],[Discount]])</f>
        <v>162</v>
      </c>
      <c r="P289" s="8">
        <f>SalesData[[#This Row],[Sales_Check]]-SalesData[[#This Row],[Cost]]</f>
        <v>72</v>
      </c>
      <c r="Q289" s="13">
        <f>IFERROR(SalesData[[#This Row],[Profit]]/SalesData[[#This Row],[Sales]],0)</f>
        <v>0.44444444444444442</v>
      </c>
      <c r="R289" t="str">
        <f>TEXT(SalesData[[#This Row],[Order Date]],"mmm-yyyy")</f>
        <v>Dec-2025</v>
      </c>
      <c r="S289">
        <f>YEAR(SalesData[[#This Row],[Order Date]])</f>
        <v>2025</v>
      </c>
      <c r="T289" t="str">
        <f>IF(SalesData[[#This Row],[Profit Margin]]&gt;=30%,"High",IF(SalesData[[#This Row],[Profit Margin]]&gt;=15%,"Medium","Low"))</f>
        <v>High</v>
      </c>
    </row>
    <row r="290" spans="1:20" x14ac:dyDescent="0.35">
      <c r="A290" t="s">
        <v>603</v>
      </c>
      <c r="B290" s="23" t="s">
        <v>601</v>
      </c>
      <c r="C290" t="s">
        <v>339</v>
      </c>
      <c r="D290" t="s">
        <v>17</v>
      </c>
      <c r="E290" t="s">
        <v>124</v>
      </c>
      <c r="F290" t="s">
        <v>37</v>
      </c>
      <c r="G290" t="s">
        <v>140</v>
      </c>
      <c r="H290" t="s">
        <v>33</v>
      </c>
      <c r="I290">
        <v>3</v>
      </c>
      <c r="J290" s="4">
        <v>1200</v>
      </c>
      <c r="K290" s="6">
        <v>0.05</v>
      </c>
      <c r="L290" s="8">
        <v>3420</v>
      </c>
      <c r="M290" s="8">
        <v>2160</v>
      </c>
      <c r="N290" s="8">
        <v>1260</v>
      </c>
      <c r="O290" s="8">
        <f>SalesData[[#This Row],[Quantity]]*SalesData[[#This Row],[Unit Price]]*(1-SalesData[[#This Row],[Discount]])</f>
        <v>3420</v>
      </c>
      <c r="P290" s="8">
        <f>SalesData[[#This Row],[Sales_Check]]-SalesData[[#This Row],[Cost]]</f>
        <v>1260</v>
      </c>
      <c r="Q290" s="13">
        <f>IFERROR(SalesData[[#This Row],[Profit]]/SalesData[[#This Row],[Sales]],0)</f>
        <v>0.36842105263157893</v>
      </c>
      <c r="R290" t="str">
        <f>TEXT(SalesData[[#This Row],[Order Date]],"mmm-yyyy")</f>
        <v>Dec-2025</v>
      </c>
      <c r="S290">
        <f>YEAR(SalesData[[#This Row],[Order Date]])</f>
        <v>2025</v>
      </c>
      <c r="T290" t="str">
        <f>IF(SalesData[[#This Row],[Profit Margin]]&gt;=30%,"High",IF(SalesData[[#This Row],[Profit Margin]]&gt;=15%,"Medium","Low"))</f>
        <v>High</v>
      </c>
    </row>
    <row r="291" spans="1:20" x14ac:dyDescent="0.35">
      <c r="A291" t="s">
        <v>604</v>
      </c>
      <c r="B291" s="23" t="s">
        <v>601</v>
      </c>
      <c r="C291" t="s">
        <v>355</v>
      </c>
      <c r="D291" t="s">
        <v>54</v>
      </c>
      <c r="E291" t="s">
        <v>110</v>
      </c>
      <c r="F291" t="s">
        <v>19</v>
      </c>
      <c r="G291" t="s">
        <v>113</v>
      </c>
      <c r="H291" t="s">
        <v>125</v>
      </c>
      <c r="I291">
        <v>6</v>
      </c>
      <c r="J291" s="4">
        <v>280</v>
      </c>
      <c r="K291" s="6">
        <v>0.1</v>
      </c>
      <c r="L291" s="8">
        <v>1512</v>
      </c>
      <c r="M291" s="8">
        <v>900</v>
      </c>
      <c r="N291" s="8">
        <v>612</v>
      </c>
      <c r="O291" s="8">
        <f>SalesData[[#This Row],[Quantity]]*SalesData[[#This Row],[Unit Price]]*(1-SalesData[[#This Row],[Discount]])</f>
        <v>1512</v>
      </c>
      <c r="P291" s="8">
        <f>SalesData[[#This Row],[Sales_Check]]-SalesData[[#This Row],[Cost]]</f>
        <v>612</v>
      </c>
      <c r="Q291" s="13">
        <f>IFERROR(SalesData[[#This Row],[Profit]]/SalesData[[#This Row],[Sales]],0)</f>
        <v>0.40476190476190477</v>
      </c>
      <c r="R291" t="str">
        <f>TEXT(SalesData[[#This Row],[Order Date]],"mmm-yyyy")</f>
        <v>Dec-2025</v>
      </c>
      <c r="S291">
        <f>YEAR(SalesData[[#This Row],[Order Date]])</f>
        <v>2025</v>
      </c>
      <c r="T291" t="str">
        <f>IF(SalesData[[#This Row],[Profit Margin]]&gt;=30%,"High",IF(SalesData[[#This Row],[Profit Margin]]&gt;=15%,"Medium","Low"))</f>
        <v>High</v>
      </c>
    </row>
    <row r="292" spans="1:20" x14ac:dyDescent="0.35">
      <c r="A292" t="s">
        <v>605</v>
      </c>
      <c r="B292" s="23" t="s">
        <v>606</v>
      </c>
      <c r="C292" t="s">
        <v>152</v>
      </c>
      <c r="D292" t="s">
        <v>43</v>
      </c>
      <c r="E292" t="s">
        <v>44</v>
      </c>
      <c r="F292" t="s">
        <v>45</v>
      </c>
      <c r="G292" t="s">
        <v>46</v>
      </c>
      <c r="H292" t="s">
        <v>125</v>
      </c>
      <c r="I292">
        <v>10</v>
      </c>
      <c r="J292" s="4">
        <v>2200</v>
      </c>
      <c r="K292" s="6">
        <v>0.1</v>
      </c>
      <c r="L292" s="8">
        <v>19800</v>
      </c>
      <c r="M292" s="8">
        <v>14500</v>
      </c>
      <c r="N292" s="8">
        <v>5300</v>
      </c>
      <c r="O292" s="8">
        <f>SalesData[[#This Row],[Quantity]]*SalesData[[#This Row],[Unit Price]]*(1-SalesData[[#This Row],[Discount]])</f>
        <v>19800</v>
      </c>
      <c r="P292" s="8">
        <f>SalesData[[#This Row],[Sales_Check]]-SalesData[[#This Row],[Cost]]</f>
        <v>5300</v>
      </c>
      <c r="Q292" s="13">
        <f>IFERROR(SalesData[[#This Row],[Profit]]/SalesData[[#This Row],[Sales]],0)</f>
        <v>0.26767676767676768</v>
      </c>
      <c r="R292" t="str">
        <f>TEXT(SalesData[[#This Row],[Order Date]],"mmm-yyyy")</f>
        <v>Dec-2025</v>
      </c>
      <c r="S292">
        <f>YEAR(SalesData[[#This Row],[Order Date]])</f>
        <v>2025</v>
      </c>
      <c r="T292" t="str">
        <f>IF(SalesData[[#This Row],[Profit Margin]]&gt;=30%,"High",IF(SalesData[[#This Row],[Profit Margin]]&gt;=15%,"Medium","Low"))</f>
        <v>Medium</v>
      </c>
    </row>
    <row r="293" spans="1:20" x14ac:dyDescent="0.35">
      <c r="A293" t="s">
        <v>607</v>
      </c>
      <c r="B293" s="23" t="s">
        <v>606</v>
      </c>
      <c r="C293" t="s">
        <v>264</v>
      </c>
      <c r="D293" t="s">
        <v>54</v>
      </c>
      <c r="E293" t="s">
        <v>103</v>
      </c>
      <c r="F293" t="s">
        <v>19</v>
      </c>
      <c r="G293" t="s">
        <v>56</v>
      </c>
      <c r="H293" t="s">
        <v>125</v>
      </c>
      <c r="I293">
        <v>8</v>
      </c>
      <c r="J293" s="4">
        <v>150</v>
      </c>
      <c r="K293" s="6">
        <v>0.1</v>
      </c>
      <c r="L293" s="8">
        <v>1080</v>
      </c>
      <c r="M293" s="8">
        <v>600</v>
      </c>
      <c r="N293" s="8">
        <v>480</v>
      </c>
      <c r="O293" s="8">
        <f>SalesData[[#This Row],[Quantity]]*SalesData[[#This Row],[Unit Price]]*(1-SalesData[[#This Row],[Discount]])</f>
        <v>1080</v>
      </c>
      <c r="P293" s="8">
        <f>SalesData[[#This Row],[Sales_Check]]-SalesData[[#This Row],[Cost]]</f>
        <v>480</v>
      </c>
      <c r="Q293" s="13">
        <f>IFERROR(SalesData[[#This Row],[Profit]]/SalesData[[#This Row],[Sales]],0)</f>
        <v>0.44444444444444442</v>
      </c>
      <c r="R293" t="str">
        <f>TEXT(SalesData[[#This Row],[Order Date]],"mmm-yyyy")</f>
        <v>Dec-2025</v>
      </c>
      <c r="S293">
        <f>YEAR(SalesData[[#This Row],[Order Date]])</f>
        <v>2025</v>
      </c>
      <c r="T293" t="str">
        <f>IF(SalesData[[#This Row],[Profit Margin]]&gt;=30%,"High",IF(SalesData[[#This Row],[Profit Margin]]&gt;=15%,"Medium","Low"))</f>
        <v>High</v>
      </c>
    </row>
    <row r="294" spans="1:20" x14ac:dyDescent="0.35">
      <c r="A294" t="s">
        <v>608</v>
      </c>
      <c r="B294" s="23" t="s">
        <v>606</v>
      </c>
      <c r="C294" t="s">
        <v>448</v>
      </c>
      <c r="D294" t="s">
        <v>17</v>
      </c>
      <c r="E294" t="s">
        <v>65</v>
      </c>
      <c r="F294" t="s">
        <v>19</v>
      </c>
      <c r="G294" t="s">
        <v>20</v>
      </c>
      <c r="H294" t="s">
        <v>39</v>
      </c>
      <c r="I294">
        <v>1</v>
      </c>
      <c r="J294" s="4">
        <v>2200</v>
      </c>
      <c r="K294" s="6">
        <v>0</v>
      </c>
      <c r="L294" s="8">
        <v>2200</v>
      </c>
      <c r="M294" s="8">
        <v>1400</v>
      </c>
      <c r="N294" s="8">
        <v>800</v>
      </c>
      <c r="O294" s="8">
        <f>SalesData[[#This Row],[Quantity]]*SalesData[[#This Row],[Unit Price]]*(1-SalesData[[#This Row],[Discount]])</f>
        <v>2200</v>
      </c>
      <c r="P294" s="8">
        <f>SalesData[[#This Row],[Sales_Check]]-SalesData[[#This Row],[Cost]]</f>
        <v>800</v>
      </c>
      <c r="Q294" s="13">
        <f>IFERROR(SalesData[[#This Row],[Profit]]/SalesData[[#This Row],[Sales]],0)</f>
        <v>0.36363636363636365</v>
      </c>
      <c r="R294" t="str">
        <f>TEXT(SalesData[[#This Row],[Order Date]],"mmm-yyyy")</f>
        <v>Dec-2025</v>
      </c>
      <c r="S294">
        <f>YEAR(SalesData[[#This Row],[Order Date]])</f>
        <v>2025</v>
      </c>
      <c r="T294" t="str">
        <f>IF(SalesData[[#This Row],[Profit Margin]]&gt;=30%,"High",IF(SalesData[[#This Row],[Profit Margin]]&gt;=15%,"Medium","Low"))</f>
        <v>High</v>
      </c>
    </row>
    <row r="295" spans="1:20" x14ac:dyDescent="0.35">
      <c r="A295" t="s">
        <v>609</v>
      </c>
      <c r="B295" s="23" t="s">
        <v>606</v>
      </c>
      <c r="C295" t="s">
        <v>53</v>
      </c>
      <c r="D295" t="s">
        <v>54</v>
      </c>
      <c r="E295" t="s">
        <v>110</v>
      </c>
      <c r="F295" t="s">
        <v>27</v>
      </c>
      <c r="G295" t="s">
        <v>90</v>
      </c>
      <c r="H295" t="s">
        <v>125</v>
      </c>
      <c r="I295">
        <v>6</v>
      </c>
      <c r="J295" s="4">
        <v>280</v>
      </c>
      <c r="K295" s="6">
        <v>0.05</v>
      </c>
      <c r="L295" s="8">
        <v>1596</v>
      </c>
      <c r="M295" s="8">
        <v>900</v>
      </c>
      <c r="N295" s="8">
        <v>696</v>
      </c>
      <c r="O295" s="8">
        <f>SalesData[[#This Row],[Quantity]]*SalesData[[#This Row],[Unit Price]]*(1-SalesData[[#This Row],[Discount]])</f>
        <v>1596</v>
      </c>
      <c r="P295" s="8">
        <f>SalesData[[#This Row],[Sales_Check]]-SalesData[[#This Row],[Cost]]</f>
        <v>696</v>
      </c>
      <c r="Q295" s="13">
        <f>IFERROR(SalesData[[#This Row],[Profit]]/SalesData[[#This Row],[Sales]],0)</f>
        <v>0.43609022556390975</v>
      </c>
      <c r="R295" t="str">
        <f>TEXT(SalesData[[#This Row],[Order Date]],"mmm-yyyy")</f>
        <v>Dec-2025</v>
      </c>
      <c r="S295">
        <f>YEAR(SalesData[[#This Row],[Order Date]])</f>
        <v>2025</v>
      </c>
      <c r="T295" t="str">
        <f>IF(SalesData[[#This Row],[Profit Margin]]&gt;=30%,"High",IF(SalesData[[#This Row],[Profit Margin]]&gt;=15%,"Medium","Low"))</f>
        <v>High</v>
      </c>
    </row>
    <row r="296" spans="1:20" x14ac:dyDescent="0.35">
      <c r="A296" t="s">
        <v>610</v>
      </c>
      <c r="B296" s="23" t="s">
        <v>611</v>
      </c>
      <c r="C296" t="s">
        <v>88</v>
      </c>
      <c r="D296" t="s">
        <v>25</v>
      </c>
      <c r="E296" t="s">
        <v>26</v>
      </c>
      <c r="F296" t="s">
        <v>37</v>
      </c>
      <c r="G296" t="s">
        <v>140</v>
      </c>
      <c r="H296" t="s">
        <v>33</v>
      </c>
      <c r="I296">
        <v>10</v>
      </c>
      <c r="J296" s="4">
        <v>600</v>
      </c>
      <c r="K296" s="6">
        <v>0</v>
      </c>
      <c r="L296" s="8">
        <v>6000</v>
      </c>
      <c r="M296" s="8">
        <v>3300</v>
      </c>
      <c r="N296" s="8">
        <v>2700</v>
      </c>
      <c r="O296" s="8">
        <f>SalesData[[#This Row],[Quantity]]*SalesData[[#This Row],[Unit Price]]*(1-SalesData[[#This Row],[Discount]])</f>
        <v>6000</v>
      </c>
      <c r="P296" s="8">
        <f>SalesData[[#This Row],[Sales_Check]]-SalesData[[#This Row],[Cost]]</f>
        <v>2700</v>
      </c>
      <c r="Q296" s="13">
        <f>IFERROR(SalesData[[#This Row],[Profit]]/SalesData[[#This Row],[Sales]],0)</f>
        <v>0.45</v>
      </c>
      <c r="R296" t="str">
        <f>TEXT(SalesData[[#This Row],[Order Date]],"mmm-yyyy")</f>
        <v>Dec-2025</v>
      </c>
      <c r="S296">
        <f>YEAR(SalesData[[#This Row],[Order Date]])</f>
        <v>2025</v>
      </c>
      <c r="T296" t="str">
        <f>IF(SalesData[[#This Row],[Profit Margin]]&gt;=30%,"High",IF(SalesData[[#This Row],[Profit Margin]]&gt;=15%,"Medium","Low"))</f>
        <v>High</v>
      </c>
    </row>
    <row r="297" spans="1:20" x14ac:dyDescent="0.35">
      <c r="A297" t="s">
        <v>612</v>
      </c>
      <c r="B297" s="23" t="s">
        <v>613</v>
      </c>
      <c r="C297" t="s">
        <v>236</v>
      </c>
      <c r="D297" t="s">
        <v>25</v>
      </c>
      <c r="E297" t="s">
        <v>26</v>
      </c>
      <c r="F297" t="s">
        <v>45</v>
      </c>
      <c r="G297" t="s">
        <v>122</v>
      </c>
      <c r="H297" t="s">
        <v>29</v>
      </c>
      <c r="I297">
        <v>9</v>
      </c>
      <c r="J297" s="4">
        <v>600</v>
      </c>
      <c r="K297" s="6">
        <v>0.05</v>
      </c>
      <c r="L297" s="8">
        <v>5130</v>
      </c>
      <c r="M297" s="8">
        <v>2970</v>
      </c>
      <c r="N297" s="8">
        <v>2160</v>
      </c>
      <c r="O297" s="8">
        <f>SalesData[[#This Row],[Quantity]]*SalesData[[#This Row],[Unit Price]]*(1-SalesData[[#This Row],[Discount]])</f>
        <v>5130</v>
      </c>
      <c r="P297" s="8">
        <f>SalesData[[#This Row],[Sales_Check]]-SalesData[[#This Row],[Cost]]</f>
        <v>2160</v>
      </c>
      <c r="Q297" s="13">
        <f>IFERROR(SalesData[[#This Row],[Profit]]/SalesData[[#This Row],[Sales]],0)</f>
        <v>0.42105263157894735</v>
      </c>
      <c r="R297" t="str">
        <f>TEXT(SalesData[[#This Row],[Order Date]],"mmm-yyyy")</f>
        <v>Dec-2025</v>
      </c>
      <c r="S297">
        <f>YEAR(SalesData[[#This Row],[Order Date]])</f>
        <v>2025</v>
      </c>
      <c r="T297" t="str">
        <f>IF(SalesData[[#This Row],[Profit Margin]]&gt;=30%,"High",IF(SalesData[[#This Row],[Profit Margin]]&gt;=15%,"Medium","Low"))</f>
        <v>High</v>
      </c>
    </row>
    <row r="298" spans="1:20" x14ac:dyDescent="0.35">
      <c r="A298" t="s">
        <v>614</v>
      </c>
      <c r="B298" s="23" t="s">
        <v>613</v>
      </c>
      <c r="C298" t="s">
        <v>615</v>
      </c>
      <c r="D298" t="s">
        <v>43</v>
      </c>
      <c r="E298" t="s">
        <v>44</v>
      </c>
      <c r="F298" t="s">
        <v>45</v>
      </c>
      <c r="G298" t="s">
        <v>104</v>
      </c>
      <c r="H298" t="s">
        <v>21</v>
      </c>
      <c r="I298">
        <v>8</v>
      </c>
      <c r="J298" s="4">
        <v>2200</v>
      </c>
      <c r="K298" s="6">
        <v>0.05</v>
      </c>
      <c r="L298" s="8">
        <v>16720</v>
      </c>
      <c r="M298" s="8">
        <v>11600</v>
      </c>
      <c r="N298" s="8">
        <v>5120</v>
      </c>
      <c r="O298" s="8">
        <f>SalesData[[#This Row],[Quantity]]*SalesData[[#This Row],[Unit Price]]*(1-SalesData[[#This Row],[Discount]])</f>
        <v>16720</v>
      </c>
      <c r="P298" s="8">
        <f>SalesData[[#This Row],[Sales_Check]]-SalesData[[#This Row],[Cost]]</f>
        <v>5120</v>
      </c>
      <c r="Q298" s="13">
        <f>IFERROR(SalesData[[#This Row],[Profit]]/SalesData[[#This Row],[Sales]],0)</f>
        <v>0.30622009569377989</v>
      </c>
      <c r="R298" t="str">
        <f>TEXT(SalesData[[#This Row],[Order Date]],"mmm-yyyy")</f>
        <v>Dec-2025</v>
      </c>
      <c r="S298">
        <f>YEAR(SalesData[[#This Row],[Order Date]])</f>
        <v>2025</v>
      </c>
      <c r="T298" t="str">
        <f>IF(SalesData[[#This Row],[Profit Margin]]&gt;=30%,"High",IF(SalesData[[#This Row],[Profit Margin]]&gt;=15%,"Medium","Low"))</f>
        <v>High</v>
      </c>
    </row>
    <row r="299" spans="1:20" x14ac:dyDescent="0.35">
      <c r="A299" t="s">
        <v>616</v>
      </c>
      <c r="B299" s="23" t="s">
        <v>617</v>
      </c>
      <c r="C299" t="s">
        <v>549</v>
      </c>
      <c r="D299" t="s">
        <v>17</v>
      </c>
      <c r="E299" t="s">
        <v>32</v>
      </c>
      <c r="F299" t="s">
        <v>45</v>
      </c>
      <c r="G299" t="s">
        <v>46</v>
      </c>
      <c r="H299" t="s">
        <v>39</v>
      </c>
      <c r="I299">
        <v>4</v>
      </c>
      <c r="J299" s="4">
        <v>1500</v>
      </c>
      <c r="K299" s="6">
        <v>0.1</v>
      </c>
      <c r="L299" s="8">
        <v>5400</v>
      </c>
      <c r="M299" s="8">
        <v>3600</v>
      </c>
      <c r="N299" s="8">
        <v>1800</v>
      </c>
      <c r="O299" s="8">
        <f>SalesData[[#This Row],[Quantity]]*SalesData[[#This Row],[Unit Price]]*(1-SalesData[[#This Row],[Discount]])</f>
        <v>5400</v>
      </c>
      <c r="P299" s="8">
        <f>SalesData[[#This Row],[Sales_Check]]-SalesData[[#This Row],[Cost]]</f>
        <v>1800</v>
      </c>
      <c r="Q299" s="13">
        <f>IFERROR(SalesData[[#This Row],[Profit]]/SalesData[[#This Row],[Sales]],0)</f>
        <v>0.33333333333333331</v>
      </c>
      <c r="R299" t="str">
        <f>TEXT(SalesData[[#This Row],[Order Date]],"mmm-yyyy")</f>
        <v>Dec-2025</v>
      </c>
      <c r="S299">
        <f>YEAR(SalesData[[#This Row],[Order Date]])</f>
        <v>2025</v>
      </c>
      <c r="T299" t="str">
        <f>IF(SalesData[[#This Row],[Profit Margin]]&gt;=30%,"High",IF(SalesData[[#This Row],[Profit Margin]]&gt;=15%,"Medium","Low"))</f>
        <v>High</v>
      </c>
    </row>
    <row r="300" spans="1:20" x14ac:dyDescent="0.35">
      <c r="A300" t="s">
        <v>618</v>
      </c>
      <c r="B300" s="23" t="s">
        <v>619</v>
      </c>
      <c r="C300" t="s">
        <v>343</v>
      </c>
      <c r="D300" t="s">
        <v>17</v>
      </c>
      <c r="E300" t="s">
        <v>124</v>
      </c>
      <c r="F300" t="s">
        <v>27</v>
      </c>
      <c r="G300" t="s">
        <v>51</v>
      </c>
      <c r="H300" t="s">
        <v>47</v>
      </c>
      <c r="I300">
        <v>7</v>
      </c>
      <c r="J300" s="4">
        <v>1200</v>
      </c>
      <c r="K300" s="6">
        <v>0.05</v>
      </c>
      <c r="L300" s="8">
        <v>7980</v>
      </c>
      <c r="M300" s="8">
        <v>5040</v>
      </c>
      <c r="N300" s="8">
        <v>2940</v>
      </c>
      <c r="O300" s="8">
        <f>SalesData[[#This Row],[Quantity]]*SalesData[[#This Row],[Unit Price]]*(1-SalesData[[#This Row],[Discount]])</f>
        <v>7980</v>
      </c>
      <c r="P300" s="8">
        <f>SalesData[[#This Row],[Sales_Check]]-SalesData[[#This Row],[Cost]]</f>
        <v>2940</v>
      </c>
      <c r="Q300" s="13">
        <f>IFERROR(SalesData[[#This Row],[Profit]]/SalesData[[#This Row],[Sales]],0)</f>
        <v>0.36842105263157893</v>
      </c>
      <c r="R300" t="str">
        <f>TEXT(SalesData[[#This Row],[Order Date]],"mmm-yyyy")</f>
        <v>Dec-2025</v>
      </c>
      <c r="S300">
        <f>YEAR(SalesData[[#This Row],[Order Date]])</f>
        <v>2025</v>
      </c>
      <c r="T300" t="str">
        <f>IF(SalesData[[#This Row],[Profit Margin]]&gt;=30%,"High",IF(SalesData[[#This Row],[Profit Margin]]&gt;=15%,"Medium","Low"))</f>
        <v>High</v>
      </c>
    </row>
    <row r="301" spans="1:20" x14ac:dyDescent="0.35">
      <c r="A301" t="s">
        <v>620</v>
      </c>
      <c r="B301" s="23" t="s">
        <v>619</v>
      </c>
      <c r="C301" t="s">
        <v>543</v>
      </c>
      <c r="D301" t="s">
        <v>17</v>
      </c>
      <c r="E301" t="s">
        <v>18</v>
      </c>
      <c r="F301" t="s">
        <v>19</v>
      </c>
      <c r="G301" t="s">
        <v>20</v>
      </c>
      <c r="H301" t="s">
        <v>29</v>
      </c>
      <c r="I301">
        <v>2</v>
      </c>
      <c r="J301" s="4">
        <v>1800</v>
      </c>
      <c r="K301" s="6">
        <v>0.05</v>
      </c>
      <c r="L301" s="8">
        <v>3420</v>
      </c>
      <c r="M301" s="8">
        <v>2200</v>
      </c>
      <c r="N301" s="8">
        <v>1220</v>
      </c>
      <c r="O301" s="8">
        <f>SalesData[[#This Row],[Quantity]]*SalesData[[#This Row],[Unit Price]]*(1-SalesData[[#This Row],[Discount]])</f>
        <v>3420</v>
      </c>
      <c r="P301" s="8">
        <f>SalesData[[#This Row],[Sales_Check]]-SalesData[[#This Row],[Cost]]</f>
        <v>1220</v>
      </c>
      <c r="Q301" s="13">
        <f>IFERROR(SalesData[[#This Row],[Profit]]/SalesData[[#This Row],[Sales]],0)</f>
        <v>0.35672514619883039</v>
      </c>
      <c r="R301" t="str">
        <f>TEXT(SalesData[[#This Row],[Order Date]],"mmm-yyyy")</f>
        <v>Dec-2025</v>
      </c>
      <c r="S301">
        <f>YEAR(SalesData[[#This Row],[Order Date]])</f>
        <v>2025</v>
      </c>
      <c r="T301" t="str">
        <f>IF(SalesData[[#This Row],[Profit Margin]]&gt;=30%,"High",IF(SalesData[[#This Row],[Profit Margin]]&gt;=15%,"Medium","Low"))</f>
        <v>High</v>
      </c>
    </row>
    <row r="302" spans="1:20" x14ac:dyDescent="0.35">
      <c r="A302" t="s">
        <v>621</v>
      </c>
      <c r="B302" s="23" t="s">
        <v>619</v>
      </c>
      <c r="C302" t="s">
        <v>506</v>
      </c>
      <c r="D302" t="s">
        <v>54</v>
      </c>
      <c r="E302" t="s">
        <v>103</v>
      </c>
      <c r="F302" t="s">
        <v>37</v>
      </c>
      <c r="G302" t="s">
        <v>73</v>
      </c>
      <c r="H302" t="s">
        <v>47</v>
      </c>
      <c r="I302">
        <v>10</v>
      </c>
      <c r="J302" s="4">
        <v>150</v>
      </c>
      <c r="K302" s="6">
        <v>0.1</v>
      </c>
      <c r="L302" s="8">
        <v>1350</v>
      </c>
      <c r="M302" s="8">
        <v>750</v>
      </c>
      <c r="N302" s="8">
        <v>600</v>
      </c>
      <c r="O302" s="8">
        <f>SalesData[[#This Row],[Quantity]]*SalesData[[#This Row],[Unit Price]]*(1-SalesData[[#This Row],[Discount]])</f>
        <v>1350</v>
      </c>
      <c r="P302" s="8">
        <f>SalesData[[#This Row],[Sales_Check]]-SalesData[[#This Row],[Cost]]</f>
        <v>600</v>
      </c>
      <c r="Q302" s="13">
        <f>IFERROR(SalesData[[#This Row],[Profit]]/SalesData[[#This Row],[Sales]],0)</f>
        <v>0.44444444444444442</v>
      </c>
      <c r="R302" t="str">
        <f>TEXT(SalesData[[#This Row],[Order Date]],"mmm-yyyy")</f>
        <v>Dec-2025</v>
      </c>
      <c r="S302">
        <f>YEAR(SalesData[[#This Row],[Order Date]])</f>
        <v>2025</v>
      </c>
      <c r="T302" t="str">
        <f>IF(SalesData[[#This Row],[Profit Margin]]&gt;=30%,"High",IF(SalesData[[#This Row],[Profit Margin]]&gt;=15%,"Medium","Low"))</f>
        <v>High</v>
      </c>
    </row>
    <row r="303" spans="1:20" x14ac:dyDescent="0.35">
      <c r="A303" t="s">
        <v>622</v>
      </c>
      <c r="B303" s="23" t="s">
        <v>623</v>
      </c>
      <c r="C303" t="s">
        <v>455</v>
      </c>
      <c r="D303" t="s">
        <v>17</v>
      </c>
      <c r="E303" t="s">
        <v>65</v>
      </c>
      <c r="F303" t="s">
        <v>27</v>
      </c>
      <c r="G303" t="s">
        <v>85</v>
      </c>
      <c r="H303" t="s">
        <v>125</v>
      </c>
      <c r="I303">
        <v>5</v>
      </c>
      <c r="J303" s="4">
        <v>2200</v>
      </c>
      <c r="K303" s="6">
        <v>0.15</v>
      </c>
      <c r="L303" s="8">
        <v>9350</v>
      </c>
      <c r="M303" s="8">
        <v>7000</v>
      </c>
      <c r="N303" s="8">
        <v>2350</v>
      </c>
      <c r="O303" s="8">
        <f>SalesData[[#This Row],[Quantity]]*SalesData[[#This Row],[Unit Price]]*(1-SalesData[[#This Row],[Discount]])</f>
        <v>9350</v>
      </c>
      <c r="P303" s="8">
        <f>SalesData[[#This Row],[Sales_Check]]-SalesData[[#This Row],[Cost]]</f>
        <v>2350</v>
      </c>
      <c r="Q303" s="13">
        <f>IFERROR(SalesData[[#This Row],[Profit]]/SalesData[[#This Row],[Sales]],0)</f>
        <v>0.25133689839572193</v>
      </c>
      <c r="R303" t="str">
        <f>TEXT(SalesData[[#This Row],[Order Date]],"mmm-yyyy")</f>
        <v>Dec-2025</v>
      </c>
      <c r="S303">
        <f>YEAR(SalesData[[#This Row],[Order Date]])</f>
        <v>2025</v>
      </c>
      <c r="T303" t="str">
        <f>IF(SalesData[[#This Row],[Profit Margin]]&gt;=30%,"High",IF(SalesData[[#This Row],[Profit Margin]]&gt;=15%,"Medium","Low"))</f>
        <v>Medium</v>
      </c>
    </row>
    <row r="304" spans="1:20" x14ac:dyDescent="0.35">
      <c r="A304" t="s">
        <v>624</v>
      </c>
      <c r="B304" s="23" t="s">
        <v>623</v>
      </c>
      <c r="C304" t="s">
        <v>625</v>
      </c>
      <c r="D304" t="s">
        <v>25</v>
      </c>
      <c r="E304" t="s">
        <v>80</v>
      </c>
      <c r="F304" t="s">
        <v>27</v>
      </c>
      <c r="G304" t="s">
        <v>90</v>
      </c>
      <c r="H304" t="s">
        <v>39</v>
      </c>
      <c r="I304">
        <v>8</v>
      </c>
      <c r="J304" s="4">
        <v>950</v>
      </c>
      <c r="K304" s="6">
        <v>0.1</v>
      </c>
      <c r="L304" s="8">
        <v>6840</v>
      </c>
      <c r="M304" s="8">
        <v>4480</v>
      </c>
      <c r="N304" s="8">
        <v>2360</v>
      </c>
      <c r="O304" s="8">
        <f>SalesData[[#This Row],[Quantity]]*SalesData[[#This Row],[Unit Price]]*(1-SalesData[[#This Row],[Discount]])</f>
        <v>6840</v>
      </c>
      <c r="P304" s="8">
        <f>SalesData[[#This Row],[Sales_Check]]-SalesData[[#This Row],[Cost]]</f>
        <v>2360</v>
      </c>
      <c r="Q304" s="13">
        <f>IFERROR(SalesData[[#This Row],[Profit]]/SalesData[[#This Row],[Sales]],0)</f>
        <v>0.34502923976608185</v>
      </c>
      <c r="R304" t="str">
        <f>TEXT(SalesData[[#This Row],[Order Date]],"mmm-yyyy")</f>
        <v>Dec-2025</v>
      </c>
      <c r="S304">
        <f>YEAR(SalesData[[#This Row],[Order Date]])</f>
        <v>2025</v>
      </c>
      <c r="T304" t="str">
        <f>IF(SalesData[[#This Row],[Profit Margin]]&gt;=30%,"High",IF(SalesData[[#This Row],[Profit Margin]]&gt;=15%,"Medium","Low"))</f>
        <v>High</v>
      </c>
    </row>
    <row r="305" spans="1:20" x14ac:dyDescent="0.35">
      <c r="A305" t="s">
        <v>626</v>
      </c>
      <c r="B305" s="23" t="s">
        <v>623</v>
      </c>
      <c r="C305" t="s">
        <v>328</v>
      </c>
      <c r="D305" t="s">
        <v>25</v>
      </c>
      <c r="E305" t="s">
        <v>36</v>
      </c>
      <c r="F305" t="s">
        <v>19</v>
      </c>
      <c r="G305" t="s">
        <v>56</v>
      </c>
      <c r="H305" t="s">
        <v>125</v>
      </c>
      <c r="I305">
        <v>6</v>
      </c>
      <c r="J305" s="4">
        <v>700</v>
      </c>
      <c r="K305" s="6">
        <v>0</v>
      </c>
      <c r="L305" s="8">
        <v>4200</v>
      </c>
      <c r="M305" s="8">
        <v>2400</v>
      </c>
      <c r="N305" s="8">
        <v>1800</v>
      </c>
      <c r="O305" s="8">
        <f>SalesData[[#This Row],[Quantity]]*SalesData[[#This Row],[Unit Price]]*(1-SalesData[[#This Row],[Discount]])</f>
        <v>4200</v>
      </c>
      <c r="P305" s="8">
        <f>SalesData[[#This Row],[Sales_Check]]-SalesData[[#This Row],[Cost]]</f>
        <v>1800</v>
      </c>
      <c r="Q305" s="13">
        <f>IFERROR(SalesData[[#This Row],[Profit]]/SalesData[[#This Row],[Sales]],0)</f>
        <v>0.42857142857142855</v>
      </c>
      <c r="R305" t="str">
        <f>TEXT(SalesData[[#This Row],[Order Date]],"mmm-yyyy")</f>
        <v>Dec-2025</v>
      </c>
      <c r="S305">
        <f>YEAR(SalesData[[#This Row],[Order Date]])</f>
        <v>2025</v>
      </c>
      <c r="T305" t="str">
        <f>IF(SalesData[[#This Row],[Profit Margin]]&gt;=30%,"High",IF(SalesData[[#This Row],[Profit Margin]]&gt;=15%,"Medium","Low"))</f>
        <v>High</v>
      </c>
    </row>
    <row r="306" spans="1:20" x14ac:dyDescent="0.35">
      <c r="A306" t="s">
        <v>627</v>
      </c>
      <c r="B306" s="23" t="s">
        <v>623</v>
      </c>
      <c r="C306" t="s">
        <v>335</v>
      </c>
      <c r="D306" t="s">
        <v>17</v>
      </c>
      <c r="E306" t="s">
        <v>65</v>
      </c>
      <c r="F306" t="s">
        <v>45</v>
      </c>
      <c r="G306" t="s">
        <v>104</v>
      </c>
      <c r="H306" t="s">
        <v>29</v>
      </c>
      <c r="I306">
        <v>9</v>
      </c>
      <c r="J306" s="4">
        <v>2200</v>
      </c>
      <c r="K306" s="6">
        <v>0</v>
      </c>
      <c r="L306" s="8">
        <v>19800</v>
      </c>
      <c r="M306" s="8">
        <v>12600</v>
      </c>
      <c r="N306" s="8">
        <v>7200</v>
      </c>
      <c r="O306" s="8">
        <f>SalesData[[#This Row],[Quantity]]*SalesData[[#This Row],[Unit Price]]*(1-SalesData[[#This Row],[Discount]])</f>
        <v>19800</v>
      </c>
      <c r="P306" s="8">
        <f>SalesData[[#This Row],[Sales_Check]]-SalesData[[#This Row],[Cost]]</f>
        <v>7200</v>
      </c>
      <c r="Q306" s="13">
        <f>IFERROR(SalesData[[#This Row],[Profit]]/SalesData[[#This Row],[Sales]],0)</f>
        <v>0.36363636363636365</v>
      </c>
      <c r="R306" t="str">
        <f>TEXT(SalesData[[#This Row],[Order Date]],"mmm-yyyy")</f>
        <v>Dec-2025</v>
      </c>
      <c r="S306">
        <f>YEAR(SalesData[[#This Row],[Order Date]])</f>
        <v>2025</v>
      </c>
      <c r="T306" t="str">
        <f>IF(SalesData[[#This Row],[Profit Margin]]&gt;=30%,"High",IF(SalesData[[#This Row],[Profit Margin]]&gt;=15%,"Medium","Low"))</f>
        <v>High</v>
      </c>
    </row>
    <row r="307" spans="1:20" x14ac:dyDescent="0.35">
      <c r="A307" t="s">
        <v>628</v>
      </c>
      <c r="B307" s="23" t="s">
        <v>629</v>
      </c>
      <c r="C307" t="s">
        <v>412</v>
      </c>
      <c r="D307" t="s">
        <v>54</v>
      </c>
      <c r="E307" t="s">
        <v>55</v>
      </c>
      <c r="F307" t="s">
        <v>45</v>
      </c>
      <c r="G307" t="s">
        <v>104</v>
      </c>
      <c r="H307" t="s">
        <v>33</v>
      </c>
      <c r="I307">
        <v>10</v>
      </c>
      <c r="J307" s="4">
        <v>180</v>
      </c>
      <c r="K307" s="6">
        <v>0.1</v>
      </c>
      <c r="L307" s="8">
        <v>1620</v>
      </c>
      <c r="M307" s="8">
        <v>900</v>
      </c>
      <c r="N307" s="8">
        <v>720</v>
      </c>
      <c r="O307" s="8">
        <f>SalesData[[#This Row],[Quantity]]*SalesData[[#This Row],[Unit Price]]*(1-SalesData[[#This Row],[Discount]])</f>
        <v>1620</v>
      </c>
      <c r="P307" s="8">
        <f>SalesData[[#This Row],[Sales_Check]]-SalesData[[#This Row],[Cost]]</f>
        <v>720</v>
      </c>
      <c r="Q307" s="13">
        <f>IFERROR(SalesData[[#This Row],[Profit]]/SalesData[[#This Row],[Sales]],0)</f>
        <v>0.44444444444444442</v>
      </c>
      <c r="R307" t="str">
        <f>TEXT(SalesData[[#This Row],[Order Date]],"mmm-yyyy")</f>
        <v>Dec-2025</v>
      </c>
      <c r="S307">
        <f>YEAR(SalesData[[#This Row],[Order Date]])</f>
        <v>2025</v>
      </c>
      <c r="T307" t="str">
        <f>IF(SalesData[[#This Row],[Profit Margin]]&gt;=30%,"High",IF(SalesData[[#This Row],[Profit Margin]]&gt;=15%,"Medium","Low"))</f>
        <v>High</v>
      </c>
    </row>
    <row r="308" spans="1:20" x14ac:dyDescent="0.35">
      <c r="A308" t="s">
        <v>630</v>
      </c>
      <c r="B308" s="23" t="s">
        <v>629</v>
      </c>
      <c r="C308" t="s">
        <v>631</v>
      </c>
      <c r="D308" t="s">
        <v>25</v>
      </c>
      <c r="E308" t="s">
        <v>80</v>
      </c>
      <c r="F308" t="s">
        <v>27</v>
      </c>
      <c r="G308" t="s">
        <v>90</v>
      </c>
      <c r="H308" t="s">
        <v>47</v>
      </c>
      <c r="I308">
        <v>1</v>
      </c>
      <c r="J308" s="4">
        <v>950</v>
      </c>
      <c r="K308" s="6">
        <v>0.05</v>
      </c>
      <c r="L308" s="8">
        <v>902.5</v>
      </c>
      <c r="M308" s="8">
        <v>560</v>
      </c>
      <c r="N308" s="8">
        <v>342.5</v>
      </c>
      <c r="O308" s="8">
        <f>SalesData[[#This Row],[Quantity]]*SalesData[[#This Row],[Unit Price]]*(1-SalesData[[#This Row],[Discount]])</f>
        <v>902.5</v>
      </c>
      <c r="P308" s="8">
        <f>SalesData[[#This Row],[Sales_Check]]-SalesData[[#This Row],[Cost]]</f>
        <v>342.5</v>
      </c>
      <c r="Q308" s="13">
        <f>IFERROR(SalesData[[#This Row],[Profit]]/SalesData[[#This Row],[Sales]],0)</f>
        <v>0.37950138504155123</v>
      </c>
      <c r="R308" t="str">
        <f>TEXT(SalesData[[#This Row],[Order Date]],"mmm-yyyy")</f>
        <v>Dec-2025</v>
      </c>
      <c r="S308">
        <f>YEAR(SalesData[[#This Row],[Order Date]])</f>
        <v>2025</v>
      </c>
      <c r="T308" t="str">
        <f>IF(SalesData[[#This Row],[Profit Margin]]&gt;=30%,"High",IF(SalesData[[#This Row],[Profit Margin]]&gt;=15%,"Medium","Low"))</f>
        <v>High</v>
      </c>
    </row>
    <row r="309" spans="1:20" x14ac:dyDescent="0.35">
      <c r="A309" t="s">
        <v>632</v>
      </c>
      <c r="B309" s="23" t="s">
        <v>629</v>
      </c>
      <c r="C309" t="s">
        <v>220</v>
      </c>
      <c r="D309" t="s">
        <v>54</v>
      </c>
      <c r="E309" t="s">
        <v>110</v>
      </c>
      <c r="F309" t="s">
        <v>37</v>
      </c>
      <c r="G309" t="s">
        <v>38</v>
      </c>
      <c r="H309" t="s">
        <v>33</v>
      </c>
      <c r="I309">
        <v>1</v>
      </c>
      <c r="J309" s="4">
        <v>280</v>
      </c>
      <c r="K309" s="6">
        <v>0</v>
      </c>
      <c r="L309" s="8">
        <v>280</v>
      </c>
      <c r="M309" s="8">
        <v>150</v>
      </c>
      <c r="N309" s="8">
        <v>130</v>
      </c>
      <c r="O309" s="8">
        <f>SalesData[[#This Row],[Quantity]]*SalesData[[#This Row],[Unit Price]]*(1-SalesData[[#This Row],[Discount]])</f>
        <v>280</v>
      </c>
      <c r="P309" s="8">
        <f>SalesData[[#This Row],[Sales_Check]]-SalesData[[#This Row],[Cost]]</f>
        <v>130</v>
      </c>
      <c r="Q309" s="13">
        <f>IFERROR(SalesData[[#This Row],[Profit]]/SalesData[[#This Row],[Sales]],0)</f>
        <v>0.4642857142857143</v>
      </c>
      <c r="R309" t="str">
        <f>TEXT(SalesData[[#This Row],[Order Date]],"mmm-yyyy")</f>
        <v>Dec-2025</v>
      </c>
      <c r="S309">
        <f>YEAR(SalesData[[#This Row],[Order Date]])</f>
        <v>2025</v>
      </c>
      <c r="T309" t="str">
        <f>IF(SalesData[[#This Row],[Profit Margin]]&gt;=30%,"High",IF(SalesData[[#This Row],[Profit Margin]]&gt;=15%,"Medium","Low"))</f>
        <v>High</v>
      </c>
    </row>
    <row r="310" spans="1:20" x14ac:dyDescent="0.35">
      <c r="A310" t="s">
        <v>633</v>
      </c>
      <c r="B310" s="23" t="s">
        <v>629</v>
      </c>
      <c r="C310" t="s">
        <v>244</v>
      </c>
      <c r="D310" t="s">
        <v>43</v>
      </c>
      <c r="E310" t="s">
        <v>250</v>
      </c>
      <c r="F310" t="s">
        <v>19</v>
      </c>
      <c r="G310" t="s">
        <v>20</v>
      </c>
      <c r="H310" t="s">
        <v>33</v>
      </c>
      <c r="I310">
        <v>6</v>
      </c>
      <c r="J310" s="4">
        <v>900</v>
      </c>
      <c r="K310" s="6">
        <v>0.15</v>
      </c>
      <c r="L310" s="8">
        <v>4590</v>
      </c>
      <c r="M310" s="8">
        <v>3120</v>
      </c>
      <c r="N310" s="8">
        <v>1470</v>
      </c>
      <c r="O310" s="8">
        <f>SalesData[[#This Row],[Quantity]]*SalesData[[#This Row],[Unit Price]]*(1-SalesData[[#This Row],[Discount]])</f>
        <v>4590</v>
      </c>
      <c r="P310" s="8">
        <f>SalesData[[#This Row],[Sales_Check]]-SalesData[[#This Row],[Cost]]</f>
        <v>1470</v>
      </c>
      <c r="Q310" s="13">
        <f>IFERROR(SalesData[[#This Row],[Profit]]/SalesData[[#This Row],[Sales]],0)</f>
        <v>0.3202614379084967</v>
      </c>
      <c r="R310" t="str">
        <f>TEXT(SalesData[[#This Row],[Order Date]],"mmm-yyyy")</f>
        <v>Dec-2025</v>
      </c>
      <c r="S310">
        <f>YEAR(SalesData[[#This Row],[Order Date]])</f>
        <v>2025</v>
      </c>
      <c r="T310" t="str">
        <f>IF(SalesData[[#This Row],[Profit Margin]]&gt;=30%,"High",IF(SalesData[[#This Row],[Profit Margin]]&gt;=15%,"Medium","Low"))</f>
        <v>High</v>
      </c>
    </row>
    <row r="311" spans="1:20" x14ac:dyDescent="0.35">
      <c r="A311" t="s">
        <v>634</v>
      </c>
      <c r="B311" s="23" t="s">
        <v>635</v>
      </c>
      <c r="C311" t="s">
        <v>309</v>
      </c>
      <c r="D311" t="s">
        <v>43</v>
      </c>
      <c r="E311" t="s">
        <v>143</v>
      </c>
      <c r="F311" t="s">
        <v>37</v>
      </c>
      <c r="G311" t="s">
        <v>38</v>
      </c>
      <c r="H311" t="s">
        <v>21</v>
      </c>
      <c r="I311">
        <v>9</v>
      </c>
      <c r="J311" s="4">
        <v>650</v>
      </c>
      <c r="K311" s="6">
        <v>0</v>
      </c>
      <c r="L311" s="8">
        <v>5850</v>
      </c>
      <c r="M311" s="8">
        <v>3150</v>
      </c>
      <c r="N311" s="8">
        <v>2700</v>
      </c>
      <c r="O311" s="8">
        <f>SalesData[[#This Row],[Quantity]]*SalesData[[#This Row],[Unit Price]]*(1-SalesData[[#This Row],[Discount]])</f>
        <v>5850</v>
      </c>
      <c r="P311" s="8">
        <f>SalesData[[#This Row],[Sales_Check]]-SalesData[[#This Row],[Cost]]</f>
        <v>2700</v>
      </c>
      <c r="Q311" s="13">
        <f>IFERROR(SalesData[[#This Row],[Profit]]/SalesData[[#This Row],[Sales]],0)</f>
        <v>0.46153846153846156</v>
      </c>
      <c r="R311" t="str">
        <f>TEXT(SalesData[[#This Row],[Order Date]],"mmm-yyyy")</f>
        <v>Dec-2025</v>
      </c>
      <c r="S311">
        <f>YEAR(SalesData[[#This Row],[Order Date]])</f>
        <v>2025</v>
      </c>
      <c r="T311" t="str">
        <f>IF(SalesData[[#This Row],[Profit Margin]]&gt;=30%,"High",IF(SalesData[[#This Row],[Profit Margin]]&gt;=15%,"Medium","Low"))</f>
        <v>High</v>
      </c>
    </row>
    <row r="312" spans="1:20" x14ac:dyDescent="0.35">
      <c r="A312" t="s">
        <v>636</v>
      </c>
      <c r="B312" s="23" t="s">
        <v>635</v>
      </c>
      <c r="C312" t="s">
        <v>637</v>
      </c>
      <c r="D312" t="s">
        <v>25</v>
      </c>
      <c r="E312" t="s">
        <v>89</v>
      </c>
      <c r="F312" t="s">
        <v>19</v>
      </c>
      <c r="G312" t="s">
        <v>20</v>
      </c>
      <c r="H312" t="s">
        <v>29</v>
      </c>
      <c r="I312">
        <v>5</v>
      </c>
      <c r="J312" s="4">
        <v>550</v>
      </c>
      <c r="K312" s="6">
        <v>0</v>
      </c>
      <c r="L312" s="8">
        <v>2750</v>
      </c>
      <c r="M312" s="8">
        <v>1500</v>
      </c>
      <c r="N312" s="8">
        <v>1250</v>
      </c>
      <c r="O312" s="8">
        <f>SalesData[[#This Row],[Quantity]]*SalesData[[#This Row],[Unit Price]]*(1-SalesData[[#This Row],[Discount]])</f>
        <v>2750</v>
      </c>
      <c r="P312" s="8">
        <f>SalesData[[#This Row],[Sales_Check]]-SalesData[[#This Row],[Cost]]</f>
        <v>1250</v>
      </c>
      <c r="Q312" s="13">
        <f>IFERROR(SalesData[[#This Row],[Profit]]/SalesData[[#This Row],[Sales]],0)</f>
        <v>0.45454545454545453</v>
      </c>
      <c r="R312" t="str">
        <f>TEXT(SalesData[[#This Row],[Order Date]],"mmm-yyyy")</f>
        <v>Dec-2025</v>
      </c>
      <c r="S312">
        <f>YEAR(SalesData[[#This Row],[Order Date]])</f>
        <v>2025</v>
      </c>
      <c r="T312" t="str">
        <f>IF(SalesData[[#This Row],[Profit Margin]]&gt;=30%,"High",IF(SalesData[[#This Row],[Profit Margin]]&gt;=15%,"Medium","Low"))</f>
        <v>High</v>
      </c>
    </row>
    <row r="313" spans="1:20" x14ac:dyDescent="0.35">
      <c r="A313" t="s">
        <v>638</v>
      </c>
      <c r="B313" s="23" t="s">
        <v>635</v>
      </c>
      <c r="C313" t="s">
        <v>639</v>
      </c>
      <c r="D313" t="s">
        <v>25</v>
      </c>
      <c r="E313" t="s">
        <v>89</v>
      </c>
      <c r="F313" t="s">
        <v>19</v>
      </c>
      <c r="G313" t="s">
        <v>113</v>
      </c>
      <c r="H313" t="s">
        <v>33</v>
      </c>
      <c r="I313">
        <v>3</v>
      </c>
      <c r="J313" s="4">
        <v>550</v>
      </c>
      <c r="K313" s="6">
        <v>0.05</v>
      </c>
      <c r="L313" s="8">
        <v>1567.5</v>
      </c>
      <c r="M313" s="8">
        <v>900</v>
      </c>
      <c r="N313" s="8">
        <v>667.5</v>
      </c>
      <c r="O313" s="8">
        <f>SalesData[[#This Row],[Quantity]]*SalesData[[#This Row],[Unit Price]]*(1-SalesData[[#This Row],[Discount]])</f>
        <v>1567.5</v>
      </c>
      <c r="P313" s="8">
        <f>SalesData[[#This Row],[Sales_Check]]-SalesData[[#This Row],[Cost]]</f>
        <v>667.5</v>
      </c>
      <c r="Q313" s="13">
        <f>IFERROR(SalesData[[#This Row],[Profit]]/SalesData[[#This Row],[Sales]],0)</f>
        <v>0.42583732057416268</v>
      </c>
      <c r="R313" t="str">
        <f>TEXT(SalesData[[#This Row],[Order Date]],"mmm-yyyy")</f>
        <v>Dec-2025</v>
      </c>
      <c r="S313">
        <f>YEAR(SalesData[[#This Row],[Order Date]])</f>
        <v>2025</v>
      </c>
      <c r="T313" t="str">
        <f>IF(SalesData[[#This Row],[Profit Margin]]&gt;=30%,"High",IF(SalesData[[#This Row],[Profit Margin]]&gt;=15%,"Medium","Low"))</f>
        <v>High</v>
      </c>
    </row>
    <row r="314" spans="1:20" x14ac:dyDescent="0.35">
      <c r="A314" t="s">
        <v>640</v>
      </c>
      <c r="B314" s="23" t="s">
        <v>641</v>
      </c>
      <c r="C314" t="s">
        <v>325</v>
      </c>
      <c r="D314" t="s">
        <v>25</v>
      </c>
      <c r="E314" t="s">
        <v>36</v>
      </c>
      <c r="F314" t="s">
        <v>37</v>
      </c>
      <c r="G314" t="s">
        <v>140</v>
      </c>
      <c r="H314" t="s">
        <v>39</v>
      </c>
      <c r="I314">
        <v>5</v>
      </c>
      <c r="J314" s="4">
        <v>700</v>
      </c>
      <c r="K314" s="6">
        <v>0</v>
      </c>
      <c r="L314" s="8">
        <v>3500</v>
      </c>
      <c r="M314" s="8">
        <v>2000</v>
      </c>
      <c r="N314" s="8">
        <v>1500</v>
      </c>
      <c r="O314" s="8">
        <f>SalesData[[#This Row],[Quantity]]*SalesData[[#This Row],[Unit Price]]*(1-SalesData[[#This Row],[Discount]])</f>
        <v>3500</v>
      </c>
      <c r="P314" s="8">
        <f>SalesData[[#This Row],[Sales_Check]]-SalesData[[#This Row],[Cost]]</f>
        <v>1500</v>
      </c>
      <c r="Q314" s="13">
        <f>IFERROR(SalesData[[#This Row],[Profit]]/SalesData[[#This Row],[Sales]],0)</f>
        <v>0.42857142857142855</v>
      </c>
      <c r="R314" t="str">
        <f>TEXT(SalesData[[#This Row],[Order Date]],"mmm-yyyy")</f>
        <v>Dec-2025</v>
      </c>
      <c r="S314">
        <f>YEAR(SalesData[[#This Row],[Order Date]])</f>
        <v>2025</v>
      </c>
      <c r="T314" t="str">
        <f>IF(SalesData[[#This Row],[Profit Margin]]&gt;=30%,"High",IF(SalesData[[#This Row],[Profit Margin]]&gt;=15%,"Medium","Low"))</f>
        <v>High</v>
      </c>
    </row>
    <row r="315" spans="1:20" x14ac:dyDescent="0.35">
      <c r="A315" t="s">
        <v>642</v>
      </c>
      <c r="B315" s="23" t="s">
        <v>641</v>
      </c>
      <c r="C315" t="s">
        <v>643</v>
      </c>
      <c r="D315" t="s">
        <v>54</v>
      </c>
      <c r="E315" t="s">
        <v>107</v>
      </c>
      <c r="F315" t="s">
        <v>19</v>
      </c>
      <c r="G315" t="s">
        <v>56</v>
      </c>
      <c r="H315" t="s">
        <v>29</v>
      </c>
      <c r="I315">
        <v>4</v>
      </c>
      <c r="J315" s="4">
        <v>120</v>
      </c>
      <c r="K315" s="6">
        <v>0.1</v>
      </c>
      <c r="L315" s="8">
        <v>432</v>
      </c>
      <c r="M315" s="8">
        <v>220</v>
      </c>
      <c r="N315" s="8">
        <v>212</v>
      </c>
      <c r="O315" s="8">
        <f>SalesData[[#This Row],[Quantity]]*SalesData[[#This Row],[Unit Price]]*(1-SalesData[[#This Row],[Discount]])</f>
        <v>432</v>
      </c>
      <c r="P315" s="8">
        <f>SalesData[[#This Row],[Sales_Check]]-SalesData[[#This Row],[Cost]]</f>
        <v>212</v>
      </c>
      <c r="Q315" s="13">
        <f>IFERROR(SalesData[[#This Row],[Profit]]/SalesData[[#This Row],[Sales]],0)</f>
        <v>0.49074074074074076</v>
      </c>
      <c r="R315" t="str">
        <f>TEXT(SalesData[[#This Row],[Order Date]],"mmm-yyyy")</f>
        <v>Dec-2025</v>
      </c>
      <c r="S315">
        <f>YEAR(SalesData[[#This Row],[Order Date]])</f>
        <v>2025</v>
      </c>
      <c r="T315" t="str">
        <f>IF(SalesData[[#This Row],[Profit Margin]]&gt;=30%,"High",IF(SalesData[[#This Row],[Profit Margin]]&gt;=15%,"Medium","Low"))</f>
        <v>High</v>
      </c>
    </row>
    <row r="316" spans="1:20" x14ac:dyDescent="0.35">
      <c r="A316" t="s">
        <v>644</v>
      </c>
      <c r="B316" s="23" t="s">
        <v>641</v>
      </c>
      <c r="C316" t="s">
        <v>64</v>
      </c>
      <c r="D316" t="s">
        <v>25</v>
      </c>
      <c r="E316" t="s">
        <v>89</v>
      </c>
      <c r="F316" t="s">
        <v>37</v>
      </c>
      <c r="G316" t="s">
        <v>97</v>
      </c>
      <c r="H316" t="s">
        <v>33</v>
      </c>
      <c r="I316">
        <v>2</v>
      </c>
      <c r="J316" s="4">
        <v>550</v>
      </c>
      <c r="K316" s="6">
        <v>0.1</v>
      </c>
      <c r="L316" s="8">
        <v>990</v>
      </c>
      <c r="M316" s="8">
        <v>600</v>
      </c>
      <c r="N316" s="8">
        <v>390</v>
      </c>
      <c r="O316" s="8">
        <f>SalesData[[#This Row],[Quantity]]*SalesData[[#This Row],[Unit Price]]*(1-SalesData[[#This Row],[Discount]])</f>
        <v>990</v>
      </c>
      <c r="P316" s="8">
        <f>SalesData[[#This Row],[Sales_Check]]-SalesData[[#This Row],[Cost]]</f>
        <v>390</v>
      </c>
      <c r="Q316" s="13">
        <f>IFERROR(SalesData[[#This Row],[Profit]]/SalesData[[#This Row],[Sales]],0)</f>
        <v>0.39393939393939392</v>
      </c>
      <c r="R316" t="str">
        <f>TEXT(SalesData[[#This Row],[Order Date]],"mmm-yyyy")</f>
        <v>Dec-2025</v>
      </c>
      <c r="S316">
        <f>YEAR(SalesData[[#This Row],[Order Date]])</f>
        <v>2025</v>
      </c>
      <c r="T316" t="str">
        <f>IF(SalesData[[#This Row],[Profit Margin]]&gt;=30%,"High",IF(SalesData[[#This Row],[Profit Margin]]&gt;=15%,"Medium","Low"))</f>
        <v>High</v>
      </c>
    </row>
    <row r="317" spans="1:20" x14ac:dyDescent="0.35">
      <c r="A317" t="s">
        <v>645</v>
      </c>
      <c r="B317" s="23" t="s">
        <v>646</v>
      </c>
      <c r="C317" t="s">
        <v>49</v>
      </c>
      <c r="D317" t="s">
        <v>17</v>
      </c>
      <c r="E317" t="s">
        <v>124</v>
      </c>
      <c r="F317" t="s">
        <v>45</v>
      </c>
      <c r="G317" t="s">
        <v>122</v>
      </c>
      <c r="H317" t="s">
        <v>33</v>
      </c>
      <c r="I317">
        <v>3</v>
      </c>
      <c r="J317" s="4">
        <v>1200</v>
      </c>
      <c r="K317" s="6">
        <v>0</v>
      </c>
      <c r="L317" s="8">
        <v>3600</v>
      </c>
      <c r="M317" s="8">
        <v>2160</v>
      </c>
      <c r="N317" s="8">
        <v>1440</v>
      </c>
      <c r="O317" s="8">
        <f>SalesData[[#This Row],[Quantity]]*SalesData[[#This Row],[Unit Price]]*(1-SalesData[[#This Row],[Discount]])</f>
        <v>3600</v>
      </c>
      <c r="P317" s="8">
        <f>SalesData[[#This Row],[Sales_Check]]-SalesData[[#This Row],[Cost]]</f>
        <v>1440</v>
      </c>
      <c r="Q317" s="13">
        <f>IFERROR(SalesData[[#This Row],[Profit]]/SalesData[[#This Row],[Sales]],0)</f>
        <v>0.4</v>
      </c>
      <c r="R317" t="str">
        <f>TEXT(SalesData[[#This Row],[Order Date]],"mmm-yyyy")</f>
        <v>Dec-2025</v>
      </c>
      <c r="S317">
        <f>YEAR(SalesData[[#This Row],[Order Date]])</f>
        <v>2025</v>
      </c>
      <c r="T317" t="str">
        <f>IF(SalesData[[#This Row],[Profit Margin]]&gt;=30%,"High",IF(SalesData[[#This Row],[Profit Margin]]&gt;=15%,"Medium","Low"))</f>
        <v>High</v>
      </c>
    </row>
    <row r="318" spans="1:20" x14ac:dyDescent="0.35">
      <c r="A318" t="s">
        <v>647</v>
      </c>
      <c r="B318" s="23" t="s">
        <v>646</v>
      </c>
      <c r="C318" t="s">
        <v>248</v>
      </c>
      <c r="D318" t="s">
        <v>17</v>
      </c>
      <c r="E318" t="s">
        <v>65</v>
      </c>
      <c r="F318" t="s">
        <v>45</v>
      </c>
      <c r="G318" t="s">
        <v>70</v>
      </c>
      <c r="H318" t="s">
        <v>33</v>
      </c>
      <c r="I318">
        <v>9</v>
      </c>
      <c r="J318" s="4">
        <v>2200</v>
      </c>
      <c r="K318" s="6">
        <v>0.05</v>
      </c>
      <c r="L318" s="8">
        <v>18810</v>
      </c>
      <c r="M318" s="8">
        <v>12600</v>
      </c>
      <c r="N318" s="8">
        <v>6210</v>
      </c>
      <c r="O318" s="8">
        <f>SalesData[[#This Row],[Quantity]]*SalesData[[#This Row],[Unit Price]]*(1-SalesData[[#This Row],[Discount]])</f>
        <v>18810</v>
      </c>
      <c r="P318" s="8">
        <f>SalesData[[#This Row],[Sales_Check]]-SalesData[[#This Row],[Cost]]</f>
        <v>6210</v>
      </c>
      <c r="Q318" s="13">
        <f>IFERROR(SalesData[[#This Row],[Profit]]/SalesData[[#This Row],[Sales]],0)</f>
        <v>0.33014354066985646</v>
      </c>
      <c r="R318" t="str">
        <f>TEXT(SalesData[[#This Row],[Order Date]],"mmm-yyyy")</f>
        <v>Dec-2025</v>
      </c>
      <c r="S318">
        <f>YEAR(SalesData[[#This Row],[Order Date]])</f>
        <v>2025</v>
      </c>
      <c r="T318" t="str">
        <f>IF(SalesData[[#This Row],[Profit Margin]]&gt;=30%,"High",IF(SalesData[[#This Row],[Profit Margin]]&gt;=15%,"Medium","Low"))</f>
        <v>High</v>
      </c>
    </row>
    <row r="319" spans="1:20" x14ac:dyDescent="0.35">
      <c r="A319" t="s">
        <v>648</v>
      </c>
      <c r="B319" s="23" t="s">
        <v>646</v>
      </c>
      <c r="C319" t="s">
        <v>649</v>
      </c>
      <c r="D319" t="s">
        <v>54</v>
      </c>
      <c r="E319" t="s">
        <v>110</v>
      </c>
      <c r="F319" t="s">
        <v>19</v>
      </c>
      <c r="G319" t="s">
        <v>215</v>
      </c>
      <c r="H319" t="s">
        <v>29</v>
      </c>
      <c r="I319">
        <v>8</v>
      </c>
      <c r="J319" s="4">
        <v>280</v>
      </c>
      <c r="K319" s="6">
        <v>0</v>
      </c>
      <c r="L319" s="8">
        <v>2240</v>
      </c>
      <c r="M319" s="8">
        <v>1200</v>
      </c>
      <c r="N319" s="8">
        <v>1040</v>
      </c>
      <c r="O319" s="8">
        <f>SalesData[[#This Row],[Quantity]]*SalesData[[#This Row],[Unit Price]]*(1-SalesData[[#This Row],[Discount]])</f>
        <v>2240</v>
      </c>
      <c r="P319" s="8">
        <f>SalesData[[#This Row],[Sales_Check]]-SalesData[[#This Row],[Cost]]</f>
        <v>1040</v>
      </c>
      <c r="Q319" s="13">
        <f>IFERROR(SalesData[[#This Row],[Profit]]/SalesData[[#This Row],[Sales]],0)</f>
        <v>0.4642857142857143</v>
      </c>
      <c r="R319" t="str">
        <f>TEXT(SalesData[[#This Row],[Order Date]],"mmm-yyyy")</f>
        <v>Dec-2025</v>
      </c>
      <c r="S319">
        <f>YEAR(SalesData[[#This Row],[Order Date]])</f>
        <v>2025</v>
      </c>
      <c r="T319" t="str">
        <f>IF(SalesData[[#This Row],[Profit Margin]]&gt;=30%,"High",IF(SalesData[[#This Row],[Profit Margin]]&gt;=15%,"Medium","Low"))</f>
        <v>High</v>
      </c>
    </row>
    <row r="320" spans="1:20" x14ac:dyDescent="0.35">
      <c r="A320" t="s">
        <v>650</v>
      </c>
      <c r="B320" s="23" t="s">
        <v>646</v>
      </c>
      <c r="C320" t="s">
        <v>173</v>
      </c>
      <c r="D320" t="s">
        <v>43</v>
      </c>
      <c r="E320" t="s">
        <v>44</v>
      </c>
      <c r="F320" t="s">
        <v>37</v>
      </c>
      <c r="G320" t="s">
        <v>73</v>
      </c>
      <c r="H320" t="s">
        <v>125</v>
      </c>
      <c r="I320">
        <v>1</v>
      </c>
      <c r="J320" s="4">
        <v>2200</v>
      </c>
      <c r="K320" s="6">
        <v>0.05</v>
      </c>
      <c r="L320" s="8">
        <v>2090</v>
      </c>
      <c r="M320" s="8">
        <v>1450</v>
      </c>
      <c r="N320" s="8">
        <v>640</v>
      </c>
      <c r="O320" s="8">
        <f>SalesData[[#This Row],[Quantity]]*SalesData[[#This Row],[Unit Price]]*(1-SalesData[[#This Row],[Discount]])</f>
        <v>2090</v>
      </c>
      <c r="P320" s="8">
        <f>SalesData[[#This Row],[Sales_Check]]-SalesData[[#This Row],[Cost]]</f>
        <v>640</v>
      </c>
      <c r="Q320" s="13">
        <f>IFERROR(SalesData[[#This Row],[Profit]]/SalesData[[#This Row],[Sales]],0)</f>
        <v>0.30622009569377989</v>
      </c>
      <c r="R320" t="str">
        <f>TEXT(SalesData[[#This Row],[Order Date]],"mmm-yyyy")</f>
        <v>Dec-2025</v>
      </c>
      <c r="S320">
        <f>YEAR(SalesData[[#This Row],[Order Date]])</f>
        <v>2025</v>
      </c>
      <c r="T320" t="str">
        <f>IF(SalesData[[#This Row],[Profit Margin]]&gt;=30%,"High",IF(SalesData[[#This Row],[Profit Margin]]&gt;=15%,"Medium","Low"))</f>
        <v>High</v>
      </c>
    </row>
    <row r="321" spans="1:20" x14ac:dyDescent="0.35">
      <c r="A321" t="s">
        <v>651</v>
      </c>
      <c r="B321" s="23" t="s">
        <v>652</v>
      </c>
      <c r="C321" t="s">
        <v>653</v>
      </c>
      <c r="D321" t="s">
        <v>17</v>
      </c>
      <c r="E321" t="s">
        <v>65</v>
      </c>
      <c r="F321" t="s">
        <v>19</v>
      </c>
      <c r="G321" t="s">
        <v>215</v>
      </c>
      <c r="H321" t="s">
        <v>29</v>
      </c>
      <c r="I321">
        <v>7</v>
      </c>
      <c r="J321" s="4">
        <v>2200</v>
      </c>
      <c r="K321" s="6">
        <v>0.1</v>
      </c>
      <c r="L321" s="8">
        <v>13860</v>
      </c>
      <c r="M321" s="8">
        <v>9800</v>
      </c>
      <c r="N321" s="8">
        <v>4060</v>
      </c>
      <c r="O321" s="8">
        <f>SalesData[[#This Row],[Quantity]]*SalesData[[#This Row],[Unit Price]]*(1-SalesData[[#This Row],[Discount]])</f>
        <v>13860</v>
      </c>
      <c r="P321" s="8">
        <f>SalesData[[#This Row],[Sales_Check]]-SalesData[[#This Row],[Cost]]</f>
        <v>4060</v>
      </c>
      <c r="Q321" s="13">
        <f>IFERROR(SalesData[[#This Row],[Profit]]/SalesData[[#This Row],[Sales]],0)</f>
        <v>0.29292929292929293</v>
      </c>
      <c r="R321" t="str">
        <f>TEXT(SalesData[[#This Row],[Order Date]],"mmm-yyyy")</f>
        <v>Dec-2025</v>
      </c>
      <c r="S321">
        <f>YEAR(SalesData[[#This Row],[Order Date]])</f>
        <v>2025</v>
      </c>
      <c r="T321" t="str">
        <f>IF(SalesData[[#This Row],[Profit Margin]]&gt;=30%,"High",IF(SalesData[[#This Row],[Profit Margin]]&gt;=15%,"Medium","Low"))</f>
        <v>Medium</v>
      </c>
    </row>
    <row r="322" spans="1:20" x14ac:dyDescent="0.35">
      <c r="A322" t="s">
        <v>654</v>
      </c>
      <c r="B322" s="23" t="s">
        <v>652</v>
      </c>
      <c r="C322" t="s">
        <v>534</v>
      </c>
      <c r="D322" t="s">
        <v>25</v>
      </c>
      <c r="E322" t="s">
        <v>36</v>
      </c>
      <c r="F322" t="s">
        <v>37</v>
      </c>
      <c r="G322" t="s">
        <v>73</v>
      </c>
      <c r="H322" t="s">
        <v>47</v>
      </c>
      <c r="I322">
        <v>9</v>
      </c>
      <c r="J322" s="4">
        <v>700</v>
      </c>
      <c r="K322" s="6">
        <v>0</v>
      </c>
      <c r="L322" s="8">
        <v>6300</v>
      </c>
      <c r="M322" s="8">
        <v>3600</v>
      </c>
      <c r="N322" s="8">
        <v>2700</v>
      </c>
      <c r="O322" s="8">
        <f>SalesData[[#This Row],[Quantity]]*SalesData[[#This Row],[Unit Price]]*(1-SalesData[[#This Row],[Discount]])</f>
        <v>6300</v>
      </c>
      <c r="P322" s="8">
        <f>SalesData[[#This Row],[Sales_Check]]-SalesData[[#This Row],[Cost]]</f>
        <v>2700</v>
      </c>
      <c r="Q322" s="13">
        <f>IFERROR(SalesData[[#This Row],[Profit]]/SalesData[[#This Row],[Sales]],0)</f>
        <v>0.42857142857142855</v>
      </c>
      <c r="R322" t="str">
        <f>TEXT(SalesData[[#This Row],[Order Date]],"mmm-yyyy")</f>
        <v>Dec-2025</v>
      </c>
      <c r="S322">
        <f>YEAR(SalesData[[#This Row],[Order Date]])</f>
        <v>2025</v>
      </c>
      <c r="T322" t="str">
        <f>IF(SalesData[[#This Row],[Profit Margin]]&gt;=30%,"High",IF(SalesData[[#This Row],[Profit Margin]]&gt;=15%,"Medium","Low"))</f>
        <v>High</v>
      </c>
    </row>
    <row r="323" spans="1:20" x14ac:dyDescent="0.35">
      <c r="A323" t="s">
        <v>655</v>
      </c>
      <c r="B323" s="23" t="s">
        <v>656</v>
      </c>
      <c r="C323" t="s">
        <v>161</v>
      </c>
      <c r="D323" t="s">
        <v>17</v>
      </c>
      <c r="E323" t="s">
        <v>32</v>
      </c>
      <c r="F323" t="s">
        <v>45</v>
      </c>
      <c r="G323" t="s">
        <v>46</v>
      </c>
      <c r="H323" t="s">
        <v>39</v>
      </c>
      <c r="I323">
        <v>7</v>
      </c>
      <c r="J323" s="4">
        <v>1500</v>
      </c>
      <c r="K323" s="6">
        <v>0.15</v>
      </c>
      <c r="L323" s="8">
        <v>8925</v>
      </c>
      <c r="M323" s="8">
        <v>6300</v>
      </c>
      <c r="N323" s="8">
        <v>2625</v>
      </c>
      <c r="O323" s="8">
        <f>SalesData[[#This Row],[Quantity]]*SalesData[[#This Row],[Unit Price]]*(1-SalesData[[#This Row],[Discount]])</f>
        <v>8925</v>
      </c>
      <c r="P323" s="8">
        <f>SalesData[[#This Row],[Sales_Check]]-SalesData[[#This Row],[Cost]]</f>
        <v>2625</v>
      </c>
      <c r="Q323" s="13">
        <f>IFERROR(SalesData[[#This Row],[Profit]]/SalesData[[#This Row],[Sales]],0)</f>
        <v>0.29411764705882354</v>
      </c>
      <c r="R323" t="str">
        <f>TEXT(SalesData[[#This Row],[Order Date]],"mmm-yyyy")</f>
        <v>Dec-2025</v>
      </c>
      <c r="S323">
        <f>YEAR(SalesData[[#This Row],[Order Date]])</f>
        <v>2025</v>
      </c>
      <c r="T323" t="str">
        <f>IF(SalesData[[#This Row],[Profit Margin]]&gt;=30%,"High",IF(SalesData[[#This Row],[Profit Margin]]&gt;=15%,"Medium","Low"))</f>
        <v>Medium</v>
      </c>
    </row>
    <row r="324" spans="1:20" x14ac:dyDescent="0.35">
      <c r="A324" t="s">
        <v>657</v>
      </c>
      <c r="B324" s="23" t="s">
        <v>656</v>
      </c>
      <c r="C324" t="s">
        <v>127</v>
      </c>
      <c r="D324" t="s">
        <v>54</v>
      </c>
      <c r="E324" t="s">
        <v>116</v>
      </c>
      <c r="F324" t="s">
        <v>37</v>
      </c>
      <c r="G324" t="s">
        <v>38</v>
      </c>
      <c r="H324" t="s">
        <v>21</v>
      </c>
      <c r="I324">
        <v>9</v>
      </c>
      <c r="J324" s="4">
        <v>450</v>
      </c>
      <c r="K324" s="6">
        <v>0</v>
      </c>
      <c r="L324" s="8">
        <v>4050</v>
      </c>
      <c r="M324" s="8">
        <v>2250</v>
      </c>
      <c r="N324" s="8">
        <v>1800</v>
      </c>
      <c r="O324" s="8">
        <f>SalesData[[#This Row],[Quantity]]*SalesData[[#This Row],[Unit Price]]*(1-SalesData[[#This Row],[Discount]])</f>
        <v>4050</v>
      </c>
      <c r="P324" s="8">
        <f>SalesData[[#This Row],[Sales_Check]]-SalesData[[#This Row],[Cost]]</f>
        <v>1800</v>
      </c>
      <c r="Q324" s="13">
        <f>IFERROR(SalesData[[#This Row],[Profit]]/SalesData[[#This Row],[Sales]],0)</f>
        <v>0.44444444444444442</v>
      </c>
      <c r="R324" t="str">
        <f>TEXT(SalesData[[#This Row],[Order Date]],"mmm-yyyy")</f>
        <v>Dec-2025</v>
      </c>
      <c r="S324">
        <f>YEAR(SalesData[[#This Row],[Order Date]])</f>
        <v>2025</v>
      </c>
      <c r="T324" t="str">
        <f>IF(SalesData[[#This Row],[Profit Margin]]&gt;=30%,"High",IF(SalesData[[#This Row],[Profit Margin]]&gt;=15%,"Medium","Low"))</f>
        <v>High</v>
      </c>
    </row>
    <row r="325" spans="1:20" x14ac:dyDescent="0.35">
      <c r="A325" t="s">
        <v>658</v>
      </c>
      <c r="B325" s="23" t="s">
        <v>656</v>
      </c>
      <c r="C325" t="s">
        <v>653</v>
      </c>
      <c r="D325" t="s">
        <v>17</v>
      </c>
      <c r="E325" t="s">
        <v>50</v>
      </c>
      <c r="F325" t="s">
        <v>45</v>
      </c>
      <c r="G325" t="s">
        <v>104</v>
      </c>
      <c r="H325" t="s">
        <v>21</v>
      </c>
      <c r="I325">
        <v>10</v>
      </c>
      <c r="J325" s="4">
        <v>650</v>
      </c>
      <c r="K325" s="6">
        <v>0.1</v>
      </c>
      <c r="L325" s="8">
        <v>5850</v>
      </c>
      <c r="M325" s="8">
        <v>3800</v>
      </c>
      <c r="N325" s="8">
        <v>2050</v>
      </c>
      <c r="O325" s="8">
        <f>SalesData[[#This Row],[Quantity]]*SalesData[[#This Row],[Unit Price]]*(1-SalesData[[#This Row],[Discount]])</f>
        <v>5850</v>
      </c>
      <c r="P325" s="8">
        <f>SalesData[[#This Row],[Sales_Check]]-SalesData[[#This Row],[Cost]]</f>
        <v>2050</v>
      </c>
      <c r="Q325" s="13">
        <f>IFERROR(SalesData[[#This Row],[Profit]]/SalesData[[#This Row],[Sales]],0)</f>
        <v>0.3504273504273504</v>
      </c>
      <c r="R325" t="str">
        <f>TEXT(SalesData[[#This Row],[Order Date]],"mmm-yyyy")</f>
        <v>Dec-2025</v>
      </c>
      <c r="S325">
        <f>YEAR(SalesData[[#This Row],[Order Date]])</f>
        <v>2025</v>
      </c>
      <c r="T325" t="str">
        <f>IF(SalesData[[#This Row],[Profit Margin]]&gt;=30%,"High",IF(SalesData[[#This Row],[Profit Margin]]&gt;=15%,"Medium","Low"))</f>
        <v>High</v>
      </c>
    </row>
    <row r="326" spans="1:20" x14ac:dyDescent="0.35">
      <c r="A326" t="s">
        <v>659</v>
      </c>
      <c r="B326" s="23" t="s">
        <v>656</v>
      </c>
      <c r="C326" t="s">
        <v>82</v>
      </c>
      <c r="D326" t="s">
        <v>17</v>
      </c>
      <c r="E326" t="s">
        <v>32</v>
      </c>
      <c r="F326" t="s">
        <v>37</v>
      </c>
      <c r="G326" t="s">
        <v>38</v>
      </c>
      <c r="H326" t="s">
        <v>21</v>
      </c>
      <c r="I326">
        <v>3</v>
      </c>
      <c r="J326" s="4">
        <v>1500</v>
      </c>
      <c r="K326" s="6">
        <v>0</v>
      </c>
      <c r="L326" s="8">
        <v>4500</v>
      </c>
      <c r="M326" s="8">
        <v>2700</v>
      </c>
      <c r="N326" s="8">
        <v>1800</v>
      </c>
      <c r="O326" s="8">
        <f>SalesData[[#This Row],[Quantity]]*SalesData[[#This Row],[Unit Price]]*(1-SalesData[[#This Row],[Discount]])</f>
        <v>4500</v>
      </c>
      <c r="P326" s="8">
        <f>SalesData[[#This Row],[Sales_Check]]-SalesData[[#This Row],[Cost]]</f>
        <v>1800</v>
      </c>
      <c r="Q326" s="13">
        <f>IFERROR(SalesData[[#This Row],[Profit]]/SalesData[[#This Row],[Sales]],0)</f>
        <v>0.4</v>
      </c>
      <c r="R326" t="str">
        <f>TEXT(SalesData[[#This Row],[Order Date]],"mmm-yyyy")</f>
        <v>Dec-2025</v>
      </c>
      <c r="S326">
        <f>YEAR(SalesData[[#This Row],[Order Date]])</f>
        <v>2025</v>
      </c>
      <c r="T326" t="str">
        <f>IF(SalesData[[#This Row],[Profit Margin]]&gt;=30%,"High",IF(SalesData[[#This Row],[Profit Margin]]&gt;=15%,"Medium","Low"))</f>
        <v>High</v>
      </c>
    </row>
    <row r="327" spans="1:20" x14ac:dyDescent="0.35">
      <c r="A327" t="s">
        <v>660</v>
      </c>
      <c r="B327" s="23" t="s">
        <v>661</v>
      </c>
      <c r="C327" t="s">
        <v>662</v>
      </c>
      <c r="D327" t="s">
        <v>25</v>
      </c>
      <c r="E327" t="s">
        <v>69</v>
      </c>
      <c r="F327" t="s">
        <v>45</v>
      </c>
      <c r="G327" t="s">
        <v>122</v>
      </c>
      <c r="H327" t="s">
        <v>39</v>
      </c>
      <c r="I327">
        <v>7</v>
      </c>
      <c r="J327" s="4">
        <v>350</v>
      </c>
      <c r="K327" s="6">
        <v>0</v>
      </c>
      <c r="L327" s="8">
        <v>2450</v>
      </c>
      <c r="M327" s="8">
        <v>1260</v>
      </c>
      <c r="N327" s="8">
        <v>1190</v>
      </c>
      <c r="O327" s="8">
        <f>SalesData[[#This Row],[Quantity]]*SalesData[[#This Row],[Unit Price]]*(1-SalesData[[#This Row],[Discount]])</f>
        <v>2450</v>
      </c>
      <c r="P327" s="8">
        <f>SalesData[[#This Row],[Sales_Check]]-SalesData[[#This Row],[Cost]]</f>
        <v>1190</v>
      </c>
      <c r="Q327" s="13">
        <f>IFERROR(SalesData[[#This Row],[Profit]]/SalesData[[#This Row],[Sales]],0)</f>
        <v>0.48571428571428571</v>
      </c>
      <c r="R327" t="str">
        <f>TEXT(SalesData[[#This Row],[Order Date]],"mmm-yyyy")</f>
        <v>Jan-2026</v>
      </c>
      <c r="S327">
        <f>YEAR(SalesData[[#This Row],[Order Date]])</f>
        <v>2026</v>
      </c>
      <c r="T327" t="str">
        <f>IF(SalesData[[#This Row],[Profit Margin]]&gt;=30%,"High",IF(SalesData[[#This Row],[Profit Margin]]&gt;=15%,"Medium","Low"))</f>
        <v>High</v>
      </c>
    </row>
    <row r="328" spans="1:20" x14ac:dyDescent="0.35">
      <c r="A328" t="s">
        <v>663</v>
      </c>
      <c r="B328" s="23" t="s">
        <v>661</v>
      </c>
      <c r="C328" t="s">
        <v>664</v>
      </c>
      <c r="D328" t="s">
        <v>17</v>
      </c>
      <c r="E328" t="s">
        <v>32</v>
      </c>
      <c r="F328" t="s">
        <v>45</v>
      </c>
      <c r="G328" t="s">
        <v>122</v>
      </c>
      <c r="H328" t="s">
        <v>21</v>
      </c>
      <c r="I328">
        <v>10</v>
      </c>
      <c r="J328" s="4">
        <v>1500</v>
      </c>
      <c r="K328" s="6">
        <v>0</v>
      </c>
      <c r="L328" s="8">
        <v>15000</v>
      </c>
      <c r="M328" s="8">
        <v>9000</v>
      </c>
      <c r="N328" s="8">
        <v>6000</v>
      </c>
      <c r="O328" s="8">
        <f>SalesData[[#This Row],[Quantity]]*SalesData[[#This Row],[Unit Price]]*(1-SalesData[[#This Row],[Discount]])</f>
        <v>15000</v>
      </c>
      <c r="P328" s="8">
        <f>SalesData[[#This Row],[Sales_Check]]-SalesData[[#This Row],[Cost]]</f>
        <v>6000</v>
      </c>
      <c r="Q328" s="13">
        <f>IFERROR(SalesData[[#This Row],[Profit]]/SalesData[[#This Row],[Sales]],0)</f>
        <v>0.4</v>
      </c>
      <c r="R328" t="str">
        <f>TEXT(SalesData[[#This Row],[Order Date]],"mmm-yyyy")</f>
        <v>Jan-2026</v>
      </c>
      <c r="S328">
        <f>YEAR(SalesData[[#This Row],[Order Date]])</f>
        <v>2026</v>
      </c>
      <c r="T328" t="str">
        <f>IF(SalesData[[#This Row],[Profit Margin]]&gt;=30%,"High",IF(SalesData[[#This Row],[Profit Margin]]&gt;=15%,"Medium","Low"))</f>
        <v>High</v>
      </c>
    </row>
    <row r="329" spans="1:20" x14ac:dyDescent="0.35">
      <c r="A329" t="s">
        <v>665</v>
      </c>
      <c r="B329" s="23" t="s">
        <v>666</v>
      </c>
      <c r="C329" t="s">
        <v>464</v>
      </c>
      <c r="D329" t="s">
        <v>25</v>
      </c>
      <c r="E329" t="s">
        <v>89</v>
      </c>
      <c r="F329" t="s">
        <v>37</v>
      </c>
      <c r="G329" t="s">
        <v>38</v>
      </c>
      <c r="H329" t="s">
        <v>33</v>
      </c>
      <c r="I329">
        <v>4</v>
      </c>
      <c r="J329" s="4">
        <v>550</v>
      </c>
      <c r="K329" s="6">
        <v>0</v>
      </c>
      <c r="L329" s="8">
        <v>2200</v>
      </c>
      <c r="M329" s="8">
        <v>1200</v>
      </c>
      <c r="N329" s="8">
        <v>1000</v>
      </c>
      <c r="O329" s="8">
        <f>SalesData[[#This Row],[Quantity]]*SalesData[[#This Row],[Unit Price]]*(1-SalesData[[#This Row],[Discount]])</f>
        <v>2200</v>
      </c>
      <c r="P329" s="8">
        <f>SalesData[[#This Row],[Sales_Check]]-SalesData[[#This Row],[Cost]]</f>
        <v>1000</v>
      </c>
      <c r="Q329" s="13">
        <f>IFERROR(SalesData[[#This Row],[Profit]]/SalesData[[#This Row],[Sales]],0)</f>
        <v>0.45454545454545453</v>
      </c>
      <c r="R329" t="str">
        <f>TEXT(SalesData[[#This Row],[Order Date]],"mmm-yyyy")</f>
        <v>Jan-2026</v>
      </c>
      <c r="S329">
        <f>YEAR(SalesData[[#This Row],[Order Date]])</f>
        <v>2026</v>
      </c>
      <c r="T329" t="str">
        <f>IF(SalesData[[#This Row],[Profit Margin]]&gt;=30%,"High",IF(SalesData[[#This Row],[Profit Margin]]&gt;=15%,"Medium","Low"))</f>
        <v>High</v>
      </c>
    </row>
    <row r="330" spans="1:20" x14ac:dyDescent="0.35">
      <c r="A330" t="s">
        <v>667</v>
      </c>
      <c r="B330" s="23" t="s">
        <v>666</v>
      </c>
      <c r="C330" t="s">
        <v>517</v>
      </c>
      <c r="D330" t="s">
        <v>54</v>
      </c>
      <c r="E330" t="s">
        <v>103</v>
      </c>
      <c r="F330" t="s">
        <v>19</v>
      </c>
      <c r="G330" t="s">
        <v>215</v>
      </c>
      <c r="H330" t="s">
        <v>39</v>
      </c>
      <c r="I330">
        <v>6</v>
      </c>
      <c r="J330" s="4">
        <v>150</v>
      </c>
      <c r="K330" s="6">
        <v>0.1</v>
      </c>
      <c r="L330" s="8">
        <v>810</v>
      </c>
      <c r="M330" s="8">
        <v>450</v>
      </c>
      <c r="N330" s="8">
        <v>360</v>
      </c>
      <c r="O330" s="8">
        <f>SalesData[[#This Row],[Quantity]]*SalesData[[#This Row],[Unit Price]]*(1-SalesData[[#This Row],[Discount]])</f>
        <v>810</v>
      </c>
      <c r="P330" s="8">
        <f>SalesData[[#This Row],[Sales_Check]]-SalesData[[#This Row],[Cost]]</f>
        <v>360</v>
      </c>
      <c r="Q330" s="13">
        <f>IFERROR(SalesData[[#This Row],[Profit]]/SalesData[[#This Row],[Sales]],0)</f>
        <v>0.44444444444444442</v>
      </c>
      <c r="R330" t="str">
        <f>TEXT(SalesData[[#This Row],[Order Date]],"mmm-yyyy")</f>
        <v>Jan-2026</v>
      </c>
      <c r="S330">
        <f>YEAR(SalesData[[#This Row],[Order Date]])</f>
        <v>2026</v>
      </c>
      <c r="T330" t="str">
        <f>IF(SalesData[[#This Row],[Profit Margin]]&gt;=30%,"High",IF(SalesData[[#This Row],[Profit Margin]]&gt;=15%,"Medium","Low"))</f>
        <v>High</v>
      </c>
    </row>
    <row r="331" spans="1:20" x14ac:dyDescent="0.35">
      <c r="A331" t="s">
        <v>668</v>
      </c>
      <c r="B331" s="23" t="s">
        <v>669</v>
      </c>
      <c r="C331" t="s">
        <v>670</v>
      </c>
      <c r="D331" t="s">
        <v>54</v>
      </c>
      <c r="E331" t="s">
        <v>110</v>
      </c>
      <c r="F331" t="s">
        <v>19</v>
      </c>
      <c r="G331" t="s">
        <v>113</v>
      </c>
      <c r="H331" t="s">
        <v>33</v>
      </c>
      <c r="I331">
        <v>10</v>
      </c>
      <c r="J331" s="4">
        <v>280</v>
      </c>
      <c r="K331" s="6">
        <v>0.1</v>
      </c>
      <c r="L331" s="8">
        <v>2520</v>
      </c>
      <c r="M331" s="8">
        <v>1500</v>
      </c>
      <c r="N331" s="8">
        <v>1020</v>
      </c>
      <c r="O331" s="8">
        <f>SalesData[[#This Row],[Quantity]]*SalesData[[#This Row],[Unit Price]]*(1-SalesData[[#This Row],[Discount]])</f>
        <v>2520</v>
      </c>
      <c r="P331" s="8">
        <f>SalesData[[#This Row],[Sales_Check]]-SalesData[[#This Row],[Cost]]</f>
        <v>1020</v>
      </c>
      <c r="Q331" s="13">
        <f>IFERROR(SalesData[[#This Row],[Profit]]/SalesData[[#This Row],[Sales]],0)</f>
        <v>0.40476190476190477</v>
      </c>
      <c r="R331" t="str">
        <f>TEXT(SalesData[[#This Row],[Order Date]],"mmm-yyyy")</f>
        <v>Jan-2026</v>
      </c>
      <c r="S331">
        <f>YEAR(SalesData[[#This Row],[Order Date]])</f>
        <v>2026</v>
      </c>
      <c r="T331" t="str">
        <f>IF(SalesData[[#This Row],[Profit Margin]]&gt;=30%,"High",IF(SalesData[[#This Row],[Profit Margin]]&gt;=15%,"Medium","Low"))</f>
        <v>High</v>
      </c>
    </row>
    <row r="332" spans="1:20" x14ac:dyDescent="0.35">
      <c r="A332" t="s">
        <v>671</v>
      </c>
      <c r="B332" s="23" t="s">
        <v>672</v>
      </c>
      <c r="C332" t="s">
        <v>201</v>
      </c>
      <c r="D332" t="s">
        <v>25</v>
      </c>
      <c r="E332" t="s">
        <v>26</v>
      </c>
      <c r="F332" t="s">
        <v>27</v>
      </c>
      <c r="G332" t="s">
        <v>51</v>
      </c>
      <c r="H332" t="s">
        <v>39</v>
      </c>
      <c r="I332">
        <v>1</v>
      </c>
      <c r="J332" s="4">
        <v>600</v>
      </c>
      <c r="K332" s="6">
        <v>0.05</v>
      </c>
      <c r="L332" s="8">
        <v>570</v>
      </c>
      <c r="M332" s="8">
        <v>330</v>
      </c>
      <c r="N332" s="8">
        <v>240</v>
      </c>
      <c r="O332" s="8">
        <f>SalesData[[#This Row],[Quantity]]*SalesData[[#This Row],[Unit Price]]*(1-SalesData[[#This Row],[Discount]])</f>
        <v>570</v>
      </c>
      <c r="P332" s="8">
        <f>SalesData[[#This Row],[Sales_Check]]-SalesData[[#This Row],[Cost]]</f>
        <v>240</v>
      </c>
      <c r="Q332" s="13">
        <f>IFERROR(SalesData[[#This Row],[Profit]]/SalesData[[#This Row],[Sales]],0)</f>
        <v>0.42105263157894735</v>
      </c>
      <c r="R332" t="str">
        <f>TEXT(SalesData[[#This Row],[Order Date]],"mmm-yyyy")</f>
        <v>Jan-2026</v>
      </c>
      <c r="S332">
        <f>YEAR(SalesData[[#This Row],[Order Date]])</f>
        <v>2026</v>
      </c>
      <c r="T332" t="str">
        <f>IF(SalesData[[#This Row],[Profit Margin]]&gt;=30%,"High",IF(SalesData[[#This Row],[Profit Margin]]&gt;=15%,"Medium","Low"))</f>
        <v>High</v>
      </c>
    </row>
    <row r="333" spans="1:20" x14ac:dyDescent="0.35">
      <c r="A333" t="s">
        <v>673</v>
      </c>
      <c r="B333" s="23" t="s">
        <v>672</v>
      </c>
      <c r="C333" t="s">
        <v>598</v>
      </c>
      <c r="D333" t="s">
        <v>17</v>
      </c>
      <c r="E333" t="s">
        <v>18</v>
      </c>
      <c r="F333" t="s">
        <v>45</v>
      </c>
      <c r="G333" t="s">
        <v>104</v>
      </c>
      <c r="H333" t="s">
        <v>33</v>
      </c>
      <c r="I333">
        <v>4</v>
      </c>
      <c r="J333" s="4">
        <v>1800</v>
      </c>
      <c r="K333" s="6">
        <v>0</v>
      </c>
      <c r="L333" s="8">
        <v>7200</v>
      </c>
      <c r="M333" s="8">
        <v>4400</v>
      </c>
      <c r="N333" s="8">
        <v>2800</v>
      </c>
      <c r="O333" s="8">
        <f>SalesData[[#This Row],[Quantity]]*SalesData[[#This Row],[Unit Price]]*(1-SalesData[[#This Row],[Discount]])</f>
        <v>7200</v>
      </c>
      <c r="P333" s="8">
        <f>SalesData[[#This Row],[Sales_Check]]-SalesData[[#This Row],[Cost]]</f>
        <v>2800</v>
      </c>
      <c r="Q333" s="13">
        <f>IFERROR(SalesData[[#This Row],[Profit]]/SalesData[[#This Row],[Sales]],0)</f>
        <v>0.3888888888888889</v>
      </c>
      <c r="R333" t="str">
        <f>TEXT(SalesData[[#This Row],[Order Date]],"mmm-yyyy")</f>
        <v>Jan-2026</v>
      </c>
      <c r="S333">
        <f>YEAR(SalesData[[#This Row],[Order Date]])</f>
        <v>2026</v>
      </c>
      <c r="T333" t="str">
        <f>IF(SalesData[[#This Row],[Profit Margin]]&gt;=30%,"High",IF(SalesData[[#This Row],[Profit Margin]]&gt;=15%,"Medium","Low"))</f>
        <v>High</v>
      </c>
    </row>
    <row r="334" spans="1:20" x14ac:dyDescent="0.35">
      <c r="A334" t="s">
        <v>674</v>
      </c>
      <c r="B334" s="23" t="s">
        <v>672</v>
      </c>
      <c r="C334" t="s">
        <v>227</v>
      </c>
      <c r="D334" t="s">
        <v>17</v>
      </c>
      <c r="E334" t="s">
        <v>18</v>
      </c>
      <c r="F334" t="s">
        <v>45</v>
      </c>
      <c r="G334" t="s">
        <v>46</v>
      </c>
      <c r="H334" t="s">
        <v>39</v>
      </c>
      <c r="I334">
        <v>6</v>
      </c>
      <c r="J334" s="4">
        <v>1800</v>
      </c>
      <c r="K334" s="6">
        <v>0.15</v>
      </c>
      <c r="L334" s="8">
        <v>9180</v>
      </c>
      <c r="M334" s="8">
        <v>6600</v>
      </c>
      <c r="N334" s="8">
        <v>2580</v>
      </c>
      <c r="O334" s="8">
        <f>SalesData[[#This Row],[Quantity]]*SalesData[[#This Row],[Unit Price]]*(1-SalesData[[#This Row],[Discount]])</f>
        <v>9180</v>
      </c>
      <c r="P334" s="8">
        <f>SalesData[[#This Row],[Sales_Check]]-SalesData[[#This Row],[Cost]]</f>
        <v>2580</v>
      </c>
      <c r="Q334" s="13">
        <f>IFERROR(SalesData[[#This Row],[Profit]]/SalesData[[#This Row],[Sales]],0)</f>
        <v>0.28104575163398693</v>
      </c>
      <c r="R334" t="str">
        <f>TEXT(SalesData[[#This Row],[Order Date]],"mmm-yyyy")</f>
        <v>Jan-2026</v>
      </c>
      <c r="S334">
        <f>YEAR(SalesData[[#This Row],[Order Date]])</f>
        <v>2026</v>
      </c>
      <c r="T334" t="str">
        <f>IF(SalesData[[#This Row],[Profit Margin]]&gt;=30%,"High",IF(SalesData[[#This Row],[Profit Margin]]&gt;=15%,"Medium","Low"))</f>
        <v>Medium</v>
      </c>
    </row>
    <row r="335" spans="1:20" x14ac:dyDescent="0.35">
      <c r="A335" t="s">
        <v>675</v>
      </c>
      <c r="B335" s="23" t="s">
        <v>672</v>
      </c>
      <c r="C335" t="s">
        <v>477</v>
      </c>
      <c r="D335" t="s">
        <v>54</v>
      </c>
      <c r="E335" t="s">
        <v>107</v>
      </c>
      <c r="F335" t="s">
        <v>19</v>
      </c>
      <c r="G335" t="s">
        <v>20</v>
      </c>
      <c r="H335" t="s">
        <v>47</v>
      </c>
      <c r="I335">
        <v>2</v>
      </c>
      <c r="J335" s="4">
        <v>120</v>
      </c>
      <c r="K335" s="6">
        <v>0.05</v>
      </c>
      <c r="L335" s="8">
        <v>228</v>
      </c>
      <c r="M335" s="8">
        <v>110</v>
      </c>
      <c r="N335" s="8">
        <v>118</v>
      </c>
      <c r="O335" s="8">
        <f>SalesData[[#This Row],[Quantity]]*SalesData[[#This Row],[Unit Price]]*(1-SalesData[[#This Row],[Discount]])</f>
        <v>228</v>
      </c>
      <c r="P335" s="8">
        <f>SalesData[[#This Row],[Sales_Check]]-SalesData[[#This Row],[Cost]]</f>
        <v>118</v>
      </c>
      <c r="Q335" s="13">
        <f>IFERROR(SalesData[[#This Row],[Profit]]/SalesData[[#This Row],[Sales]],0)</f>
        <v>0.51754385964912286</v>
      </c>
      <c r="R335" t="str">
        <f>TEXT(SalesData[[#This Row],[Order Date]],"mmm-yyyy")</f>
        <v>Jan-2026</v>
      </c>
      <c r="S335">
        <f>YEAR(SalesData[[#This Row],[Order Date]])</f>
        <v>2026</v>
      </c>
      <c r="T335" t="str">
        <f>IF(SalesData[[#This Row],[Profit Margin]]&gt;=30%,"High",IF(SalesData[[#This Row],[Profit Margin]]&gt;=15%,"Medium","Low"))</f>
        <v>High</v>
      </c>
    </row>
    <row r="336" spans="1:20" x14ac:dyDescent="0.35">
      <c r="A336" t="s">
        <v>676</v>
      </c>
      <c r="B336" s="23" t="s">
        <v>677</v>
      </c>
      <c r="C336" t="s">
        <v>187</v>
      </c>
      <c r="D336" t="s">
        <v>54</v>
      </c>
      <c r="E336" t="s">
        <v>55</v>
      </c>
      <c r="F336" t="s">
        <v>19</v>
      </c>
      <c r="G336" t="s">
        <v>113</v>
      </c>
      <c r="H336" t="s">
        <v>125</v>
      </c>
      <c r="I336">
        <v>3</v>
      </c>
      <c r="J336" s="4">
        <v>180</v>
      </c>
      <c r="K336" s="6">
        <v>0.05</v>
      </c>
      <c r="L336" s="8">
        <v>513</v>
      </c>
      <c r="M336" s="8">
        <v>270</v>
      </c>
      <c r="N336" s="8">
        <v>243</v>
      </c>
      <c r="O336" s="8">
        <f>SalesData[[#This Row],[Quantity]]*SalesData[[#This Row],[Unit Price]]*(1-SalesData[[#This Row],[Discount]])</f>
        <v>513</v>
      </c>
      <c r="P336" s="8">
        <f>SalesData[[#This Row],[Sales_Check]]-SalesData[[#This Row],[Cost]]</f>
        <v>243</v>
      </c>
      <c r="Q336" s="13">
        <f>IFERROR(SalesData[[#This Row],[Profit]]/SalesData[[#This Row],[Sales]],0)</f>
        <v>0.47368421052631576</v>
      </c>
      <c r="R336" t="str">
        <f>TEXT(SalesData[[#This Row],[Order Date]],"mmm-yyyy")</f>
        <v>Jan-2026</v>
      </c>
      <c r="S336">
        <f>YEAR(SalesData[[#This Row],[Order Date]])</f>
        <v>2026</v>
      </c>
      <c r="T336" t="str">
        <f>IF(SalesData[[#This Row],[Profit Margin]]&gt;=30%,"High",IF(SalesData[[#This Row],[Profit Margin]]&gt;=15%,"Medium","Low"))</f>
        <v>High</v>
      </c>
    </row>
    <row r="337" spans="1:20" x14ac:dyDescent="0.35">
      <c r="A337" t="s">
        <v>678</v>
      </c>
      <c r="B337" s="23" t="s">
        <v>677</v>
      </c>
      <c r="C337" t="s">
        <v>152</v>
      </c>
      <c r="D337" t="s">
        <v>54</v>
      </c>
      <c r="E337" t="s">
        <v>116</v>
      </c>
      <c r="F337" t="s">
        <v>27</v>
      </c>
      <c r="G337" t="s">
        <v>85</v>
      </c>
      <c r="H337" t="s">
        <v>33</v>
      </c>
      <c r="I337">
        <v>2</v>
      </c>
      <c r="J337" s="4">
        <v>450</v>
      </c>
      <c r="K337" s="6">
        <v>0.05</v>
      </c>
      <c r="L337" s="8">
        <v>855</v>
      </c>
      <c r="M337" s="8">
        <v>500</v>
      </c>
      <c r="N337" s="8">
        <v>355</v>
      </c>
      <c r="O337" s="8">
        <f>SalesData[[#This Row],[Quantity]]*SalesData[[#This Row],[Unit Price]]*(1-SalesData[[#This Row],[Discount]])</f>
        <v>855</v>
      </c>
      <c r="P337" s="8">
        <f>SalesData[[#This Row],[Sales_Check]]-SalesData[[#This Row],[Cost]]</f>
        <v>355</v>
      </c>
      <c r="Q337" s="13">
        <f>IFERROR(SalesData[[#This Row],[Profit]]/SalesData[[#This Row],[Sales]],0)</f>
        <v>0.41520467836257308</v>
      </c>
      <c r="R337" t="str">
        <f>TEXT(SalesData[[#This Row],[Order Date]],"mmm-yyyy")</f>
        <v>Jan-2026</v>
      </c>
      <c r="S337">
        <f>YEAR(SalesData[[#This Row],[Order Date]])</f>
        <v>2026</v>
      </c>
      <c r="T337" t="str">
        <f>IF(SalesData[[#This Row],[Profit Margin]]&gt;=30%,"High",IF(SalesData[[#This Row],[Profit Margin]]&gt;=15%,"Medium","Low"))</f>
        <v>High</v>
      </c>
    </row>
    <row r="338" spans="1:20" x14ac:dyDescent="0.35">
      <c r="A338" t="s">
        <v>679</v>
      </c>
      <c r="B338" s="23" t="s">
        <v>680</v>
      </c>
      <c r="C338" t="s">
        <v>348</v>
      </c>
      <c r="D338" t="s">
        <v>25</v>
      </c>
      <c r="E338" t="s">
        <v>69</v>
      </c>
      <c r="F338" t="s">
        <v>37</v>
      </c>
      <c r="G338" t="s">
        <v>97</v>
      </c>
      <c r="H338" t="s">
        <v>39</v>
      </c>
      <c r="I338">
        <v>8</v>
      </c>
      <c r="J338" s="4">
        <v>350</v>
      </c>
      <c r="K338" s="6">
        <v>0</v>
      </c>
      <c r="L338" s="8">
        <v>2800</v>
      </c>
      <c r="M338" s="8">
        <v>1440</v>
      </c>
      <c r="N338" s="8">
        <v>1360</v>
      </c>
      <c r="O338" s="8">
        <f>SalesData[[#This Row],[Quantity]]*SalesData[[#This Row],[Unit Price]]*(1-SalesData[[#This Row],[Discount]])</f>
        <v>2800</v>
      </c>
      <c r="P338" s="8">
        <f>SalesData[[#This Row],[Sales_Check]]-SalesData[[#This Row],[Cost]]</f>
        <v>1360</v>
      </c>
      <c r="Q338" s="13">
        <f>IFERROR(SalesData[[#This Row],[Profit]]/SalesData[[#This Row],[Sales]],0)</f>
        <v>0.48571428571428571</v>
      </c>
      <c r="R338" t="str">
        <f>TEXT(SalesData[[#This Row],[Order Date]],"mmm-yyyy")</f>
        <v>Jan-2026</v>
      </c>
      <c r="S338">
        <f>YEAR(SalesData[[#This Row],[Order Date]])</f>
        <v>2026</v>
      </c>
      <c r="T338" t="str">
        <f>IF(SalesData[[#This Row],[Profit Margin]]&gt;=30%,"High",IF(SalesData[[#This Row],[Profit Margin]]&gt;=15%,"Medium","Low"))</f>
        <v>High</v>
      </c>
    </row>
    <row r="339" spans="1:20" x14ac:dyDescent="0.35">
      <c r="A339" t="s">
        <v>681</v>
      </c>
      <c r="B339" s="23" t="s">
        <v>682</v>
      </c>
      <c r="C339" t="s">
        <v>683</v>
      </c>
      <c r="D339" t="s">
        <v>17</v>
      </c>
      <c r="E339" t="s">
        <v>32</v>
      </c>
      <c r="F339" t="s">
        <v>45</v>
      </c>
      <c r="G339" t="s">
        <v>104</v>
      </c>
      <c r="H339" t="s">
        <v>33</v>
      </c>
      <c r="I339">
        <v>7</v>
      </c>
      <c r="J339" s="4">
        <v>1500</v>
      </c>
      <c r="K339" s="6">
        <v>0</v>
      </c>
      <c r="L339" s="8">
        <v>10500</v>
      </c>
      <c r="M339" s="8">
        <v>6300</v>
      </c>
      <c r="N339" s="8">
        <v>4200</v>
      </c>
      <c r="O339" s="8">
        <f>SalesData[[#This Row],[Quantity]]*SalesData[[#This Row],[Unit Price]]*(1-SalesData[[#This Row],[Discount]])</f>
        <v>10500</v>
      </c>
      <c r="P339" s="8">
        <f>SalesData[[#This Row],[Sales_Check]]-SalesData[[#This Row],[Cost]]</f>
        <v>4200</v>
      </c>
      <c r="Q339" s="13">
        <f>IFERROR(SalesData[[#This Row],[Profit]]/SalesData[[#This Row],[Sales]],0)</f>
        <v>0.4</v>
      </c>
      <c r="R339" t="str">
        <f>TEXT(SalesData[[#This Row],[Order Date]],"mmm-yyyy")</f>
        <v>Jan-2026</v>
      </c>
      <c r="S339">
        <f>YEAR(SalesData[[#This Row],[Order Date]])</f>
        <v>2026</v>
      </c>
      <c r="T339" t="str">
        <f>IF(SalesData[[#This Row],[Profit Margin]]&gt;=30%,"High",IF(SalesData[[#This Row],[Profit Margin]]&gt;=15%,"Medium","Low"))</f>
        <v>High</v>
      </c>
    </row>
    <row r="340" spans="1:20" x14ac:dyDescent="0.35">
      <c r="A340" t="s">
        <v>684</v>
      </c>
      <c r="B340" s="23" t="s">
        <v>682</v>
      </c>
      <c r="C340" t="s">
        <v>639</v>
      </c>
      <c r="D340" t="s">
        <v>17</v>
      </c>
      <c r="E340" t="s">
        <v>50</v>
      </c>
      <c r="F340" t="s">
        <v>45</v>
      </c>
      <c r="G340" t="s">
        <v>70</v>
      </c>
      <c r="H340" t="s">
        <v>47</v>
      </c>
      <c r="I340">
        <v>7</v>
      </c>
      <c r="J340" s="4">
        <v>650</v>
      </c>
      <c r="K340" s="6">
        <v>0.1</v>
      </c>
      <c r="L340" s="8">
        <v>4095</v>
      </c>
      <c r="M340" s="8">
        <v>2660</v>
      </c>
      <c r="N340" s="8">
        <v>1435</v>
      </c>
      <c r="O340" s="8">
        <f>SalesData[[#This Row],[Quantity]]*SalesData[[#This Row],[Unit Price]]*(1-SalesData[[#This Row],[Discount]])</f>
        <v>4095</v>
      </c>
      <c r="P340" s="8">
        <f>SalesData[[#This Row],[Sales_Check]]-SalesData[[#This Row],[Cost]]</f>
        <v>1435</v>
      </c>
      <c r="Q340" s="13">
        <f>IFERROR(SalesData[[#This Row],[Profit]]/SalesData[[#This Row],[Sales]],0)</f>
        <v>0.3504273504273504</v>
      </c>
      <c r="R340" t="str">
        <f>TEXT(SalesData[[#This Row],[Order Date]],"mmm-yyyy")</f>
        <v>Jan-2026</v>
      </c>
      <c r="S340">
        <f>YEAR(SalesData[[#This Row],[Order Date]])</f>
        <v>2026</v>
      </c>
      <c r="T340" t="str">
        <f>IF(SalesData[[#This Row],[Profit Margin]]&gt;=30%,"High",IF(SalesData[[#This Row],[Profit Margin]]&gt;=15%,"Medium","Low"))</f>
        <v>High</v>
      </c>
    </row>
    <row r="341" spans="1:20" x14ac:dyDescent="0.35">
      <c r="A341" t="s">
        <v>685</v>
      </c>
      <c r="B341" s="23" t="s">
        <v>682</v>
      </c>
      <c r="C341" t="s">
        <v>252</v>
      </c>
      <c r="D341" t="s">
        <v>54</v>
      </c>
      <c r="E341" t="s">
        <v>107</v>
      </c>
      <c r="F341" t="s">
        <v>37</v>
      </c>
      <c r="G341" t="s">
        <v>97</v>
      </c>
      <c r="H341" t="s">
        <v>39</v>
      </c>
      <c r="I341">
        <v>9</v>
      </c>
      <c r="J341" s="4">
        <v>120</v>
      </c>
      <c r="K341" s="6">
        <v>0</v>
      </c>
      <c r="L341" s="8">
        <v>1080</v>
      </c>
      <c r="M341" s="8">
        <v>495</v>
      </c>
      <c r="N341" s="8">
        <v>585</v>
      </c>
      <c r="O341" s="8">
        <f>SalesData[[#This Row],[Quantity]]*SalesData[[#This Row],[Unit Price]]*(1-SalesData[[#This Row],[Discount]])</f>
        <v>1080</v>
      </c>
      <c r="P341" s="8">
        <f>SalesData[[#This Row],[Sales_Check]]-SalesData[[#This Row],[Cost]]</f>
        <v>585</v>
      </c>
      <c r="Q341" s="13">
        <f>IFERROR(SalesData[[#This Row],[Profit]]/SalesData[[#This Row],[Sales]],0)</f>
        <v>0.54166666666666663</v>
      </c>
      <c r="R341" t="str">
        <f>TEXT(SalesData[[#This Row],[Order Date]],"mmm-yyyy")</f>
        <v>Jan-2026</v>
      </c>
      <c r="S341">
        <f>YEAR(SalesData[[#This Row],[Order Date]])</f>
        <v>2026</v>
      </c>
      <c r="T341" t="str">
        <f>IF(SalesData[[#This Row],[Profit Margin]]&gt;=30%,"High",IF(SalesData[[#This Row],[Profit Margin]]&gt;=15%,"Medium","Low"))</f>
        <v>High</v>
      </c>
    </row>
    <row r="342" spans="1:20" x14ac:dyDescent="0.35">
      <c r="A342" t="s">
        <v>686</v>
      </c>
      <c r="B342" s="23" t="s">
        <v>682</v>
      </c>
      <c r="C342" t="s">
        <v>687</v>
      </c>
      <c r="D342" t="s">
        <v>25</v>
      </c>
      <c r="E342" t="s">
        <v>36</v>
      </c>
      <c r="F342" t="s">
        <v>37</v>
      </c>
      <c r="G342" t="s">
        <v>140</v>
      </c>
      <c r="H342" t="s">
        <v>39</v>
      </c>
      <c r="I342">
        <v>6</v>
      </c>
      <c r="J342" s="4">
        <v>700</v>
      </c>
      <c r="K342" s="6">
        <v>0.1</v>
      </c>
      <c r="L342" s="8">
        <v>3780</v>
      </c>
      <c r="M342" s="8">
        <v>2400</v>
      </c>
      <c r="N342" s="8">
        <v>1380</v>
      </c>
      <c r="O342" s="8">
        <f>SalesData[[#This Row],[Quantity]]*SalesData[[#This Row],[Unit Price]]*(1-SalesData[[#This Row],[Discount]])</f>
        <v>3780</v>
      </c>
      <c r="P342" s="8">
        <f>SalesData[[#This Row],[Sales_Check]]-SalesData[[#This Row],[Cost]]</f>
        <v>1380</v>
      </c>
      <c r="Q342" s="13">
        <f>IFERROR(SalesData[[#This Row],[Profit]]/SalesData[[#This Row],[Sales]],0)</f>
        <v>0.36507936507936506</v>
      </c>
      <c r="R342" t="str">
        <f>TEXT(SalesData[[#This Row],[Order Date]],"mmm-yyyy")</f>
        <v>Jan-2026</v>
      </c>
      <c r="S342">
        <f>YEAR(SalesData[[#This Row],[Order Date]])</f>
        <v>2026</v>
      </c>
      <c r="T342" t="str">
        <f>IF(SalesData[[#This Row],[Profit Margin]]&gt;=30%,"High",IF(SalesData[[#This Row],[Profit Margin]]&gt;=15%,"Medium","Low"))</f>
        <v>High</v>
      </c>
    </row>
    <row r="343" spans="1:20" x14ac:dyDescent="0.35">
      <c r="A343" t="s">
        <v>688</v>
      </c>
      <c r="B343" s="23" t="s">
        <v>682</v>
      </c>
      <c r="C343" t="s">
        <v>412</v>
      </c>
      <c r="D343" t="s">
        <v>54</v>
      </c>
      <c r="E343" t="s">
        <v>116</v>
      </c>
      <c r="F343" t="s">
        <v>45</v>
      </c>
      <c r="G343" t="s">
        <v>46</v>
      </c>
      <c r="H343" t="s">
        <v>33</v>
      </c>
      <c r="I343">
        <v>2</v>
      </c>
      <c r="J343" s="4">
        <v>450</v>
      </c>
      <c r="K343" s="6">
        <v>0.05</v>
      </c>
      <c r="L343" s="8">
        <v>855</v>
      </c>
      <c r="M343" s="8">
        <v>500</v>
      </c>
      <c r="N343" s="8">
        <v>355</v>
      </c>
      <c r="O343" s="8">
        <f>SalesData[[#This Row],[Quantity]]*SalesData[[#This Row],[Unit Price]]*(1-SalesData[[#This Row],[Discount]])</f>
        <v>855</v>
      </c>
      <c r="P343" s="8">
        <f>SalesData[[#This Row],[Sales_Check]]-SalesData[[#This Row],[Cost]]</f>
        <v>355</v>
      </c>
      <c r="Q343" s="13">
        <f>IFERROR(SalesData[[#This Row],[Profit]]/SalesData[[#This Row],[Sales]],0)</f>
        <v>0.41520467836257308</v>
      </c>
      <c r="R343" t="str">
        <f>TEXT(SalesData[[#This Row],[Order Date]],"mmm-yyyy")</f>
        <v>Jan-2026</v>
      </c>
      <c r="S343">
        <f>YEAR(SalesData[[#This Row],[Order Date]])</f>
        <v>2026</v>
      </c>
      <c r="T343" t="str">
        <f>IF(SalesData[[#This Row],[Profit Margin]]&gt;=30%,"High",IF(SalesData[[#This Row],[Profit Margin]]&gt;=15%,"Medium","Low"))</f>
        <v>High</v>
      </c>
    </row>
    <row r="344" spans="1:20" x14ac:dyDescent="0.35">
      <c r="A344" t="s">
        <v>689</v>
      </c>
      <c r="B344" s="23" t="s">
        <v>690</v>
      </c>
      <c r="C344" t="s">
        <v>691</v>
      </c>
      <c r="D344" t="s">
        <v>17</v>
      </c>
      <c r="E344" t="s">
        <v>18</v>
      </c>
      <c r="F344" t="s">
        <v>27</v>
      </c>
      <c r="G344" t="s">
        <v>85</v>
      </c>
      <c r="H344" t="s">
        <v>125</v>
      </c>
      <c r="I344">
        <v>4</v>
      </c>
      <c r="J344" s="4">
        <v>1800</v>
      </c>
      <c r="K344" s="6">
        <v>0</v>
      </c>
      <c r="L344" s="8">
        <v>7200</v>
      </c>
      <c r="M344" s="8">
        <v>4400</v>
      </c>
      <c r="N344" s="8">
        <v>2800</v>
      </c>
      <c r="O344" s="8">
        <f>SalesData[[#This Row],[Quantity]]*SalesData[[#This Row],[Unit Price]]*(1-SalesData[[#This Row],[Discount]])</f>
        <v>7200</v>
      </c>
      <c r="P344" s="8">
        <f>SalesData[[#This Row],[Sales_Check]]-SalesData[[#This Row],[Cost]]</f>
        <v>2800</v>
      </c>
      <c r="Q344" s="13">
        <f>IFERROR(SalesData[[#This Row],[Profit]]/SalesData[[#This Row],[Sales]],0)</f>
        <v>0.3888888888888889</v>
      </c>
      <c r="R344" t="str">
        <f>TEXT(SalesData[[#This Row],[Order Date]],"mmm-yyyy")</f>
        <v>Jan-2026</v>
      </c>
      <c r="S344">
        <f>YEAR(SalesData[[#This Row],[Order Date]])</f>
        <v>2026</v>
      </c>
      <c r="T344" t="str">
        <f>IF(SalesData[[#This Row],[Profit Margin]]&gt;=30%,"High",IF(SalesData[[#This Row],[Profit Margin]]&gt;=15%,"Medium","Low"))</f>
        <v>High</v>
      </c>
    </row>
    <row r="345" spans="1:20" x14ac:dyDescent="0.35">
      <c r="A345" t="s">
        <v>692</v>
      </c>
      <c r="B345" s="23" t="s">
        <v>690</v>
      </c>
      <c r="C345" t="s">
        <v>158</v>
      </c>
      <c r="D345" t="s">
        <v>17</v>
      </c>
      <c r="E345" t="s">
        <v>18</v>
      </c>
      <c r="F345" t="s">
        <v>27</v>
      </c>
      <c r="G345" t="s">
        <v>90</v>
      </c>
      <c r="H345" t="s">
        <v>125</v>
      </c>
      <c r="I345">
        <v>4</v>
      </c>
      <c r="J345" s="4">
        <v>1800</v>
      </c>
      <c r="K345" s="6">
        <v>0.05</v>
      </c>
      <c r="L345" s="8">
        <v>6840</v>
      </c>
      <c r="M345" s="8">
        <v>4400</v>
      </c>
      <c r="N345" s="8">
        <v>2440</v>
      </c>
      <c r="O345" s="8">
        <f>SalesData[[#This Row],[Quantity]]*SalesData[[#This Row],[Unit Price]]*(1-SalesData[[#This Row],[Discount]])</f>
        <v>6840</v>
      </c>
      <c r="P345" s="8">
        <f>SalesData[[#This Row],[Sales_Check]]-SalesData[[#This Row],[Cost]]</f>
        <v>2440</v>
      </c>
      <c r="Q345" s="13">
        <f>IFERROR(SalesData[[#This Row],[Profit]]/SalesData[[#This Row],[Sales]],0)</f>
        <v>0.35672514619883039</v>
      </c>
      <c r="R345" t="str">
        <f>TEXT(SalesData[[#This Row],[Order Date]],"mmm-yyyy")</f>
        <v>Jan-2026</v>
      </c>
      <c r="S345">
        <f>YEAR(SalesData[[#This Row],[Order Date]])</f>
        <v>2026</v>
      </c>
      <c r="T345" t="str">
        <f>IF(SalesData[[#This Row],[Profit Margin]]&gt;=30%,"High",IF(SalesData[[#This Row],[Profit Margin]]&gt;=15%,"Medium","Low"))</f>
        <v>High</v>
      </c>
    </row>
    <row r="346" spans="1:20" x14ac:dyDescent="0.35">
      <c r="A346" t="s">
        <v>693</v>
      </c>
      <c r="B346" s="23" t="s">
        <v>690</v>
      </c>
      <c r="C346" t="s">
        <v>517</v>
      </c>
      <c r="D346" t="s">
        <v>25</v>
      </c>
      <c r="E346" t="s">
        <v>36</v>
      </c>
      <c r="F346" t="s">
        <v>19</v>
      </c>
      <c r="G346" t="s">
        <v>113</v>
      </c>
      <c r="H346" t="s">
        <v>125</v>
      </c>
      <c r="I346">
        <v>3</v>
      </c>
      <c r="J346" s="4">
        <v>700</v>
      </c>
      <c r="K346" s="6">
        <v>0</v>
      </c>
      <c r="L346" s="8">
        <v>2100</v>
      </c>
      <c r="M346" s="8">
        <v>1200</v>
      </c>
      <c r="N346" s="8">
        <v>900</v>
      </c>
      <c r="O346" s="8">
        <f>SalesData[[#This Row],[Quantity]]*SalesData[[#This Row],[Unit Price]]*(1-SalesData[[#This Row],[Discount]])</f>
        <v>2100</v>
      </c>
      <c r="P346" s="8">
        <f>SalesData[[#This Row],[Sales_Check]]-SalesData[[#This Row],[Cost]]</f>
        <v>900</v>
      </c>
      <c r="Q346" s="13">
        <f>IFERROR(SalesData[[#This Row],[Profit]]/SalesData[[#This Row],[Sales]],0)</f>
        <v>0.42857142857142855</v>
      </c>
      <c r="R346" t="str">
        <f>TEXT(SalesData[[#This Row],[Order Date]],"mmm-yyyy")</f>
        <v>Jan-2026</v>
      </c>
      <c r="S346">
        <f>YEAR(SalesData[[#This Row],[Order Date]])</f>
        <v>2026</v>
      </c>
      <c r="T346" t="str">
        <f>IF(SalesData[[#This Row],[Profit Margin]]&gt;=30%,"High",IF(SalesData[[#This Row],[Profit Margin]]&gt;=15%,"Medium","Low"))</f>
        <v>High</v>
      </c>
    </row>
    <row r="347" spans="1:20" x14ac:dyDescent="0.35">
      <c r="A347" t="s">
        <v>694</v>
      </c>
      <c r="B347" s="23" t="s">
        <v>695</v>
      </c>
      <c r="C347" t="s">
        <v>696</v>
      </c>
      <c r="D347" t="s">
        <v>43</v>
      </c>
      <c r="E347" t="s">
        <v>169</v>
      </c>
      <c r="F347" t="s">
        <v>37</v>
      </c>
      <c r="G347" t="s">
        <v>73</v>
      </c>
      <c r="H347" t="s">
        <v>33</v>
      </c>
      <c r="I347">
        <v>4</v>
      </c>
      <c r="J347" s="4">
        <v>350</v>
      </c>
      <c r="K347" s="6">
        <v>0</v>
      </c>
      <c r="L347" s="8">
        <v>1400</v>
      </c>
      <c r="M347" s="8">
        <v>680</v>
      </c>
      <c r="N347" s="8">
        <v>720</v>
      </c>
      <c r="O347" s="8">
        <f>SalesData[[#This Row],[Quantity]]*SalesData[[#This Row],[Unit Price]]*(1-SalesData[[#This Row],[Discount]])</f>
        <v>1400</v>
      </c>
      <c r="P347" s="8">
        <f>SalesData[[#This Row],[Sales_Check]]-SalesData[[#This Row],[Cost]]</f>
        <v>720</v>
      </c>
      <c r="Q347" s="13">
        <f>IFERROR(SalesData[[#This Row],[Profit]]/SalesData[[#This Row],[Sales]],0)</f>
        <v>0.51428571428571423</v>
      </c>
      <c r="R347" t="str">
        <f>TEXT(SalesData[[#This Row],[Order Date]],"mmm-yyyy")</f>
        <v>Jan-2026</v>
      </c>
      <c r="S347">
        <f>YEAR(SalesData[[#This Row],[Order Date]])</f>
        <v>2026</v>
      </c>
      <c r="T347" t="str">
        <f>IF(SalesData[[#This Row],[Profit Margin]]&gt;=30%,"High",IF(SalesData[[#This Row],[Profit Margin]]&gt;=15%,"Medium","Low"))</f>
        <v>High</v>
      </c>
    </row>
    <row r="348" spans="1:20" x14ac:dyDescent="0.35">
      <c r="A348" t="s">
        <v>697</v>
      </c>
      <c r="B348" s="23" t="s">
        <v>695</v>
      </c>
      <c r="C348" t="s">
        <v>109</v>
      </c>
      <c r="D348" t="s">
        <v>25</v>
      </c>
      <c r="E348" t="s">
        <v>36</v>
      </c>
      <c r="F348" t="s">
        <v>37</v>
      </c>
      <c r="G348" t="s">
        <v>140</v>
      </c>
      <c r="H348" t="s">
        <v>33</v>
      </c>
      <c r="I348">
        <v>10</v>
      </c>
      <c r="J348" s="4">
        <v>700</v>
      </c>
      <c r="K348" s="6">
        <v>0</v>
      </c>
      <c r="L348" s="8">
        <v>7000</v>
      </c>
      <c r="M348" s="8">
        <v>4000</v>
      </c>
      <c r="N348" s="8">
        <v>3000</v>
      </c>
      <c r="O348" s="8">
        <f>SalesData[[#This Row],[Quantity]]*SalesData[[#This Row],[Unit Price]]*(1-SalesData[[#This Row],[Discount]])</f>
        <v>7000</v>
      </c>
      <c r="P348" s="8">
        <f>SalesData[[#This Row],[Sales_Check]]-SalesData[[#This Row],[Cost]]</f>
        <v>3000</v>
      </c>
      <c r="Q348" s="13">
        <f>IFERROR(SalesData[[#This Row],[Profit]]/SalesData[[#This Row],[Sales]],0)</f>
        <v>0.42857142857142855</v>
      </c>
      <c r="R348" t="str">
        <f>TEXT(SalesData[[#This Row],[Order Date]],"mmm-yyyy")</f>
        <v>Jan-2026</v>
      </c>
      <c r="S348">
        <f>YEAR(SalesData[[#This Row],[Order Date]])</f>
        <v>2026</v>
      </c>
      <c r="T348" t="str">
        <f>IF(SalesData[[#This Row],[Profit Margin]]&gt;=30%,"High",IF(SalesData[[#This Row],[Profit Margin]]&gt;=15%,"Medium","Low"))</f>
        <v>High</v>
      </c>
    </row>
    <row r="349" spans="1:20" x14ac:dyDescent="0.35">
      <c r="A349" t="s">
        <v>698</v>
      </c>
      <c r="B349" s="23" t="s">
        <v>699</v>
      </c>
      <c r="C349" t="s">
        <v>93</v>
      </c>
      <c r="D349" t="s">
        <v>25</v>
      </c>
      <c r="E349" t="s">
        <v>26</v>
      </c>
      <c r="F349" t="s">
        <v>45</v>
      </c>
      <c r="G349" t="s">
        <v>122</v>
      </c>
      <c r="H349" t="s">
        <v>21</v>
      </c>
      <c r="I349">
        <v>10</v>
      </c>
      <c r="J349" s="4">
        <v>600</v>
      </c>
      <c r="K349" s="6">
        <v>0.1</v>
      </c>
      <c r="L349" s="8">
        <v>5400</v>
      </c>
      <c r="M349" s="8">
        <v>3300</v>
      </c>
      <c r="N349" s="8">
        <v>2100</v>
      </c>
      <c r="O349" s="8">
        <f>SalesData[[#This Row],[Quantity]]*SalesData[[#This Row],[Unit Price]]*(1-SalesData[[#This Row],[Discount]])</f>
        <v>5400</v>
      </c>
      <c r="P349" s="8">
        <f>SalesData[[#This Row],[Sales_Check]]-SalesData[[#This Row],[Cost]]</f>
        <v>2100</v>
      </c>
      <c r="Q349" s="13">
        <f>IFERROR(SalesData[[#This Row],[Profit]]/SalesData[[#This Row],[Sales]],0)</f>
        <v>0.3888888888888889</v>
      </c>
      <c r="R349" t="str">
        <f>TEXT(SalesData[[#This Row],[Order Date]],"mmm-yyyy")</f>
        <v>Jan-2026</v>
      </c>
      <c r="S349">
        <f>YEAR(SalesData[[#This Row],[Order Date]])</f>
        <v>2026</v>
      </c>
      <c r="T349" t="str">
        <f>IF(SalesData[[#This Row],[Profit Margin]]&gt;=30%,"High",IF(SalesData[[#This Row],[Profit Margin]]&gt;=15%,"Medium","Low"))</f>
        <v>High</v>
      </c>
    </row>
    <row r="350" spans="1:20" x14ac:dyDescent="0.35">
      <c r="A350" t="s">
        <v>700</v>
      </c>
      <c r="B350" s="23" t="s">
        <v>699</v>
      </c>
      <c r="C350" t="s">
        <v>701</v>
      </c>
      <c r="D350" t="s">
        <v>54</v>
      </c>
      <c r="E350" t="s">
        <v>55</v>
      </c>
      <c r="F350" t="s">
        <v>27</v>
      </c>
      <c r="G350" t="s">
        <v>28</v>
      </c>
      <c r="H350" t="s">
        <v>21</v>
      </c>
      <c r="I350">
        <v>10</v>
      </c>
      <c r="J350" s="4">
        <v>180</v>
      </c>
      <c r="K350" s="6">
        <v>0</v>
      </c>
      <c r="L350" s="8">
        <v>1800</v>
      </c>
      <c r="M350" s="8">
        <v>900</v>
      </c>
      <c r="N350" s="8">
        <v>900</v>
      </c>
      <c r="O350" s="8">
        <f>SalesData[[#This Row],[Quantity]]*SalesData[[#This Row],[Unit Price]]*(1-SalesData[[#This Row],[Discount]])</f>
        <v>1800</v>
      </c>
      <c r="P350" s="8">
        <f>SalesData[[#This Row],[Sales_Check]]-SalesData[[#This Row],[Cost]]</f>
        <v>900</v>
      </c>
      <c r="Q350" s="13">
        <f>IFERROR(SalesData[[#This Row],[Profit]]/SalesData[[#This Row],[Sales]],0)</f>
        <v>0.5</v>
      </c>
      <c r="R350" t="str">
        <f>TEXT(SalesData[[#This Row],[Order Date]],"mmm-yyyy")</f>
        <v>Jan-2026</v>
      </c>
      <c r="S350">
        <f>YEAR(SalesData[[#This Row],[Order Date]])</f>
        <v>2026</v>
      </c>
      <c r="T350" t="str">
        <f>IF(SalesData[[#This Row],[Profit Margin]]&gt;=30%,"High",IF(SalesData[[#This Row],[Profit Margin]]&gt;=15%,"Medium","Low"))</f>
        <v>High</v>
      </c>
    </row>
    <row r="351" spans="1:20" x14ac:dyDescent="0.35">
      <c r="A351" t="s">
        <v>702</v>
      </c>
      <c r="B351" s="23" t="s">
        <v>699</v>
      </c>
      <c r="C351" t="s">
        <v>703</v>
      </c>
      <c r="D351" t="s">
        <v>54</v>
      </c>
      <c r="E351" t="s">
        <v>107</v>
      </c>
      <c r="F351" t="s">
        <v>27</v>
      </c>
      <c r="G351" t="s">
        <v>28</v>
      </c>
      <c r="H351" t="s">
        <v>21</v>
      </c>
      <c r="I351">
        <v>8</v>
      </c>
      <c r="J351" s="4">
        <v>120</v>
      </c>
      <c r="K351" s="6">
        <v>0.1</v>
      </c>
      <c r="L351" s="8">
        <v>864</v>
      </c>
      <c r="M351" s="8">
        <v>440</v>
      </c>
      <c r="N351" s="8">
        <v>424</v>
      </c>
      <c r="O351" s="8">
        <f>SalesData[[#This Row],[Quantity]]*SalesData[[#This Row],[Unit Price]]*(1-SalesData[[#This Row],[Discount]])</f>
        <v>864</v>
      </c>
      <c r="P351" s="8">
        <f>SalesData[[#This Row],[Sales_Check]]-SalesData[[#This Row],[Cost]]</f>
        <v>424</v>
      </c>
      <c r="Q351" s="13">
        <f>IFERROR(SalesData[[#This Row],[Profit]]/SalesData[[#This Row],[Sales]],0)</f>
        <v>0.49074074074074076</v>
      </c>
      <c r="R351" t="str">
        <f>TEXT(SalesData[[#This Row],[Order Date]],"mmm-yyyy")</f>
        <v>Jan-2026</v>
      </c>
      <c r="S351">
        <f>YEAR(SalesData[[#This Row],[Order Date]])</f>
        <v>2026</v>
      </c>
      <c r="T351" t="str">
        <f>IF(SalesData[[#This Row],[Profit Margin]]&gt;=30%,"High",IF(SalesData[[#This Row],[Profit Margin]]&gt;=15%,"Medium","Low"))</f>
        <v>High</v>
      </c>
    </row>
    <row r="352" spans="1:20" x14ac:dyDescent="0.35">
      <c r="A352" t="s">
        <v>704</v>
      </c>
      <c r="B352" s="23" t="s">
        <v>699</v>
      </c>
      <c r="C352" t="s">
        <v>72</v>
      </c>
      <c r="D352" t="s">
        <v>54</v>
      </c>
      <c r="E352" t="s">
        <v>107</v>
      </c>
      <c r="F352" t="s">
        <v>37</v>
      </c>
      <c r="G352" t="s">
        <v>97</v>
      </c>
      <c r="H352" t="s">
        <v>125</v>
      </c>
      <c r="I352">
        <v>6</v>
      </c>
      <c r="J352" s="4">
        <v>120</v>
      </c>
      <c r="K352" s="6">
        <v>0</v>
      </c>
      <c r="L352" s="8">
        <v>720</v>
      </c>
      <c r="M352" s="8">
        <v>330</v>
      </c>
      <c r="N352" s="8">
        <v>390</v>
      </c>
      <c r="O352" s="8">
        <f>SalesData[[#This Row],[Quantity]]*SalesData[[#This Row],[Unit Price]]*(1-SalesData[[#This Row],[Discount]])</f>
        <v>720</v>
      </c>
      <c r="P352" s="8">
        <f>SalesData[[#This Row],[Sales_Check]]-SalesData[[#This Row],[Cost]]</f>
        <v>390</v>
      </c>
      <c r="Q352" s="13">
        <f>IFERROR(SalesData[[#This Row],[Profit]]/SalesData[[#This Row],[Sales]],0)</f>
        <v>0.54166666666666663</v>
      </c>
      <c r="R352" t="str">
        <f>TEXT(SalesData[[#This Row],[Order Date]],"mmm-yyyy")</f>
        <v>Jan-2026</v>
      </c>
      <c r="S352">
        <f>YEAR(SalesData[[#This Row],[Order Date]])</f>
        <v>2026</v>
      </c>
      <c r="T352" t="str">
        <f>IF(SalesData[[#This Row],[Profit Margin]]&gt;=30%,"High",IF(SalesData[[#This Row],[Profit Margin]]&gt;=15%,"Medium","Low"))</f>
        <v>High</v>
      </c>
    </row>
    <row r="353" spans="1:20" x14ac:dyDescent="0.35">
      <c r="A353" t="s">
        <v>705</v>
      </c>
      <c r="B353" s="23" t="s">
        <v>699</v>
      </c>
      <c r="C353" t="s">
        <v>138</v>
      </c>
      <c r="D353" t="s">
        <v>54</v>
      </c>
      <c r="E353" t="s">
        <v>55</v>
      </c>
      <c r="F353" t="s">
        <v>27</v>
      </c>
      <c r="G353" t="s">
        <v>85</v>
      </c>
      <c r="H353" t="s">
        <v>29</v>
      </c>
      <c r="I353">
        <v>6</v>
      </c>
      <c r="J353" s="4">
        <v>180</v>
      </c>
      <c r="K353" s="6">
        <v>0.1</v>
      </c>
      <c r="L353" s="8">
        <v>972</v>
      </c>
      <c r="M353" s="8">
        <v>540</v>
      </c>
      <c r="N353" s="8">
        <v>432</v>
      </c>
      <c r="O353" s="8">
        <f>SalesData[[#This Row],[Quantity]]*SalesData[[#This Row],[Unit Price]]*(1-SalesData[[#This Row],[Discount]])</f>
        <v>972</v>
      </c>
      <c r="P353" s="8">
        <f>SalesData[[#This Row],[Sales_Check]]-SalesData[[#This Row],[Cost]]</f>
        <v>432</v>
      </c>
      <c r="Q353" s="13">
        <f>IFERROR(SalesData[[#This Row],[Profit]]/SalesData[[#This Row],[Sales]],0)</f>
        <v>0.44444444444444442</v>
      </c>
      <c r="R353" t="str">
        <f>TEXT(SalesData[[#This Row],[Order Date]],"mmm-yyyy")</f>
        <v>Jan-2026</v>
      </c>
      <c r="S353">
        <f>YEAR(SalesData[[#This Row],[Order Date]])</f>
        <v>2026</v>
      </c>
      <c r="T353" t="str">
        <f>IF(SalesData[[#This Row],[Profit Margin]]&gt;=30%,"High",IF(SalesData[[#This Row],[Profit Margin]]&gt;=15%,"Medium","Low"))</f>
        <v>High</v>
      </c>
    </row>
    <row r="354" spans="1:20" x14ac:dyDescent="0.35">
      <c r="A354" t="s">
        <v>706</v>
      </c>
      <c r="B354" s="23" t="s">
        <v>707</v>
      </c>
      <c r="C354" t="s">
        <v>59</v>
      </c>
      <c r="D354" t="s">
        <v>17</v>
      </c>
      <c r="E354" t="s">
        <v>32</v>
      </c>
      <c r="F354" t="s">
        <v>37</v>
      </c>
      <c r="G354" t="s">
        <v>38</v>
      </c>
      <c r="H354" t="s">
        <v>33</v>
      </c>
      <c r="I354">
        <v>8</v>
      </c>
      <c r="J354" s="4">
        <v>1500</v>
      </c>
      <c r="K354" s="6">
        <v>0.1</v>
      </c>
      <c r="L354" s="8">
        <v>10800</v>
      </c>
      <c r="M354" s="8">
        <v>7200</v>
      </c>
      <c r="N354" s="8">
        <v>3600</v>
      </c>
      <c r="O354" s="8">
        <f>SalesData[[#This Row],[Quantity]]*SalesData[[#This Row],[Unit Price]]*(1-SalesData[[#This Row],[Discount]])</f>
        <v>10800</v>
      </c>
      <c r="P354" s="8">
        <f>SalesData[[#This Row],[Sales_Check]]-SalesData[[#This Row],[Cost]]</f>
        <v>3600</v>
      </c>
      <c r="Q354" s="13">
        <f>IFERROR(SalesData[[#This Row],[Profit]]/SalesData[[#This Row],[Sales]],0)</f>
        <v>0.33333333333333331</v>
      </c>
      <c r="R354" t="str">
        <f>TEXT(SalesData[[#This Row],[Order Date]],"mmm-yyyy")</f>
        <v>Jan-2026</v>
      </c>
      <c r="S354">
        <f>YEAR(SalesData[[#This Row],[Order Date]])</f>
        <v>2026</v>
      </c>
      <c r="T354" t="str">
        <f>IF(SalesData[[#This Row],[Profit Margin]]&gt;=30%,"High",IF(SalesData[[#This Row],[Profit Margin]]&gt;=15%,"Medium","Low"))</f>
        <v>High</v>
      </c>
    </row>
    <row r="355" spans="1:20" x14ac:dyDescent="0.35">
      <c r="A355" t="s">
        <v>708</v>
      </c>
      <c r="B355" s="23" t="s">
        <v>709</v>
      </c>
      <c r="C355" t="s">
        <v>236</v>
      </c>
      <c r="D355" t="s">
        <v>25</v>
      </c>
      <c r="E355" t="s">
        <v>26</v>
      </c>
      <c r="F355" t="s">
        <v>37</v>
      </c>
      <c r="G355" t="s">
        <v>73</v>
      </c>
      <c r="H355" t="s">
        <v>39</v>
      </c>
      <c r="I355">
        <v>5</v>
      </c>
      <c r="J355" s="4">
        <v>600</v>
      </c>
      <c r="K355" s="6">
        <v>0.05</v>
      </c>
      <c r="L355" s="8">
        <v>2850</v>
      </c>
      <c r="M355" s="8">
        <v>1650</v>
      </c>
      <c r="N355" s="8">
        <v>1200</v>
      </c>
      <c r="O355" s="8">
        <f>SalesData[[#This Row],[Quantity]]*SalesData[[#This Row],[Unit Price]]*(1-SalesData[[#This Row],[Discount]])</f>
        <v>2850</v>
      </c>
      <c r="P355" s="8">
        <f>SalesData[[#This Row],[Sales_Check]]-SalesData[[#This Row],[Cost]]</f>
        <v>1200</v>
      </c>
      <c r="Q355" s="13">
        <f>IFERROR(SalesData[[#This Row],[Profit]]/SalesData[[#This Row],[Sales]],0)</f>
        <v>0.42105263157894735</v>
      </c>
      <c r="R355" t="str">
        <f>TEXT(SalesData[[#This Row],[Order Date]],"mmm-yyyy")</f>
        <v>Jan-2026</v>
      </c>
      <c r="S355">
        <f>YEAR(SalesData[[#This Row],[Order Date]])</f>
        <v>2026</v>
      </c>
      <c r="T355" t="str">
        <f>IF(SalesData[[#This Row],[Profit Margin]]&gt;=30%,"High",IF(SalesData[[#This Row],[Profit Margin]]&gt;=15%,"Medium","Low"))</f>
        <v>High</v>
      </c>
    </row>
    <row r="356" spans="1:20" x14ac:dyDescent="0.35">
      <c r="A356" t="s">
        <v>710</v>
      </c>
      <c r="B356" s="23" t="s">
        <v>709</v>
      </c>
      <c r="C356" t="s">
        <v>711</v>
      </c>
      <c r="D356" t="s">
        <v>54</v>
      </c>
      <c r="E356" t="s">
        <v>103</v>
      </c>
      <c r="F356" t="s">
        <v>19</v>
      </c>
      <c r="G356" t="s">
        <v>113</v>
      </c>
      <c r="H356" t="s">
        <v>33</v>
      </c>
      <c r="I356">
        <v>6</v>
      </c>
      <c r="J356" s="4">
        <v>150</v>
      </c>
      <c r="K356" s="6">
        <v>0</v>
      </c>
      <c r="L356" s="8">
        <v>900</v>
      </c>
      <c r="M356" s="8">
        <v>450</v>
      </c>
      <c r="N356" s="8">
        <v>450</v>
      </c>
      <c r="O356" s="8">
        <f>SalesData[[#This Row],[Quantity]]*SalesData[[#This Row],[Unit Price]]*(1-SalesData[[#This Row],[Discount]])</f>
        <v>900</v>
      </c>
      <c r="P356" s="8">
        <f>SalesData[[#This Row],[Sales_Check]]-SalesData[[#This Row],[Cost]]</f>
        <v>450</v>
      </c>
      <c r="Q356" s="13">
        <f>IFERROR(SalesData[[#This Row],[Profit]]/SalesData[[#This Row],[Sales]],0)</f>
        <v>0.5</v>
      </c>
      <c r="R356" t="str">
        <f>TEXT(SalesData[[#This Row],[Order Date]],"mmm-yyyy")</f>
        <v>Jan-2026</v>
      </c>
      <c r="S356">
        <f>YEAR(SalesData[[#This Row],[Order Date]])</f>
        <v>2026</v>
      </c>
      <c r="T356" t="str">
        <f>IF(SalesData[[#This Row],[Profit Margin]]&gt;=30%,"High",IF(SalesData[[#This Row],[Profit Margin]]&gt;=15%,"Medium","Low"))</f>
        <v>High</v>
      </c>
    </row>
    <row r="357" spans="1:20" x14ac:dyDescent="0.35">
      <c r="A357" t="s">
        <v>712</v>
      </c>
      <c r="B357" s="23" t="s">
        <v>709</v>
      </c>
      <c r="C357" t="s">
        <v>713</v>
      </c>
      <c r="D357" t="s">
        <v>25</v>
      </c>
      <c r="E357" t="s">
        <v>69</v>
      </c>
      <c r="F357" t="s">
        <v>27</v>
      </c>
      <c r="G357" t="s">
        <v>90</v>
      </c>
      <c r="H357" t="s">
        <v>21</v>
      </c>
      <c r="I357">
        <v>8</v>
      </c>
      <c r="J357" s="4">
        <v>350</v>
      </c>
      <c r="K357" s="6">
        <v>0</v>
      </c>
      <c r="L357" s="8">
        <v>2800</v>
      </c>
      <c r="M357" s="8">
        <v>1440</v>
      </c>
      <c r="N357" s="8">
        <v>1360</v>
      </c>
      <c r="O357" s="8">
        <f>SalesData[[#This Row],[Quantity]]*SalesData[[#This Row],[Unit Price]]*(1-SalesData[[#This Row],[Discount]])</f>
        <v>2800</v>
      </c>
      <c r="P357" s="8">
        <f>SalesData[[#This Row],[Sales_Check]]-SalesData[[#This Row],[Cost]]</f>
        <v>1360</v>
      </c>
      <c r="Q357" s="13">
        <f>IFERROR(SalesData[[#This Row],[Profit]]/SalesData[[#This Row],[Sales]],0)</f>
        <v>0.48571428571428571</v>
      </c>
      <c r="R357" t="str">
        <f>TEXT(SalesData[[#This Row],[Order Date]],"mmm-yyyy")</f>
        <v>Jan-2026</v>
      </c>
      <c r="S357">
        <f>YEAR(SalesData[[#This Row],[Order Date]])</f>
        <v>2026</v>
      </c>
      <c r="T357" t="str">
        <f>IF(SalesData[[#This Row],[Profit Margin]]&gt;=30%,"High",IF(SalesData[[#This Row],[Profit Margin]]&gt;=15%,"Medium","Low"))</f>
        <v>High</v>
      </c>
    </row>
    <row r="358" spans="1:20" x14ac:dyDescent="0.35">
      <c r="A358" t="s">
        <v>714</v>
      </c>
      <c r="B358" s="23" t="s">
        <v>709</v>
      </c>
      <c r="C358" t="s">
        <v>715</v>
      </c>
      <c r="D358" t="s">
        <v>17</v>
      </c>
      <c r="E358" t="s">
        <v>32</v>
      </c>
      <c r="F358" t="s">
        <v>45</v>
      </c>
      <c r="G358" t="s">
        <v>46</v>
      </c>
      <c r="H358" t="s">
        <v>29</v>
      </c>
      <c r="I358">
        <v>7</v>
      </c>
      <c r="J358" s="4">
        <v>1500</v>
      </c>
      <c r="K358" s="6">
        <v>0.05</v>
      </c>
      <c r="L358" s="8">
        <v>9975</v>
      </c>
      <c r="M358" s="8">
        <v>6300</v>
      </c>
      <c r="N358" s="8">
        <v>3675</v>
      </c>
      <c r="O358" s="8">
        <f>SalesData[[#This Row],[Quantity]]*SalesData[[#This Row],[Unit Price]]*(1-SalesData[[#This Row],[Discount]])</f>
        <v>9975</v>
      </c>
      <c r="P358" s="8">
        <f>SalesData[[#This Row],[Sales_Check]]-SalesData[[#This Row],[Cost]]</f>
        <v>3675</v>
      </c>
      <c r="Q358" s="13">
        <f>IFERROR(SalesData[[#This Row],[Profit]]/SalesData[[#This Row],[Sales]],0)</f>
        <v>0.36842105263157893</v>
      </c>
      <c r="R358" t="str">
        <f>TEXT(SalesData[[#This Row],[Order Date]],"mmm-yyyy")</f>
        <v>Jan-2026</v>
      </c>
      <c r="S358">
        <f>YEAR(SalesData[[#This Row],[Order Date]])</f>
        <v>2026</v>
      </c>
      <c r="T358" t="str">
        <f>IF(SalesData[[#This Row],[Profit Margin]]&gt;=30%,"High",IF(SalesData[[#This Row],[Profit Margin]]&gt;=15%,"Medium","Low"))</f>
        <v>High</v>
      </c>
    </row>
    <row r="359" spans="1:20" x14ac:dyDescent="0.35">
      <c r="A359" t="s">
        <v>716</v>
      </c>
      <c r="B359" s="23" t="s">
        <v>717</v>
      </c>
      <c r="C359" t="s">
        <v>402</v>
      </c>
      <c r="D359" t="s">
        <v>54</v>
      </c>
      <c r="E359" t="s">
        <v>55</v>
      </c>
      <c r="F359" t="s">
        <v>45</v>
      </c>
      <c r="G359" t="s">
        <v>104</v>
      </c>
      <c r="H359" t="s">
        <v>33</v>
      </c>
      <c r="I359">
        <v>6</v>
      </c>
      <c r="J359" s="4">
        <v>180</v>
      </c>
      <c r="K359" s="6">
        <v>0</v>
      </c>
      <c r="L359" s="8">
        <v>1080</v>
      </c>
      <c r="M359" s="8">
        <v>540</v>
      </c>
      <c r="N359" s="8">
        <v>540</v>
      </c>
      <c r="O359" s="8">
        <f>SalesData[[#This Row],[Quantity]]*SalesData[[#This Row],[Unit Price]]*(1-SalesData[[#This Row],[Discount]])</f>
        <v>1080</v>
      </c>
      <c r="P359" s="8">
        <f>SalesData[[#This Row],[Sales_Check]]-SalesData[[#This Row],[Cost]]</f>
        <v>540</v>
      </c>
      <c r="Q359" s="13">
        <f>IFERROR(SalesData[[#This Row],[Profit]]/SalesData[[#This Row],[Sales]],0)</f>
        <v>0.5</v>
      </c>
      <c r="R359" t="str">
        <f>TEXT(SalesData[[#This Row],[Order Date]],"mmm-yyyy")</f>
        <v>Jan-2026</v>
      </c>
      <c r="S359">
        <f>YEAR(SalesData[[#This Row],[Order Date]])</f>
        <v>2026</v>
      </c>
      <c r="T359" t="str">
        <f>IF(SalesData[[#This Row],[Profit Margin]]&gt;=30%,"High",IF(SalesData[[#This Row],[Profit Margin]]&gt;=15%,"Medium","Low"))</f>
        <v>High</v>
      </c>
    </row>
    <row r="360" spans="1:20" x14ac:dyDescent="0.35">
      <c r="A360" t="s">
        <v>718</v>
      </c>
      <c r="B360" s="23" t="s">
        <v>717</v>
      </c>
      <c r="C360" t="s">
        <v>227</v>
      </c>
      <c r="D360" t="s">
        <v>25</v>
      </c>
      <c r="E360" t="s">
        <v>69</v>
      </c>
      <c r="F360" t="s">
        <v>19</v>
      </c>
      <c r="G360" t="s">
        <v>215</v>
      </c>
      <c r="H360" t="s">
        <v>39</v>
      </c>
      <c r="I360">
        <v>8</v>
      </c>
      <c r="J360" s="4">
        <v>350</v>
      </c>
      <c r="K360" s="6">
        <v>0.15</v>
      </c>
      <c r="L360" s="8">
        <v>2380</v>
      </c>
      <c r="M360" s="8">
        <v>1440</v>
      </c>
      <c r="N360" s="8">
        <v>940</v>
      </c>
      <c r="O360" s="8">
        <f>SalesData[[#This Row],[Quantity]]*SalesData[[#This Row],[Unit Price]]*(1-SalesData[[#This Row],[Discount]])</f>
        <v>2380</v>
      </c>
      <c r="P360" s="8">
        <f>SalesData[[#This Row],[Sales_Check]]-SalesData[[#This Row],[Cost]]</f>
        <v>940</v>
      </c>
      <c r="Q360" s="13">
        <f>IFERROR(SalesData[[#This Row],[Profit]]/SalesData[[#This Row],[Sales]],0)</f>
        <v>0.3949579831932773</v>
      </c>
      <c r="R360" t="str">
        <f>TEXT(SalesData[[#This Row],[Order Date]],"mmm-yyyy")</f>
        <v>Jan-2026</v>
      </c>
      <c r="S360">
        <f>YEAR(SalesData[[#This Row],[Order Date]])</f>
        <v>2026</v>
      </c>
      <c r="T360" t="str">
        <f>IF(SalesData[[#This Row],[Profit Margin]]&gt;=30%,"High",IF(SalesData[[#This Row],[Profit Margin]]&gt;=15%,"Medium","Low"))</f>
        <v>High</v>
      </c>
    </row>
    <row r="361" spans="1:20" x14ac:dyDescent="0.35">
      <c r="A361" t="s">
        <v>719</v>
      </c>
      <c r="B361" s="23" t="s">
        <v>720</v>
      </c>
      <c r="C361" t="s">
        <v>437</v>
      </c>
      <c r="D361" t="s">
        <v>43</v>
      </c>
      <c r="E361" t="s">
        <v>250</v>
      </c>
      <c r="F361" t="s">
        <v>19</v>
      </c>
      <c r="G361" t="s">
        <v>215</v>
      </c>
      <c r="H361" t="s">
        <v>125</v>
      </c>
      <c r="I361">
        <v>6</v>
      </c>
      <c r="J361" s="4">
        <v>900</v>
      </c>
      <c r="K361" s="6">
        <v>0.05</v>
      </c>
      <c r="L361" s="8">
        <v>5130</v>
      </c>
      <c r="M361" s="8">
        <v>3120</v>
      </c>
      <c r="N361" s="8">
        <v>2010</v>
      </c>
      <c r="O361" s="8">
        <f>SalesData[[#This Row],[Quantity]]*SalesData[[#This Row],[Unit Price]]*(1-SalesData[[#This Row],[Discount]])</f>
        <v>5130</v>
      </c>
      <c r="P361" s="8">
        <f>SalesData[[#This Row],[Sales_Check]]-SalesData[[#This Row],[Cost]]</f>
        <v>2010</v>
      </c>
      <c r="Q361" s="13">
        <f>IFERROR(SalesData[[#This Row],[Profit]]/SalesData[[#This Row],[Sales]],0)</f>
        <v>0.391812865497076</v>
      </c>
      <c r="R361" t="str">
        <f>TEXT(SalesData[[#This Row],[Order Date]],"mmm-yyyy")</f>
        <v>Jan-2026</v>
      </c>
      <c r="S361">
        <f>YEAR(SalesData[[#This Row],[Order Date]])</f>
        <v>2026</v>
      </c>
      <c r="T361" t="str">
        <f>IF(SalesData[[#This Row],[Profit Margin]]&gt;=30%,"High",IF(SalesData[[#This Row],[Profit Margin]]&gt;=15%,"Medium","Low"))</f>
        <v>High</v>
      </c>
    </row>
    <row r="362" spans="1:20" x14ac:dyDescent="0.35">
      <c r="A362" t="s">
        <v>721</v>
      </c>
      <c r="B362" s="23" t="s">
        <v>720</v>
      </c>
      <c r="C362" t="s">
        <v>77</v>
      </c>
      <c r="D362" t="s">
        <v>43</v>
      </c>
      <c r="E362" t="s">
        <v>44</v>
      </c>
      <c r="F362" t="s">
        <v>27</v>
      </c>
      <c r="G362" t="s">
        <v>28</v>
      </c>
      <c r="H362" t="s">
        <v>21</v>
      </c>
      <c r="I362">
        <v>5</v>
      </c>
      <c r="J362" s="4">
        <v>2200</v>
      </c>
      <c r="K362" s="6">
        <v>0.05</v>
      </c>
      <c r="L362" s="8">
        <v>10450</v>
      </c>
      <c r="M362" s="8">
        <v>7250</v>
      </c>
      <c r="N362" s="8">
        <v>3200</v>
      </c>
      <c r="O362" s="8">
        <f>SalesData[[#This Row],[Quantity]]*SalesData[[#This Row],[Unit Price]]*(1-SalesData[[#This Row],[Discount]])</f>
        <v>10450</v>
      </c>
      <c r="P362" s="8">
        <f>SalesData[[#This Row],[Sales_Check]]-SalesData[[#This Row],[Cost]]</f>
        <v>3200</v>
      </c>
      <c r="Q362" s="13">
        <f>IFERROR(SalesData[[#This Row],[Profit]]/SalesData[[#This Row],[Sales]],0)</f>
        <v>0.30622009569377989</v>
      </c>
      <c r="R362" t="str">
        <f>TEXT(SalesData[[#This Row],[Order Date]],"mmm-yyyy")</f>
        <v>Jan-2026</v>
      </c>
      <c r="S362">
        <f>YEAR(SalesData[[#This Row],[Order Date]])</f>
        <v>2026</v>
      </c>
      <c r="T362" t="str">
        <f>IF(SalesData[[#This Row],[Profit Margin]]&gt;=30%,"High",IF(SalesData[[#This Row],[Profit Margin]]&gt;=15%,"Medium","Low"))</f>
        <v>High</v>
      </c>
    </row>
    <row r="363" spans="1:20" x14ac:dyDescent="0.35">
      <c r="A363" t="s">
        <v>722</v>
      </c>
      <c r="B363" s="23" t="s">
        <v>720</v>
      </c>
      <c r="C363" t="s">
        <v>723</v>
      </c>
      <c r="D363" t="s">
        <v>54</v>
      </c>
      <c r="E363" t="s">
        <v>107</v>
      </c>
      <c r="F363" t="s">
        <v>27</v>
      </c>
      <c r="G363" t="s">
        <v>85</v>
      </c>
      <c r="H363" t="s">
        <v>21</v>
      </c>
      <c r="I363">
        <v>2</v>
      </c>
      <c r="J363" s="4">
        <v>120</v>
      </c>
      <c r="K363" s="6">
        <v>0</v>
      </c>
      <c r="L363" s="8">
        <v>240</v>
      </c>
      <c r="M363" s="8">
        <v>110</v>
      </c>
      <c r="N363" s="8">
        <v>130</v>
      </c>
      <c r="O363" s="8">
        <f>SalesData[[#This Row],[Quantity]]*SalesData[[#This Row],[Unit Price]]*(1-SalesData[[#This Row],[Discount]])</f>
        <v>240</v>
      </c>
      <c r="P363" s="8">
        <f>SalesData[[#This Row],[Sales_Check]]-SalesData[[#This Row],[Cost]]</f>
        <v>130</v>
      </c>
      <c r="Q363" s="13">
        <f>IFERROR(SalesData[[#This Row],[Profit]]/SalesData[[#This Row],[Sales]],0)</f>
        <v>0.54166666666666663</v>
      </c>
      <c r="R363" t="str">
        <f>TEXT(SalesData[[#This Row],[Order Date]],"mmm-yyyy")</f>
        <v>Jan-2026</v>
      </c>
      <c r="S363">
        <f>YEAR(SalesData[[#This Row],[Order Date]])</f>
        <v>2026</v>
      </c>
      <c r="T363" t="str">
        <f>IF(SalesData[[#This Row],[Profit Margin]]&gt;=30%,"High",IF(SalesData[[#This Row],[Profit Margin]]&gt;=15%,"Medium","Low"))</f>
        <v>High</v>
      </c>
    </row>
    <row r="364" spans="1:20" x14ac:dyDescent="0.35">
      <c r="A364" t="s">
        <v>724</v>
      </c>
      <c r="B364" s="23" t="s">
        <v>720</v>
      </c>
      <c r="C364" t="s">
        <v>325</v>
      </c>
      <c r="D364" t="s">
        <v>17</v>
      </c>
      <c r="E364" t="s">
        <v>50</v>
      </c>
      <c r="F364" t="s">
        <v>45</v>
      </c>
      <c r="G364" t="s">
        <v>70</v>
      </c>
      <c r="H364" t="s">
        <v>47</v>
      </c>
      <c r="I364">
        <v>9</v>
      </c>
      <c r="J364" s="4">
        <v>650</v>
      </c>
      <c r="K364" s="6">
        <v>0</v>
      </c>
      <c r="L364" s="8">
        <v>5850</v>
      </c>
      <c r="M364" s="8">
        <v>3420</v>
      </c>
      <c r="N364" s="8">
        <v>2430</v>
      </c>
      <c r="O364" s="8">
        <f>SalesData[[#This Row],[Quantity]]*SalesData[[#This Row],[Unit Price]]*(1-SalesData[[#This Row],[Discount]])</f>
        <v>5850</v>
      </c>
      <c r="P364" s="8">
        <f>SalesData[[#This Row],[Sales_Check]]-SalesData[[#This Row],[Cost]]</f>
        <v>2430</v>
      </c>
      <c r="Q364" s="13">
        <f>IFERROR(SalesData[[#This Row],[Profit]]/SalesData[[#This Row],[Sales]],0)</f>
        <v>0.41538461538461541</v>
      </c>
      <c r="R364" t="str">
        <f>TEXT(SalesData[[#This Row],[Order Date]],"mmm-yyyy")</f>
        <v>Jan-2026</v>
      </c>
      <c r="S364">
        <f>YEAR(SalesData[[#This Row],[Order Date]])</f>
        <v>2026</v>
      </c>
      <c r="T364" t="str">
        <f>IF(SalesData[[#This Row],[Profit Margin]]&gt;=30%,"High",IF(SalesData[[#This Row],[Profit Margin]]&gt;=15%,"Medium","Low"))</f>
        <v>High</v>
      </c>
    </row>
    <row r="365" spans="1:20" x14ac:dyDescent="0.35">
      <c r="A365" t="s">
        <v>725</v>
      </c>
      <c r="B365" s="23" t="s">
        <v>726</v>
      </c>
      <c r="C365" t="s">
        <v>134</v>
      </c>
      <c r="D365" t="s">
        <v>17</v>
      </c>
      <c r="E365" t="s">
        <v>65</v>
      </c>
      <c r="F365" t="s">
        <v>19</v>
      </c>
      <c r="G365" t="s">
        <v>113</v>
      </c>
      <c r="H365" t="s">
        <v>47</v>
      </c>
      <c r="I365">
        <v>9</v>
      </c>
      <c r="J365" s="4">
        <v>2200</v>
      </c>
      <c r="K365" s="6">
        <v>0.05</v>
      </c>
      <c r="L365" s="8">
        <v>18810</v>
      </c>
      <c r="M365" s="8">
        <v>12600</v>
      </c>
      <c r="N365" s="8">
        <v>6210</v>
      </c>
      <c r="O365" s="8">
        <f>SalesData[[#This Row],[Quantity]]*SalesData[[#This Row],[Unit Price]]*(1-SalesData[[#This Row],[Discount]])</f>
        <v>18810</v>
      </c>
      <c r="P365" s="8">
        <f>SalesData[[#This Row],[Sales_Check]]-SalesData[[#This Row],[Cost]]</f>
        <v>6210</v>
      </c>
      <c r="Q365" s="13">
        <f>IFERROR(SalesData[[#This Row],[Profit]]/SalesData[[#This Row],[Sales]],0)</f>
        <v>0.33014354066985646</v>
      </c>
      <c r="R365" t="str">
        <f>TEXT(SalesData[[#This Row],[Order Date]],"mmm-yyyy")</f>
        <v>Jan-2026</v>
      </c>
      <c r="S365">
        <f>YEAR(SalesData[[#This Row],[Order Date]])</f>
        <v>2026</v>
      </c>
      <c r="T365" t="str">
        <f>IF(SalesData[[#This Row],[Profit Margin]]&gt;=30%,"High",IF(SalesData[[#This Row],[Profit Margin]]&gt;=15%,"Medium","Low"))</f>
        <v>High</v>
      </c>
    </row>
    <row r="366" spans="1:20" x14ac:dyDescent="0.35">
      <c r="A366" t="s">
        <v>727</v>
      </c>
      <c r="B366" s="23" t="s">
        <v>728</v>
      </c>
      <c r="C366" t="s">
        <v>24</v>
      </c>
      <c r="D366" t="s">
        <v>54</v>
      </c>
      <c r="E366" t="s">
        <v>107</v>
      </c>
      <c r="F366" t="s">
        <v>37</v>
      </c>
      <c r="G366" t="s">
        <v>97</v>
      </c>
      <c r="H366" t="s">
        <v>33</v>
      </c>
      <c r="I366">
        <v>2</v>
      </c>
      <c r="J366" s="4">
        <v>120</v>
      </c>
      <c r="K366" s="6">
        <v>0</v>
      </c>
      <c r="L366" s="8">
        <v>240</v>
      </c>
      <c r="M366" s="8">
        <v>110</v>
      </c>
      <c r="N366" s="8">
        <v>130</v>
      </c>
      <c r="O366" s="8">
        <f>SalesData[[#This Row],[Quantity]]*SalesData[[#This Row],[Unit Price]]*(1-SalesData[[#This Row],[Discount]])</f>
        <v>240</v>
      </c>
      <c r="P366" s="8">
        <f>SalesData[[#This Row],[Sales_Check]]-SalesData[[#This Row],[Cost]]</f>
        <v>130</v>
      </c>
      <c r="Q366" s="13">
        <f>IFERROR(SalesData[[#This Row],[Profit]]/SalesData[[#This Row],[Sales]],0)</f>
        <v>0.54166666666666663</v>
      </c>
      <c r="R366" t="str">
        <f>TEXT(SalesData[[#This Row],[Order Date]],"mmm-yyyy")</f>
        <v>Jan-2026</v>
      </c>
      <c r="S366">
        <f>YEAR(SalesData[[#This Row],[Order Date]])</f>
        <v>2026</v>
      </c>
      <c r="T366" t="str">
        <f>IF(SalesData[[#This Row],[Profit Margin]]&gt;=30%,"High",IF(SalesData[[#This Row],[Profit Margin]]&gt;=15%,"Medium","Low"))</f>
        <v>High</v>
      </c>
    </row>
    <row r="367" spans="1:20" x14ac:dyDescent="0.35">
      <c r="A367" t="s">
        <v>729</v>
      </c>
      <c r="B367" s="23" t="s">
        <v>728</v>
      </c>
      <c r="C367" t="s">
        <v>224</v>
      </c>
      <c r="D367" t="s">
        <v>54</v>
      </c>
      <c r="E367" t="s">
        <v>116</v>
      </c>
      <c r="F367" t="s">
        <v>45</v>
      </c>
      <c r="G367" t="s">
        <v>104</v>
      </c>
      <c r="H367" t="s">
        <v>33</v>
      </c>
      <c r="I367">
        <v>3</v>
      </c>
      <c r="J367" s="4">
        <v>450</v>
      </c>
      <c r="K367" s="6">
        <v>0</v>
      </c>
      <c r="L367" s="8">
        <v>1350</v>
      </c>
      <c r="M367" s="8">
        <v>750</v>
      </c>
      <c r="N367" s="8">
        <v>600</v>
      </c>
      <c r="O367" s="8">
        <f>SalesData[[#This Row],[Quantity]]*SalesData[[#This Row],[Unit Price]]*(1-SalesData[[#This Row],[Discount]])</f>
        <v>1350</v>
      </c>
      <c r="P367" s="8">
        <f>SalesData[[#This Row],[Sales_Check]]-SalesData[[#This Row],[Cost]]</f>
        <v>600</v>
      </c>
      <c r="Q367" s="13">
        <f>IFERROR(SalesData[[#This Row],[Profit]]/SalesData[[#This Row],[Sales]],0)</f>
        <v>0.44444444444444442</v>
      </c>
      <c r="R367" t="str">
        <f>TEXT(SalesData[[#This Row],[Order Date]],"mmm-yyyy")</f>
        <v>Jan-2026</v>
      </c>
      <c r="S367">
        <f>YEAR(SalesData[[#This Row],[Order Date]])</f>
        <v>2026</v>
      </c>
      <c r="T367" t="str">
        <f>IF(SalesData[[#This Row],[Profit Margin]]&gt;=30%,"High",IF(SalesData[[#This Row],[Profit Margin]]&gt;=15%,"Medium","Low"))</f>
        <v>High</v>
      </c>
    </row>
    <row r="368" spans="1:20" x14ac:dyDescent="0.35">
      <c r="A368" t="s">
        <v>730</v>
      </c>
      <c r="B368" s="23" t="s">
        <v>728</v>
      </c>
      <c r="C368" t="s">
        <v>234</v>
      </c>
      <c r="D368" t="s">
        <v>43</v>
      </c>
      <c r="E368" t="s">
        <v>169</v>
      </c>
      <c r="F368" t="s">
        <v>19</v>
      </c>
      <c r="G368" t="s">
        <v>215</v>
      </c>
      <c r="H368" t="s">
        <v>47</v>
      </c>
      <c r="I368">
        <v>4</v>
      </c>
      <c r="J368" s="4">
        <v>350</v>
      </c>
      <c r="K368" s="6">
        <v>0.05</v>
      </c>
      <c r="L368" s="8">
        <v>1330</v>
      </c>
      <c r="M368" s="8">
        <v>680</v>
      </c>
      <c r="N368" s="8">
        <v>650</v>
      </c>
      <c r="O368" s="8">
        <f>SalesData[[#This Row],[Quantity]]*SalesData[[#This Row],[Unit Price]]*(1-SalesData[[#This Row],[Discount]])</f>
        <v>1330</v>
      </c>
      <c r="P368" s="8">
        <f>SalesData[[#This Row],[Sales_Check]]-SalesData[[#This Row],[Cost]]</f>
        <v>650</v>
      </c>
      <c r="Q368" s="13">
        <f>IFERROR(SalesData[[#This Row],[Profit]]/SalesData[[#This Row],[Sales]],0)</f>
        <v>0.48872180451127817</v>
      </c>
      <c r="R368" t="str">
        <f>TEXT(SalesData[[#This Row],[Order Date]],"mmm-yyyy")</f>
        <v>Jan-2026</v>
      </c>
      <c r="S368">
        <f>YEAR(SalesData[[#This Row],[Order Date]])</f>
        <v>2026</v>
      </c>
      <c r="T368" t="str">
        <f>IF(SalesData[[#This Row],[Profit Margin]]&gt;=30%,"High",IF(SalesData[[#This Row],[Profit Margin]]&gt;=15%,"Medium","Low"))</f>
        <v>High</v>
      </c>
    </row>
    <row r="369" spans="1:20" x14ac:dyDescent="0.35">
      <c r="A369" t="s">
        <v>731</v>
      </c>
      <c r="B369" s="23" t="s">
        <v>728</v>
      </c>
      <c r="C369" t="s">
        <v>732</v>
      </c>
      <c r="D369" t="s">
        <v>54</v>
      </c>
      <c r="E369" t="s">
        <v>103</v>
      </c>
      <c r="F369" t="s">
        <v>37</v>
      </c>
      <c r="G369" t="s">
        <v>140</v>
      </c>
      <c r="H369" t="s">
        <v>29</v>
      </c>
      <c r="I369">
        <v>4</v>
      </c>
      <c r="J369" s="4">
        <v>150</v>
      </c>
      <c r="K369" s="6">
        <v>0.05</v>
      </c>
      <c r="L369" s="8">
        <v>570</v>
      </c>
      <c r="M369" s="8">
        <v>300</v>
      </c>
      <c r="N369" s="8">
        <v>270</v>
      </c>
      <c r="O369" s="8">
        <f>SalesData[[#This Row],[Quantity]]*SalesData[[#This Row],[Unit Price]]*(1-SalesData[[#This Row],[Discount]])</f>
        <v>570</v>
      </c>
      <c r="P369" s="8">
        <f>SalesData[[#This Row],[Sales_Check]]-SalesData[[#This Row],[Cost]]</f>
        <v>270</v>
      </c>
      <c r="Q369" s="13">
        <f>IFERROR(SalesData[[#This Row],[Profit]]/SalesData[[#This Row],[Sales]],0)</f>
        <v>0.47368421052631576</v>
      </c>
      <c r="R369" t="str">
        <f>TEXT(SalesData[[#This Row],[Order Date]],"mmm-yyyy")</f>
        <v>Jan-2026</v>
      </c>
      <c r="S369">
        <f>YEAR(SalesData[[#This Row],[Order Date]])</f>
        <v>2026</v>
      </c>
      <c r="T369" t="str">
        <f>IF(SalesData[[#This Row],[Profit Margin]]&gt;=30%,"High",IF(SalesData[[#This Row],[Profit Margin]]&gt;=15%,"Medium","Low"))</f>
        <v>High</v>
      </c>
    </row>
    <row r="370" spans="1:20" x14ac:dyDescent="0.35">
      <c r="A370" t="s">
        <v>733</v>
      </c>
      <c r="B370" s="23" t="s">
        <v>734</v>
      </c>
      <c r="C370" t="s">
        <v>494</v>
      </c>
      <c r="D370" t="s">
        <v>17</v>
      </c>
      <c r="E370" t="s">
        <v>65</v>
      </c>
      <c r="F370" t="s">
        <v>37</v>
      </c>
      <c r="G370" t="s">
        <v>140</v>
      </c>
      <c r="H370" t="s">
        <v>21</v>
      </c>
      <c r="I370">
        <v>1</v>
      </c>
      <c r="J370" s="4">
        <v>2200</v>
      </c>
      <c r="K370" s="6">
        <v>0</v>
      </c>
      <c r="L370" s="8">
        <v>2200</v>
      </c>
      <c r="M370" s="8">
        <v>1400</v>
      </c>
      <c r="N370" s="8">
        <v>800</v>
      </c>
      <c r="O370" s="8">
        <f>SalesData[[#This Row],[Quantity]]*SalesData[[#This Row],[Unit Price]]*(1-SalesData[[#This Row],[Discount]])</f>
        <v>2200</v>
      </c>
      <c r="P370" s="8">
        <f>SalesData[[#This Row],[Sales_Check]]-SalesData[[#This Row],[Cost]]</f>
        <v>800</v>
      </c>
      <c r="Q370" s="13">
        <f>IFERROR(SalesData[[#This Row],[Profit]]/SalesData[[#This Row],[Sales]],0)</f>
        <v>0.36363636363636365</v>
      </c>
      <c r="R370" t="str">
        <f>TEXT(SalesData[[#This Row],[Order Date]],"mmm-yyyy")</f>
        <v>Jan-2026</v>
      </c>
      <c r="S370">
        <f>YEAR(SalesData[[#This Row],[Order Date]])</f>
        <v>2026</v>
      </c>
      <c r="T370" t="str">
        <f>IF(SalesData[[#This Row],[Profit Margin]]&gt;=30%,"High",IF(SalesData[[#This Row],[Profit Margin]]&gt;=15%,"Medium","Low"))</f>
        <v>High</v>
      </c>
    </row>
    <row r="371" spans="1:20" x14ac:dyDescent="0.35">
      <c r="A371" t="s">
        <v>735</v>
      </c>
      <c r="B371" s="23" t="s">
        <v>734</v>
      </c>
      <c r="C371" t="s">
        <v>736</v>
      </c>
      <c r="D371" t="s">
        <v>17</v>
      </c>
      <c r="E371" t="s">
        <v>18</v>
      </c>
      <c r="F371" t="s">
        <v>37</v>
      </c>
      <c r="G371" t="s">
        <v>38</v>
      </c>
      <c r="H371" t="s">
        <v>33</v>
      </c>
      <c r="I371">
        <v>8</v>
      </c>
      <c r="J371" s="4">
        <v>1800</v>
      </c>
      <c r="K371" s="6">
        <v>0.05</v>
      </c>
      <c r="L371" s="8">
        <v>13680</v>
      </c>
      <c r="M371" s="8">
        <v>8800</v>
      </c>
      <c r="N371" s="8">
        <v>4880</v>
      </c>
      <c r="O371" s="8">
        <f>SalesData[[#This Row],[Quantity]]*SalesData[[#This Row],[Unit Price]]*(1-SalesData[[#This Row],[Discount]])</f>
        <v>13680</v>
      </c>
      <c r="P371" s="8">
        <f>SalesData[[#This Row],[Sales_Check]]-SalesData[[#This Row],[Cost]]</f>
        <v>4880</v>
      </c>
      <c r="Q371" s="13">
        <f>IFERROR(SalesData[[#This Row],[Profit]]/SalesData[[#This Row],[Sales]],0)</f>
        <v>0.35672514619883039</v>
      </c>
      <c r="R371" t="str">
        <f>TEXT(SalesData[[#This Row],[Order Date]],"mmm-yyyy")</f>
        <v>Jan-2026</v>
      </c>
      <c r="S371">
        <f>YEAR(SalesData[[#This Row],[Order Date]])</f>
        <v>2026</v>
      </c>
      <c r="T371" t="str">
        <f>IF(SalesData[[#This Row],[Profit Margin]]&gt;=30%,"High",IF(SalesData[[#This Row],[Profit Margin]]&gt;=15%,"Medium","Low"))</f>
        <v>High</v>
      </c>
    </row>
    <row r="372" spans="1:20" x14ac:dyDescent="0.35">
      <c r="A372" t="s">
        <v>737</v>
      </c>
      <c r="B372" s="23" t="s">
        <v>738</v>
      </c>
      <c r="C372" t="s">
        <v>711</v>
      </c>
      <c r="D372" t="s">
        <v>54</v>
      </c>
      <c r="E372" t="s">
        <v>103</v>
      </c>
      <c r="F372" t="s">
        <v>45</v>
      </c>
      <c r="G372" t="s">
        <v>104</v>
      </c>
      <c r="H372" t="s">
        <v>125</v>
      </c>
      <c r="I372">
        <v>7</v>
      </c>
      <c r="J372" s="4">
        <v>150</v>
      </c>
      <c r="K372" s="6">
        <v>0.05</v>
      </c>
      <c r="L372" s="8">
        <v>997.5</v>
      </c>
      <c r="M372" s="8">
        <v>525</v>
      </c>
      <c r="N372" s="8">
        <v>472.5</v>
      </c>
      <c r="O372" s="8">
        <f>SalesData[[#This Row],[Quantity]]*SalesData[[#This Row],[Unit Price]]*(1-SalesData[[#This Row],[Discount]])</f>
        <v>997.5</v>
      </c>
      <c r="P372" s="8">
        <f>SalesData[[#This Row],[Sales_Check]]-SalesData[[#This Row],[Cost]]</f>
        <v>472.5</v>
      </c>
      <c r="Q372" s="13">
        <f>IFERROR(SalesData[[#This Row],[Profit]]/SalesData[[#This Row],[Sales]],0)</f>
        <v>0.47368421052631576</v>
      </c>
      <c r="R372" t="str">
        <f>TEXT(SalesData[[#This Row],[Order Date]],"mmm-yyyy")</f>
        <v>Jan-2026</v>
      </c>
      <c r="S372">
        <f>YEAR(SalesData[[#This Row],[Order Date]])</f>
        <v>2026</v>
      </c>
      <c r="T372" t="str">
        <f>IF(SalesData[[#This Row],[Profit Margin]]&gt;=30%,"High",IF(SalesData[[#This Row],[Profit Margin]]&gt;=15%,"Medium","Low"))</f>
        <v>High</v>
      </c>
    </row>
    <row r="373" spans="1:20" x14ac:dyDescent="0.35">
      <c r="A373" t="s">
        <v>739</v>
      </c>
      <c r="B373" s="23" t="s">
        <v>738</v>
      </c>
      <c r="C373" t="s">
        <v>649</v>
      </c>
      <c r="D373" t="s">
        <v>25</v>
      </c>
      <c r="E373" t="s">
        <v>89</v>
      </c>
      <c r="F373" t="s">
        <v>45</v>
      </c>
      <c r="G373" t="s">
        <v>122</v>
      </c>
      <c r="H373" t="s">
        <v>47</v>
      </c>
      <c r="I373">
        <v>9</v>
      </c>
      <c r="J373" s="4">
        <v>550</v>
      </c>
      <c r="K373" s="6">
        <v>0</v>
      </c>
      <c r="L373" s="8">
        <v>4950</v>
      </c>
      <c r="M373" s="8">
        <v>2700</v>
      </c>
      <c r="N373" s="8">
        <v>2250</v>
      </c>
      <c r="O373" s="8">
        <f>SalesData[[#This Row],[Quantity]]*SalesData[[#This Row],[Unit Price]]*(1-SalesData[[#This Row],[Discount]])</f>
        <v>4950</v>
      </c>
      <c r="P373" s="8">
        <f>SalesData[[#This Row],[Sales_Check]]-SalesData[[#This Row],[Cost]]</f>
        <v>2250</v>
      </c>
      <c r="Q373" s="13">
        <f>IFERROR(SalesData[[#This Row],[Profit]]/SalesData[[#This Row],[Sales]],0)</f>
        <v>0.45454545454545453</v>
      </c>
      <c r="R373" t="str">
        <f>TEXT(SalesData[[#This Row],[Order Date]],"mmm-yyyy")</f>
        <v>Jan-2026</v>
      </c>
      <c r="S373">
        <f>YEAR(SalesData[[#This Row],[Order Date]])</f>
        <v>2026</v>
      </c>
      <c r="T373" t="str">
        <f>IF(SalesData[[#This Row],[Profit Margin]]&gt;=30%,"High",IF(SalesData[[#This Row],[Profit Margin]]&gt;=15%,"Medium","Low"))</f>
        <v>High</v>
      </c>
    </row>
    <row r="374" spans="1:20" x14ac:dyDescent="0.35">
      <c r="A374" t="s">
        <v>740</v>
      </c>
      <c r="B374" s="23" t="s">
        <v>738</v>
      </c>
      <c r="C374" t="s">
        <v>741</v>
      </c>
      <c r="D374" t="s">
        <v>17</v>
      </c>
      <c r="E374" t="s">
        <v>124</v>
      </c>
      <c r="F374" t="s">
        <v>27</v>
      </c>
      <c r="G374" t="s">
        <v>28</v>
      </c>
      <c r="H374" t="s">
        <v>21</v>
      </c>
      <c r="I374">
        <v>7</v>
      </c>
      <c r="J374" s="4">
        <v>1200</v>
      </c>
      <c r="K374" s="6">
        <v>0</v>
      </c>
      <c r="L374" s="8">
        <v>8400</v>
      </c>
      <c r="M374" s="8">
        <v>5040</v>
      </c>
      <c r="N374" s="8">
        <v>3360</v>
      </c>
      <c r="O374" s="8">
        <f>SalesData[[#This Row],[Quantity]]*SalesData[[#This Row],[Unit Price]]*(1-SalesData[[#This Row],[Discount]])</f>
        <v>8400</v>
      </c>
      <c r="P374" s="8">
        <f>SalesData[[#This Row],[Sales_Check]]-SalesData[[#This Row],[Cost]]</f>
        <v>3360</v>
      </c>
      <c r="Q374" s="13">
        <f>IFERROR(SalesData[[#This Row],[Profit]]/SalesData[[#This Row],[Sales]],0)</f>
        <v>0.4</v>
      </c>
      <c r="R374" t="str">
        <f>TEXT(SalesData[[#This Row],[Order Date]],"mmm-yyyy")</f>
        <v>Jan-2026</v>
      </c>
      <c r="S374">
        <f>YEAR(SalesData[[#This Row],[Order Date]])</f>
        <v>2026</v>
      </c>
      <c r="T374" t="str">
        <f>IF(SalesData[[#This Row],[Profit Margin]]&gt;=30%,"High",IF(SalesData[[#This Row],[Profit Margin]]&gt;=15%,"Medium","Low"))</f>
        <v>High</v>
      </c>
    </row>
    <row r="375" spans="1:20" x14ac:dyDescent="0.35">
      <c r="A375" t="s">
        <v>742</v>
      </c>
      <c r="B375" s="23" t="s">
        <v>743</v>
      </c>
      <c r="C375" t="s">
        <v>127</v>
      </c>
      <c r="D375" t="s">
        <v>54</v>
      </c>
      <c r="E375" t="s">
        <v>103</v>
      </c>
      <c r="F375" t="s">
        <v>37</v>
      </c>
      <c r="G375" t="s">
        <v>140</v>
      </c>
      <c r="H375" t="s">
        <v>125</v>
      </c>
      <c r="I375">
        <v>8</v>
      </c>
      <c r="J375" s="4">
        <v>150</v>
      </c>
      <c r="K375" s="6">
        <v>0.1</v>
      </c>
      <c r="L375" s="8">
        <v>1080</v>
      </c>
      <c r="M375" s="8">
        <v>600</v>
      </c>
      <c r="N375" s="8">
        <v>480</v>
      </c>
      <c r="O375" s="8">
        <f>SalesData[[#This Row],[Quantity]]*SalesData[[#This Row],[Unit Price]]*(1-SalesData[[#This Row],[Discount]])</f>
        <v>1080</v>
      </c>
      <c r="P375" s="8">
        <f>SalesData[[#This Row],[Sales_Check]]-SalesData[[#This Row],[Cost]]</f>
        <v>480</v>
      </c>
      <c r="Q375" s="13">
        <f>IFERROR(SalesData[[#This Row],[Profit]]/SalesData[[#This Row],[Sales]],0)</f>
        <v>0.44444444444444442</v>
      </c>
      <c r="R375" t="str">
        <f>TEXT(SalesData[[#This Row],[Order Date]],"mmm-yyyy")</f>
        <v>Jan-2026</v>
      </c>
      <c r="S375">
        <f>YEAR(SalesData[[#This Row],[Order Date]])</f>
        <v>2026</v>
      </c>
      <c r="T375" t="str">
        <f>IF(SalesData[[#This Row],[Profit Margin]]&gt;=30%,"High",IF(SalesData[[#This Row],[Profit Margin]]&gt;=15%,"Medium","Low"))</f>
        <v>High</v>
      </c>
    </row>
    <row r="376" spans="1:20" x14ac:dyDescent="0.35">
      <c r="A376" t="s">
        <v>744</v>
      </c>
      <c r="B376" s="23" t="s">
        <v>743</v>
      </c>
      <c r="C376" t="s">
        <v>541</v>
      </c>
      <c r="D376" t="s">
        <v>17</v>
      </c>
      <c r="E376" t="s">
        <v>124</v>
      </c>
      <c r="F376" t="s">
        <v>45</v>
      </c>
      <c r="G376" t="s">
        <v>104</v>
      </c>
      <c r="H376" t="s">
        <v>29</v>
      </c>
      <c r="I376">
        <v>4</v>
      </c>
      <c r="J376" s="4">
        <v>1200</v>
      </c>
      <c r="K376" s="6">
        <v>0.1</v>
      </c>
      <c r="L376" s="8">
        <v>4320</v>
      </c>
      <c r="M376" s="8">
        <v>2880</v>
      </c>
      <c r="N376" s="8">
        <v>1440</v>
      </c>
      <c r="O376" s="8">
        <f>SalesData[[#This Row],[Quantity]]*SalesData[[#This Row],[Unit Price]]*(1-SalesData[[#This Row],[Discount]])</f>
        <v>4320</v>
      </c>
      <c r="P376" s="8">
        <f>SalesData[[#This Row],[Sales_Check]]-SalesData[[#This Row],[Cost]]</f>
        <v>1440</v>
      </c>
      <c r="Q376" s="13">
        <f>IFERROR(SalesData[[#This Row],[Profit]]/SalesData[[#This Row],[Sales]],0)</f>
        <v>0.33333333333333331</v>
      </c>
      <c r="R376" t="str">
        <f>TEXT(SalesData[[#This Row],[Order Date]],"mmm-yyyy")</f>
        <v>Jan-2026</v>
      </c>
      <c r="S376">
        <f>YEAR(SalesData[[#This Row],[Order Date]])</f>
        <v>2026</v>
      </c>
      <c r="T376" t="str">
        <f>IF(SalesData[[#This Row],[Profit Margin]]&gt;=30%,"High",IF(SalesData[[#This Row],[Profit Margin]]&gt;=15%,"Medium","Low"))</f>
        <v>High</v>
      </c>
    </row>
    <row r="377" spans="1:20" x14ac:dyDescent="0.35">
      <c r="A377" t="s">
        <v>745</v>
      </c>
      <c r="B377" s="23" t="s">
        <v>743</v>
      </c>
      <c r="C377" t="s">
        <v>625</v>
      </c>
      <c r="D377" t="s">
        <v>54</v>
      </c>
      <c r="E377" t="s">
        <v>107</v>
      </c>
      <c r="F377" t="s">
        <v>45</v>
      </c>
      <c r="G377" t="s">
        <v>70</v>
      </c>
      <c r="H377" t="s">
        <v>29</v>
      </c>
      <c r="I377">
        <v>8</v>
      </c>
      <c r="J377" s="4">
        <v>120</v>
      </c>
      <c r="K377" s="6">
        <v>0.05</v>
      </c>
      <c r="L377" s="8">
        <v>912</v>
      </c>
      <c r="M377" s="8">
        <v>440</v>
      </c>
      <c r="N377" s="8">
        <v>472</v>
      </c>
      <c r="O377" s="8">
        <f>SalesData[[#This Row],[Quantity]]*SalesData[[#This Row],[Unit Price]]*(1-SalesData[[#This Row],[Discount]])</f>
        <v>912</v>
      </c>
      <c r="P377" s="8">
        <f>SalesData[[#This Row],[Sales_Check]]-SalesData[[#This Row],[Cost]]</f>
        <v>472</v>
      </c>
      <c r="Q377" s="13">
        <f>IFERROR(SalesData[[#This Row],[Profit]]/SalesData[[#This Row],[Sales]],0)</f>
        <v>0.51754385964912286</v>
      </c>
      <c r="R377" t="str">
        <f>TEXT(SalesData[[#This Row],[Order Date]],"mmm-yyyy")</f>
        <v>Jan-2026</v>
      </c>
      <c r="S377">
        <f>YEAR(SalesData[[#This Row],[Order Date]])</f>
        <v>2026</v>
      </c>
      <c r="T377" t="str">
        <f>IF(SalesData[[#This Row],[Profit Margin]]&gt;=30%,"High",IF(SalesData[[#This Row],[Profit Margin]]&gt;=15%,"Medium","Low"))</f>
        <v>High</v>
      </c>
    </row>
    <row r="378" spans="1:20" x14ac:dyDescent="0.35">
      <c r="A378" t="s">
        <v>746</v>
      </c>
      <c r="B378" s="23" t="s">
        <v>743</v>
      </c>
      <c r="C378" t="s">
        <v>236</v>
      </c>
      <c r="D378" t="s">
        <v>17</v>
      </c>
      <c r="E378" t="s">
        <v>65</v>
      </c>
      <c r="F378" t="s">
        <v>19</v>
      </c>
      <c r="G378" t="s">
        <v>20</v>
      </c>
      <c r="H378" t="s">
        <v>29</v>
      </c>
      <c r="I378">
        <v>3</v>
      </c>
      <c r="J378" s="4">
        <v>2200</v>
      </c>
      <c r="K378" s="6">
        <v>0.1</v>
      </c>
      <c r="L378" s="8">
        <v>5940</v>
      </c>
      <c r="M378" s="8">
        <v>4200</v>
      </c>
      <c r="N378" s="8">
        <v>1740</v>
      </c>
      <c r="O378" s="8">
        <f>SalesData[[#This Row],[Quantity]]*SalesData[[#This Row],[Unit Price]]*(1-SalesData[[#This Row],[Discount]])</f>
        <v>5940</v>
      </c>
      <c r="P378" s="8">
        <f>SalesData[[#This Row],[Sales_Check]]-SalesData[[#This Row],[Cost]]</f>
        <v>1740</v>
      </c>
      <c r="Q378" s="13">
        <f>IFERROR(SalesData[[#This Row],[Profit]]/SalesData[[#This Row],[Sales]],0)</f>
        <v>0.29292929292929293</v>
      </c>
      <c r="R378" t="str">
        <f>TEXT(SalesData[[#This Row],[Order Date]],"mmm-yyyy")</f>
        <v>Jan-2026</v>
      </c>
      <c r="S378">
        <f>YEAR(SalesData[[#This Row],[Order Date]])</f>
        <v>2026</v>
      </c>
      <c r="T378" t="str">
        <f>IF(SalesData[[#This Row],[Profit Margin]]&gt;=30%,"High",IF(SalesData[[#This Row],[Profit Margin]]&gt;=15%,"Medium","Low"))</f>
        <v>Medium</v>
      </c>
    </row>
    <row r="379" spans="1:20" x14ac:dyDescent="0.35">
      <c r="A379" t="s">
        <v>747</v>
      </c>
      <c r="B379" s="23" t="s">
        <v>748</v>
      </c>
      <c r="C379" t="s">
        <v>557</v>
      </c>
      <c r="D379" t="s">
        <v>17</v>
      </c>
      <c r="E379" t="s">
        <v>65</v>
      </c>
      <c r="F379" t="s">
        <v>27</v>
      </c>
      <c r="G379" t="s">
        <v>85</v>
      </c>
      <c r="H379" t="s">
        <v>125</v>
      </c>
      <c r="I379">
        <v>9</v>
      </c>
      <c r="J379" s="4">
        <v>2200</v>
      </c>
      <c r="K379" s="6">
        <v>0</v>
      </c>
      <c r="L379" s="8">
        <v>19800</v>
      </c>
      <c r="M379" s="8">
        <v>12600</v>
      </c>
      <c r="N379" s="8">
        <v>7200</v>
      </c>
      <c r="O379" s="8">
        <f>SalesData[[#This Row],[Quantity]]*SalesData[[#This Row],[Unit Price]]*(1-SalesData[[#This Row],[Discount]])</f>
        <v>19800</v>
      </c>
      <c r="P379" s="8">
        <f>SalesData[[#This Row],[Sales_Check]]-SalesData[[#This Row],[Cost]]</f>
        <v>7200</v>
      </c>
      <c r="Q379" s="13">
        <f>IFERROR(SalesData[[#This Row],[Profit]]/SalesData[[#This Row],[Sales]],0)</f>
        <v>0.36363636363636365</v>
      </c>
      <c r="R379" t="str">
        <f>TEXT(SalesData[[#This Row],[Order Date]],"mmm-yyyy")</f>
        <v>Jan-2026</v>
      </c>
      <c r="S379">
        <f>YEAR(SalesData[[#This Row],[Order Date]])</f>
        <v>2026</v>
      </c>
      <c r="T379" t="str">
        <f>IF(SalesData[[#This Row],[Profit Margin]]&gt;=30%,"High",IF(SalesData[[#This Row],[Profit Margin]]&gt;=15%,"Medium","Low"))</f>
        <v>High</v>
      </c>
    </row>
    <row r="380" spans="1:20" x14ac:dyDescent="0.35">
      <c r="A380" t="s">
        <v>749</v>
      </c>
      <c r="B380" s="23" t="s">
        <v>748</v>
      </c>
      <c r="C380" t="s">
        <v>452</v>
      </c>
      <c r="D380" t="s">
        <v>43</v>
      </c>
      <c r="E380" t="s">
        <v>143</v>
      </c>
      <c r="F380" t="s">
        <v>27</v>
      </c>
      <c r="G380" t="s">
        <v>51</v>
      </c>
      <c r="H380" t="s">
        <v>33</v>
      </c>
      <c r="I380">
        <v>6</v>
      </c>
      <c r="J380" s="4">
        <v>650</v>
      </c>
      <c r="K380" s="6">
        <v>0.15</v>
      </c>
      <c r="L380" s="8">
        <v>3315</v>
      </c>
      <c r="M380" s="8">
        <v>2100</v>
      </c>
      <c r="N380" s="8">
        <v>1215</v>
      </c>
      <c r="O380" s="8">
        <f>SalesData[[#This Row],[Quantity]]*SalesData[[#This Row],[Unit Price]]*(1-SalesData[[#This Row],[Discount]])</f>
        <v>3315</v>
      </c>
      <c r="P380" s="8">
        <f>SalesData[[#This Row],[Sales_Check]]-SalesData[[#This Row],[Cost]]</f>
        <v>1215</v>
      </c>
      <c r="Q380" s="13">
        <f>IFERROR(SalesData[[#This Row],[Profit]]/SalesData[[#This Row],[Sales]],0)</f>
        <v>0.36651583710407237</v>
      </c>
      <c r="R380" t="str">
        <f>TEXT(SalesData[[#This Row],[Order Date]],"mmm-yyyy")</f>
        <v>Jan-2026</v>
      </c>
      <c r="S380">
        <f>YEAR(SalesData[[#This Row],[Order Date]])</f>
        <v>2026</v>
      </c>
      <c r="T380" t="str">
        <f>IF(SalesData[[#This Row],[Profit Margin]]&gt;=30%,"High",IF(SalesData[[#This Row],[Profit Margin]]&gt;=15%,"Medium","Low"))</f>
        <v>High</v>
      </c>
    </row>
    <row r="381" spans="1:20" x14ac:dyDescent="0.35">
      <c r="A381" t="s">
        <v>750</v>
      </c>
      <c r="B381" s="23" t="s">
        <v>751</v>
      </c>
      <c r="C381" t="s">
        <v>220</v>
      </c>
      <c r="D381" t="s">
        <v>25</v>
      </c>
      <c r="E381" t="s">
        <v>36</v>
      </c>
      <c r="F381" t="s">
        <v>19</v>
      </c>
      <c r="G381" t="s">
        <v>113</v>
      </c>
      <c r="H381" t="s">
        <v>29</v>
      </c>
      <c r="I381">
        <v>10</v>
      </c>
      <c r="J381" s="4">
        <v>700</v>
      </c>
      <c r="K381" s="6">
        <v>0.1</v>
      </c>
      <c r="L381" s="8">
        <v>6300</v>
      </c>
      <c r="M381" s="8">
        <v>4000</v>
      </c>
      <c r="N381" s="8">
        <v>2300</v>
      </c>
      <c r="O381" s="8">
        <f>SalesData[[#This Row],[Quantity]]*SalesData[[#This Row],[Unit Price]]*(1-SalesData[[#This Row],[Discount]])</f>
        <v>6300</v>
      </c>
      <c r="P381" s="8">
        <f>SalesData[[#This Row],[Sales_Check]]-SalesData[[#This Row],[Cost]]</f>
        <v>2300</v>
      </c>
      <c r="Q381" s="13">
        <f>IFERROR(SalesData[[#This Row],[Profit]]/SalesData[[#This Row],[Sales]],0)</f>
        <v>0.36507936507936506</v>
      </c>
      <c r="R381" t="str">
        <f>TEXT(SalesData[[#This Row],[Order Date]],"mmm-yyyy")</f>
        <v>Jan-2026</v>
      </c>
      <c r="S381">
        <f>YEAR(SalesData[[#This Row],[Order Date]])</f>
        <v>2026</v>
      </c>
      <c r="T381" t="str">
        <f>IF(SalesData[[#This Row],[Profit Margin]]&gt;=30%,"High",IF(SalesData[[#This Row],[Profit Margin]]&gt;=15%,"Medium","Low"))</f>
        <v>High</v>
      </c>
    </row>
    <row r="382" spans="1:20" x14ac:dyDescent="0.35">
      <c r="A382" t="s">
        <v>752</v>
      </c>
      <c r="B382" s="23" t="s">
        <v>751</v>
      </c>
      <c r="C382" t="s">
        <v>109</v>
      </c>
      <c r="D382" t="s">
        <v>43</v>
      </c>
      <c r="E382" t="s">
        <v>250</v>
      </c>
      <c r="F382" t="s">
        <v>27</v>
      </c>
      <c r="G382" t="s">
        <v>28</v>
      </c>
      <c r="H382" t="s">
        <v>21</v>
      </c>
      <c r="I382">
        <v>7</v>
      </c>
      <c r="J382" s="4">
        <v>900</v>
      </c>
      <c r="K382" s="6">
        <v>0.1</v>
      </c>
      <c r="L382" s="8">
        <v>5670</v>
      </c>
      <c r="M382" s="8">
        <v>3640</v>
      </c>
      <c r="N382" s="8">
        <v>2030</v>
      </c>
      <c r="O382" s="8">
        <f>SalesData[[#This Row],[Quantity]]*SalesData[[#This Row],[Unit Price]]*(1-SalesData[[#This Row],[Discount]])</f>
        <v>5670</v>
      </c>
      <c r="P382" s="8">
        <f>SalesData[[#This Row],[Sales_Check]]-SalesData[[#This Row],[Cost]]</f>
        <v>2030</v>
      </c>
      <c r="Q382" s="13">
        <f>IFERROR(SalesData[[#This Row],[Profit]]/SalesData[[#This Row],[Sales]],0)</f>
        <v>0.35802469135802467</v>
      </c>
      <c r="R382" t="str">
        <f>TEXT(SalesData[[#This Row],[Order Date]],"mmm-yyyy")</f>
        <v>Jan-2026</v>
      </c>
      <c r="S382">
        <f>YEAR(SalesData[[#This Row],[Order Date]])</f>
        <v>2026</v>
      </c>
      <c r="T382" t="str">
        <f>IF(SalesData[[#This Row],[Profit Margin]]&gt;=30%,"High",IF(SalesData[[#This Row],[Profit Margin]]&gt;=15%,"Medium","Low"))</f>
        <v>High</v>
      </c>
    </row>
    <row r="383" spans="1:20" x14ac:dyDescent="0.35">
      <c r="A383" t="s">
        <v>753</v>
      </c>
      <c r="B383" s="23" t="s">
        <v>751</v>
      </c>
      <c r="C383" t="s">
        <v>534</v>
      </c>
      <c r="D383" t="s">
        <v>54</v>
      </c>
      <c r="E383" t="s">
        <v>55</v>
      </c>
      <c r="F383" t="s">
        <v>37</v>
      </c>
      <c r="G383" t="s">
        <v>38</v>
      </c>
      <c r="H383" t="s">
        <v>39</v>
      </c>
      <c r="I383">
        <v>3</v>
      </c>
      <c r="J383" s="4">
        <v>180</v>
      </c>
      <c r="K383" s="6">
        <v>0</v>
      </c>
      <c r="L383" s="8">
        <v>540</v>
      </c>
      <c r="M383" s="8">
        <v>270</v>
      </c>
      <c r="N383" s="8">
        <v>270</v>
      </c>
      <c r="O383" s="8">
        <f>SalesData[[#This Row],[Quantity]]*SalesData[[#This Row],[Unit Price]]*(1-SalesData[[#This Row],[Discount]])</f>
        <v>540</v>
      </c>
      <c r="P383" s="8">
        <f>SalesData[[#This Row],[Sales_Check]]-SalesData[[#This Row],[Cost]]</f>
        <v>270</v>
      </c>
      <c r="Q383" s="13">
        <f>IFERROR(SalesData[[#This Row],[Profit]]/SalesData[[#This Row],[Sales]],0)</f>
        <v>0.5</v>
      </c>
      <c r="R383" t="str">
        <f>TEXT(SalesData[[#This Row],[Order Date]],"mmm-yyyy")</f>
        <v>Jan-2026</v>
      </c>
      <c r="S383">
        <f>YEAR(SalesData[[#This Row],[Order Date]])</f>
        <v>2026</v>
      </c>
      <c r="T383" t="str">
        <f>IF(SalesData[[#This Row],[Profit Margin]]&gt;=30%,"High",IF(SalesData[[#This Row],[Profit Margin]]&gt;=15%,"Medium","Low"))</f>
        <v>High</v>
      </c>
    </row>
    <row r="384" spans="1:20" x14ac:dyDescent="0.35">
      <c r="A384" t="s">
        <v>754</v>
      </c>
      <c r="B384" s="23" t="s">
        <v>755</v>
      </c>
      <c r="C384" t="s">
        <v>318</v>
      </c>
      <c r="D384" t="s">
        <v>54</v>
      </c>
      <c r="E384" t="s">
        <v>110</v>
      </c>
      <c r="F384" t="s">
        <v>27</v>
      </c>
      <c r="G384" t="s">
        <v>85</v>
      </c>
      <c r="H384" t="s">
        <v>39</v>
      </c>
      <c r="I384">
        <v>9</v>
      </c>
      <c r="J384" s="4">
        <v>280</v>
      </c>
      <c r="K384" s="6">
        <v>0</v>
      </c>
      <c r="L384" s="8">
        <v>2520</v>
      </c>
      <c r="M384" s="8">
        <v>1350</v>
      </c>
      <c r="N384" s="8">
        <v>1170</v>
      </c>
      <c r="O384" s="8">
        <f>SalesData[[#This Row],[Quantity]]*SalesData[[#This Row],[Unit Price]]*(1-SalesData[[#This Row],[Discount]])</f>
        <v>2520</v>
      </c>
      <c r="P384" s="8">
        <f>SalesData[[#This Row],[Sales_Check]]-SalesData[[#This Row],[Cost]]</f>
        <v>1170</v>
      </c>
      <c r="Q384" s="13">
        <f>IFERROR(SalesData[[#This Row],[Profit]]/SalesData[[#This Row],[Sales]],0)</f>
        <v>0.4642857142857143</v>
      </c>
      <c r="R384" t="str">
        <f>TEXT(SalesData[[#This Row],[Order Date]],"mmm-yyyy")</f>
        <v>Jan-2026</v>
      </c>
      <c r="S384">
        <f>YEAR(SalesData[[#This Row],[Order Date]])</f>
        <v>2026</v>
      </c>
      <c r="T384" t="str">
        <f>IF(SalesData[[#This Row],[Profit Margin]]&gt;=30%,"High",IF(SalesData[[#This Row],[Profit Margin]]&gt;=15%,"Medium","Low"))</f>
        <v>High</v>
      </c>
    </row>
    <row r="385" spans="1:20" x14ac:dyDescent="0.35">
      <c r="A385" t="s">
        <v>756</v>
      </c>
      <c r="B385" s="23" t="s">
        <v>755</v>
      </c>
      <c r="C385" t="s">
        <v>318</v>
      </c>
      <c r="D385" t="s">
        <v>54</v>
      </c>
      <c r="E385" t="s">
        <v>103</v>
      </c>
      <c r="F385" t="s">
        <v>45</v>
      </c>
      <c r="G385" t="s">
        <v>104</v>
      </c>
      <c r="H385" t="s">
        <v>125</v>
      </c>
      <c r="I385">
        <v>10</v>
      </c>
      <c r="J385" s="4">
        <v>150</v>
      </c>
      <c r="K385" s="6">
        <v>0.05</v>
      </c>
      <c r="L385" s="8">
        <v>1425</v>
      </c>
      <c r="M385" s="8">
        <v>750</v>
      </c>
      <c r="N385" s="8">
        <v>675</v>
      </c>
      <c r="O385" s="8">
        <f>SalesData[[#This Row],[Quantity]]*SalesData[[#This Row],[Unit Price]]*(1-SalesData[[#This Row],[Discount]])</f>
        <v>1425</v>
      </c>
      <c r="P385" s="8">
        <f>SalesData[[#This Row],[Sales_Check]]-SalesData[[#This Row],[Cost]]</f>
        <v>675</v>
      </c>
      <c r="Q385" s="13">
        <f>IFERROR(SalesData[[#This Row],[Profit]]/SalesData[[#This Row],[Sales]],0)</f>
        <v>0.47368421052631576</v>
      </c>
      <c r="R385" t="str">
        <f>TEXT(SalesData[[#This Row],[Order Date]],"mmm-yyyy")</f>
        <v>Jan-2026</v>
      </c>
      <c r="S385">
        <f>YEAR(SalesData[[#This Row],[Order Date]])</f>
        <v>2026</v>
      </c>
      <c r="T385" t="str">
        <f>IF(SalesData[[#This Row],[Profit Margin]]&gt;=30%,"High",IF(SalesData[[#This Row],[Profit Margin]]&gt;=15%,"Medium","Low"))</f>
        <v>High</v>
      </c>
    </row>
    <row r="386" spans="1:20" x14ac:dyDescent="0.35">
      <c r="A386" t="s">
        <v>757</v>
      </c>
      <c r="B386" s="23" t="s">
        <v>758</v>
      </c>
      <c r="C386" t="s">
        <v>275</v>
      </c>
      <c r="D386" t="s">
        <v>25</v>
      </c>
      <c r="E386" t="s">
        <v>36</v>
      </c>
      <c r="F386" t="s">
        <v>37</v>
      </c>
      <c r="G386" t="s">
        <v>38</v>
      </c>
      <c r="H386" t="s">
        <v>125</v>
      </c>
      <c r="I386">
        <v>5</v>
      </c>
      <c r="J386" s="4">
        <v>700</v>
      </c>
      <c r="K386" s="6">
        <v>0</v>
      </c>
      <c r="L386" s="8">
        <v>3500</v>
      </c>
      <c r="M386" s="8">
        <v>2000</v>
      </c>
      <c r="N386" s="8">
        <v>1500</v>
      </c>
      <c r="O386" s="8">
        <f>SalesData[[#This Row],[Quantity]]*SalesData[[#This Row],[Unit Price]]*(1-SalesData[[#This Row],[Discount]])</f>
        <v>3500</v>
      </c>
      <c r="P386" s="8">
        <f>SalesData[[#This Row],[Sales_Check]]-SalesData[[#This Row],[Cost]]</f>
        <v>1500</v>
      </c>
      <c r="Q386" s="13">
        <f>IFERROR(SalesData[[#This Row],[Profit]]/SalesData[[#This Row],[Sales]],0)</f>
        <v>0.42857142857142855</v>
      </c>
      <c r="R386" t="str">
        <f>TEXT(SalesData[[#This Row],[Order Date]],"mmm-yyyy")</f>
        <v>Jan-2026</v>
      </c>
      <c r="S386">
        <f>YEAR(SalesData[[#This Row],[Order Date]])</f>
        <v>2026</v>
      </c>
      <c r="T386" t="str">
        <f>IF(SalesData[[#This Row],[Profit Margin]]&gt;=30%,"High",IF(SalesData[[#This Row],[Profit Margin]]&gt;=15%,"Medium","Low"))</f>
        <v>High</v>
      </c>
    </row>
    <row r="387" spans="1:20" x14ac:dyDescent="0.35">
      <c r="A387" t="s">
        <v>759</v>
      </c>
      <c r="B387" s="23" t="s">
        <v>760</v>
      </c>
      <c r="C387" t="s">
        <v>115</v>
      </c>
      <c r="D387" t="s">
        <v>43</v>
      </c>
      <c r="E387" t="s">
        <v>44</v>
      </c>
      <c r="F387" t="s">
        <v>19</v>
      </c>
      <c r="G387" t="s">
        <v>215</v>
      </c>
      <c r="H387" t="s">
        <v>21</v>
      </c>
      <c r="I387">
        <v>2</v>
      </c>
      <c r="J387" s="4">
        <v>2200</v>
      </c>
      <c r="K387" s="6">
        <v>0.05</v>
      </c>
      <c r="L387" s="8">
        <v>4180</v>
      </c>
      <c r="M387" s="8">
        <v>2900</v>
      </c>
      <c r="N387" s="8">
        <v>1280</v>
      </c>
      <c r="O387" s="8">
        <f>SalesData[[#This Row],[Quantity]]*SalesData[[#This Row],[Unit Price]]*(1-SalesData[[#This Row],[Discount]])</f>
        <v>4180</v>
      </c>
      <c r="P387" s="8">
        <f>SalesData[[#This Row],[Sales_Check]]-SalesData[[#This Row],[Cost]]</f>
        <v>1280</v>
      </c>
      <c r="Q387" s="13">
        <f>IFERROR(SalesData[[#This Row],[Profit]]/SalesData[[#This Row],[Sales]],0)</f>
        <v>0.30622009569377989</v>
      </c>
      <c r="R387" t="str">
        <f>TEXT(SalesData[[#This Row],[Order Date]],"mmm-yyyy")</f>
        <v>Jan-2026</v>
      </c>
      <c r="S387">
        <f>YEAR(SalesData[[#This Row],[Order Date]])</f>
        <v>2026</v>
      </c>
      <c r="T387" t="str">
        <f>IF(SalesData[[#This Row],[Profit Margin]]&gt;=30%,"High",IF(SalesData[[#This Row],[Profit Margin]]&gt;=15%,"Medium","Low"))</f>
        <v>High</v>
      </c>
    </row>
    <row r="388" spans="1:20" x14ac:dyDescent="0.35">
      <c r="A388" t="s">
        <v>761</v>
      </c>
      <c r="B388" s="23" t="s">
        <v>762</v>
      </c>
      <c r="C388" t="s">
        <v>649</v>
      </c>
      <c r="D388" t="s">
        <v>25</v>
      </c>
      <c r="E388" t="s">
        <v>69</v>
      </c>
      <c r="F388" t="s">
        <v>27</v>
      </c>
      <c r="G388" t="s">
        <v>85</v>
      </c>
      <c r="H388" t="s">
        <v>29</v>
      </c>
      <c r="I388">
        <v>9</v>
      </c>
      <c r="J388" s="4">
        <v>350</v>
      </c>
      <c r="K388" s="6">
        <v>0</v>
      </c>
      <c r="L388" s="8">
        <v>3150</v>
      </c>
      <c r="M388" s="8">
        <v>1620</v>
      </c>
      <c r="N388" s="8">
        <v>1530</v>
      </c>
      <c r="O388" s="8">
        <f>SalesData[[#This Row],[Quantity]]*SalesData[[#This Row],[Unit Price]]*(1-SalesData[[#This Row],[Discount]])</f>
        <v>3150</v>
      </c>
      <c r="P388" s="8">
        <f>SalesData[[#This Row],[Sales_Check]]-SalesData[[#This Row],[Cost]]</f>
        <v>1530</v>
      </c>
      <c r="Q388" s="13">
        <f>IFERROR(SalesData[[#This Row],[Profit]]/SalesData[[#This Row],[Sales]],0)</f>
        <v>0.48571428571428571</v>
      </c>
      <c r="R388" t="str">
        <f>TEXT(SalesData[[#This Row],[Order Date]],"mmm-yyyy")</f>
        <v>Jan-2026</v>
      </c>
      <c r="S388">
        <f>YEAR(SalesData[[#This Row],[Order Date]])</f>
        <v>2026</v>
      </c>
      <c r="T388" t="str">
        <f>IF(SalesData[[#This Row],[Profit Margin]]&gt;=30%,"High",IF(SalesData[[#This Row],[Profit Margin]]&gt;=15%,"Medium","Low"))</f>
        <v>High</v>
      </c>
    </row>
    <row r="389" spans="1:20" x14ac:dyDescent="0.35">
      <c r="A389" t="s">
        <v>763</v>
      </c>
      <c r="B389" s="23" t="s">
        <v>762</v>
      </c>
      <c r="C389" t="s">
        <v>272</v>
      </c>
      <c r="D389" t="s">
        <v>54</v>
      </c>
      <c r="E389" t="s">
        <v>116</v>
      </c>
      <c r="F389" t="s">
        <v>19</v>
      </c>
      <c r="G389" t="s">
        <v>56</v>
      </c>
      <c r="H389" t="s">
        <v>39</v>
      </c>
      <c r="I389">
        <v>3</v>
      </c>
      <c r="J389" s="4">
        <v>450</v>
      </c>
      <c r="K389" s="6">
        <v>0.05</v>
      </c>
      <c r="L389" s="8">
        <v>1282.5</v>
      </c>
      <c r="M389" s="8">
        <v>750</v>
      </c>
      <c r="N389" s="8">
        <v>532.5</v>
      </c>
      <c r="O389" s="8">
        <f>SalesData[[#This Row],[Quantity]]*SalesData[[#This Row],[Unit Price]]*(1-SalesData[[#This Row],[Discount]])</f>
        <v>1282.5</v>
      </c>
      <c r="P389" s="8">
        <f>SalesData[[#This Row],[Sales_Check]]-SalesData[[#This Row],[Cost]]</f>
        <v>532.5</v>
      </c>
      <c r="Q389" s="13">
        <f>IFERROR(SalesData[[#This Row],[Profit]]/SalesData[[#This Row],[Sales]],0)</f>
        <v>0.41520467836257308</v>
      </c>
      <c r="R389" t="str">
        <f>TEXT(SalesData[[#This Row],[Order Date]],"mmm-yyyy")</f>
        <v>Jan-2026</v>
      </c>
      <c r="S389">
        <f>YEAR(SalesData[[#This Row],[Order Date]])</f>
        <v>2026</v>
      </c>
      <c r="T389" t="str">
        <f>IF(SalesData[[#This Row],[Profit Margin]]&gt;=30%,"High",IF(SalesData[[#This Row],[Profit Margin]]&gt;=15%,"Medium","Low"))</f>
        <v>High</v>
      </c>
    </row>
    <row r="390" spans="1:20" x14ac:dyDescent="0.35">
      <c r="A390" t="s">
        <v>764</v>
      </c>
      <c r="B390" s="23" t="s">
        <v>762</v>
      </c>
      <c r="C390" t="s">
        <v>741</v>
      </c>
      <c r="D390" t="s">
        <v>25</v>
      </c>
      <c r="E390" t="s">
        <v>80</v>
      </c>
      <c r="F390" t="s">
        <v>45</v>
      </c>
      <c r="G390" t="s">
        <v>70</v>
      </c>
      <c r="H390" t="s">
        <v>29</v>
      </c>
      <c r="I390">
        <v>8</v>
      </c>
      <c r="J390" s="4">
        <v>950</v>
      </c>
      <c r="K390" s="6">
        <v>0.05</v>
      </c>
      <c r="L390" s="8">
        <v>7220</v>
      </c>
      <c r="M390" s="8">
        <v>4480</v>
      </c>
      <c r="N390" s="8">
        <v>2740</v>
      </c>
      <c r="O390" s="8">
        <f>SalesData[[#This Row],[Quantity]]*SalesData[[#This Row],[Unit Price]]*(1-SalesData[[#This Row],[Discount]])</f>
        <v>7220</v>
      </c>
      <c r="P390" s="8">
        <f>SalesData[[#This Row],[Sales_Check]]-SalesData[[#This Row],[Cost]]</f>
        <v>2740</v>
      </c>
      <c r="Q390" s="13">
        <f>IFERROR(SalesData[[#This Row],[Profit]]/SalesData[[#This Row],[Sales]],0)</f>
        <v>0.37950138504155123</v>
      </c>
      <c r="R390" t="str">
        <f>TEXT(SalesData[[#This Row],[Order Date]],"mmm-yyyy")</f>
        <v>Jan-2026</v>
      </c>
      <c r="S390">
        <f>YEAR(SalesData[[#This Row],[Order Date]])</f>
        <v>2026</v>
      </c>
      <c r="T390" t="str">
        <f>IF(SalesData[[#This Row],[Profit Margin]]&gt;=30%,"High",IF(SalesData[[#This Row],[Profit Margin]]&gt;=15%,"Medium","Low"))</f>
        <v>High</v>
      </c>
    </row>
    <row r="391" spans="1:20" x14ac:dyDescent="0.35">
      <c r="A391" t="s">
        <v>765</v>
      </c>
      <c r="B391" s="23" t="s">
        <v>762</v>
      </c>
      <c r="C391" t="s">
        <v>766</v>
      </c>
      <c r="D391" t="s">
        <v>43</v>
      </c>
      <c r="E391" t="s">
        <v>169</v>
      </c>
      <c r="F391" t="s">
        <v>19</v>
      </c>
      <c r="G391" t="s">
        <v>20</v>
      </c>
      <c r="H391" t="s">
        <v>29</v>
      </c>
      <c r="I391">
        <v>9</v>
      </c>
      <c r="J391" s="4">
        <v>350</v>
      </c>
      <c r="K391" s="6">
        <v>0</v>
      </c>
      <c r="L391" s="8">
        <v>3150</v>
      </c>
      <c r="M391" s="8">
        <v>1530</v>
      </c>
      <c r="N391" s="8">
        <v>1620</v>
      </c>
      <c r="O391" s="8">
        <f>SalesData[[#This Row],[Quantity]]*SalesData[[#This Row],[Unit Price]]*(1-SalesData[[#This Row],[Discount]])</f>
        <v>3150</v>
      </c>
      <c r="P391" s="8">
        <f>SalesData[[#This Row],[Sales_Check]]-SalesData[[#This Row],[Cost]]</f>
        <v>1620</v>
      </c>
      <c r="Q391" s="13">
        <f>IFERROR(SalesData[[#This Row],[Profit]]/SalesData[[#This Row],[Sales]],0)</f>
        <v>0.51428571428571423</v>
      </c>
      <c r="R391" t="str">
        <f>TEXT(SalesData[[#This Row],[Order Date]],"mmm-yyyy")</f>
        <v>Jan-2026</v>
      </c>
      <c r="S391">
        <f>YEAR(SalesData[[#This Row],[Order Date]])</f>
        <v>2026</v>
      </c>
      <c r="T391" t="str">
        <f>IF(SalesData[[#This Row],[Profit Margin]]&gt;=30%,"High",IF(SalesData[[#This Row],[Profit Margin]]&gt;=15%,"Medium","Low"))</f>
        <v>High</v>
      </c>
    </row>
    <row r="392" spans="1:20" x14ac:dyDescent="0.35">
      <c r="A392" t="s">
        <v>767</v>
      </c>
      <c r="B392" s="23" t="s">
        <v>762</v>
      </c>
      <c r="C392" t="s">
        <v>236</v>
      </c>
      <c r="D392" t="s">
        <v>17</v>
      </c>
      <c r="E392" t="s">
        <v>65</v>
      </c>
      <c r="F392" t="s">
        <v>37</v>
      </c>
      <c r="G392" t="s">
        <v>140</v>
      </c>
      <c r="H392" t="s">
        <v>21</v>
      </c>
      <c r="I392">
        <v>7</v>
      </c>
      <c r="J392" s="4">
        <v>2200</v>
      </c>
      <c r="K392" s="6">
        <v>0</v>
      </c>
      <c r="L392" s="8">
        <v>15400</v>
      </c>
      <c r="M392" s="8">
        <v>9800</v>
      </c>
      <c r="N392" s="8">
        <v>5600</v>
      </c>
      <c r="O392" s="8">
        <f>SalesData[[#This Row],[Quantity]]*SalesData[[#This Row],[Unit Price]]*(1-SalesData[[#This Row],[Discount]])</f>
        <v>15400</v>
      </c>
      <c r="P392" s="8">
        <f>SalesData[[#This Row],[Sales_Check]]-SalesData[[#This Row],[Cost]]</f>
        <v>5600</v>
      </c>
      <c r="Q392" s="13">
        <f>IFERROR(SalesData[[#This Row],[Profit]]/SalesData[[#This Row],[Sales]],0)</f>
        <v>0.36363636363636365</v>
      </c>
      <c r="R392" t="str">
        <f>TEXT(SalesData[[#This Row],[Order Date]],"mmm-yyyy")</f>
        <v>Jan-2026</v>
      </c>
      <c r="S392">
        <f>YEAR(SalesData[[#This Row],[Order Date]])</f>
        <v>2026</v>
      </c>
      <c r="T392" t="str">
        <f>IF(SalesData[[#This Row],[Profit Margin]]&gt;=30%,"High",IF(SalesData[[#This Row],[Profit Margin]]&gt;=15%,"Medium","Low"))</f>
        <v>High</v>
      </c>
    </row>
    <row r="393" spans="1:20" x14ac:dyDescent="0.35">
      <c r="A393" t="s">
        <v>768</v>
      </c>
      <c r="B393" s="23" t="s">
        <v>762</v>
      </c>
      <c r="C393" t="s">
        <v>248</v>
      </c>
      <c r="D393" t="s">
        <v>54</v>
      </c>
      <c r="E393" t="s">
        <v>116</v>
      </c>
      <c r="F393" t="s">
        <v>37</v>
      </c>
      <c r="G393" t="s">
        <v>38</v>
      </c>
      <c r="H393" t="s">
        <v>29</v>
      </c>
      <c r="I393">
        <v>8</v>
      </c>
      <c r="J393" s="4">
        <v>450</v>
      </c>
      <c r="K393" s="6">
        <v>0.05</v>
      </c>
      <c r="L393" s="8">
        <v>3420</v>
      </c>
      <c r="M393" s="8">
        <v>2000</v>
      </c>
      <c r="N393" s="8">
        <v>1420</v>
      </c>
      <c r="O393" s="8">
        <f>SalesData[[#This Row],[Quantity]]*SalesData[[#This Row],[Unit Price]]*(1-SalesData[[#This Row],[Discount]])</f>
        <v>3420</v>
      </c>
      <c r="P393" s="8">
        <f>SalesData[[#This Row],[Sales_Check]]-SalesData[[#This Row],[Cost]]</f>
        <v>1420</v>
      </c>
      <c r="Q393" s="13">
        <f>IFERROR(SalesData[[#This Row],[Profit]]/SalesData[[#This Row],[Sales]],0)</f>
        <v>0.41520467836257308</v>
      </c>
      <c r="R393" t="str">
        <f>TEXT(SalesData[[#This Row],[Order Date]],"mmm-yyyy")</f>
        <v>Jan-2026</v>
      </c>
      <c r="S393">
        <f>YEAR(SalesData[[#This Row],[Order Date]])</f>
        <v>2026</v>
      </c>
      <c r="T393" t="str">
        <f>IF(SalesData[[#This Row],[Profit Margin]]&gt;=30%,"High",IF(SalesData[[#This Row],[Profit Margin]]&gt;=15%,"Medium","Low"))</f>
        <v>High</v>
      </c>
    </row>
    <row r="394" spans="1:20" x14ac:dyDescent="0.35">
      <c r="A394" t="s">
        <v>769</v>
      </c>
      <c r="B394" s="23" t="s">
        <v>770</v>
      </c>
      <c r="C394" t="s">
        <v>205</v>
      </c>
      <c r="D394" t="s">
        <v>43</v>
      </c>
      <c r="E394" t="s">
        <v>62</v>
      </c>
      <c r="F394" t="s">
        <v>45</v>
      </c>
      <c r="G394" t="s">
        <v>104</v>
      </c>
      <c r="H394" t="s">
        <v>47</v>
      </c>
      <c r="I394">
        <v>7</v>
      </c>
      <c r="J394" s="4">
        <v>500</v>
      </c>
      <c r="K394" s="6">
        <v>0</v>
      </c>
      <c r="L394" s="8">
        <v>3500</v>
      </c>
      <c r="M394" s="8">
        <v>1960</v>
      </c>
      <c r="N394" s="8">
        <v>1540</v>
      </c>
      <c r="O394" s="8">
        <f>SalesData[[#This Row],[Quantity]]*SalesData[[#This Row],[Unit Price]]*(1-SalesData[[#This Row],[Discount]])</f>
        <v>3500</v>
      </c>
      <c r="P394" s="8">
        <f>SalesData[[#This Row],[Sales_Check]]-SalesData[[#This Row],[Cost]]</f>
        <v>1540</v>
      </c>
      <c r="Q394" s="13">
        <f>IFERROR(SalesData[[#This Row],[Profit]]/SalesData[[#This Row],[Sales]],0)</f>
        <v>0.44</v>
      </c>
      <c r="R394" t="str">
        <f>TEXT(SalesData[[#This Row],[Order Date]],"mmm-yyyy")</f>
        <v>Jan-2026</v>
      </c>
      <c r="S394">
        <f>YEAR(SalesData[[#This Row],[Order Date]])</f>
        <v>2026</v>
      </c>
      <c r="T394" t="str">
        <f>IF(SalesData[[#This Row],[Profit Margin]]&gt;=30%,"High",IF(SalesData[[#This Row],[Profit Margin]]&gt;=15%,"Medium","Low"))</f>
        <v>High</v>
      </c>
    </row>
    <row r="395" spans="1:20" x14ac:dyDescent="0.35">
      <c r="A395" t="s">
        <v>771</v>
      </c>
      <c r="B395" s="23" t="s">
        <v>770</v>
      </c>
      <c r="C395" t="s">
        <v>264</v>
      </c>
      <c r="D395" t="s">
        <v>43</v>
      </c>
      <c r="E395" t="s">
        <v>143</v>
      </c>
      <c r="F395" t="s">
        <v>45</v>
      </c>
      <c r="G395" t="s">
        <v>70</v>
      </c>
      <c r="H395" t="s">
        <v>125</v>
      </c>
      <c r="I395">
        <v>5</v>
      </c>
      <c r="J395" s="4">
        <v>650</v>
      </c>
      <c r="K395" s="6">
        <v>0.1</v>
      </c>
      <c r="L395" s="8">
        <v>2925</v>
      </c>
      <c r="M395" s="8">
        <v>1750</v>
      </c>
      <c r="N395" s="8">
        <v>1175</v>
      </c>
      <c r="O395" s="8">
        <f>SalesData[[#This Row],[Quantity]]*SalesData[[#This Row],[Unit Price]]*(1-SalesData[[#This Row],[Discount]])</f>
        <v>2925</v>
      </c>
      <c r="P395" s="8">
        <f>SalesData[[#This Row],[Sales_Check]]-SalesData[[#This Row],[Cost]]</f>
        <v>1175</v>
      </c>
      <c r="Q395" s="13">
        <f>IFERROR(SalesData[[#This Row],[Profit]]/SalesData[[#This Row],[Sales]],0)</f>
        <v>0.40170940170940173</v>
      </c>
      <c r="R395" t="str">
        <f>TEXT(SalesData[[#This Row],[Order Date]],"mmm-yyyy")</f>
        <v>Jan-2026</v>
      </c>
      <c r="S395">
        <f>YEAR(SalesData[[#This Row],[Order Date]])</f>
        <v>2026</v>
      </c>
      <c r="T395" t="str">
        <f>IF(SalesData[[#This Row],[Profit Margin]]&gt;=30%,"High",IF(SalesData[[#This Row],[Profit Margin]]&gt;=15%,"Medium","Low"))</f>
        <v>High</v>
      </c>
    </row>
    <row r="396" spans="1:20" x14ac:dyDescent="0.35">
      <c r="A396" t="s">
        <v>772</v>
      </c>
      <c r="B396" s="23" t="s">
        <v>770</v>
      </c>
      <c r="C396" t="s">
        <v>313</v>
      </c>
      <c r="D396" t="s">
        <v>17</v>
      </c>
      <c r="E396" t="s">
        <v>124</v>
      </c>
      <c r="F396" t="s">
        <v>19</v>
      </c>
      <c r="G396" t="s">
        <v>113</v>
      </c>
      <c r="H396" t="s">
        <v>29</v>
      </c>
      <c r="I396">
        <v>8</v>
      </c>
      <c r="J396" s="4">
        <v>1200</v>
      </c>
      <c r="K396" s="6">
        <v>0.05</v>
      </c>
      <c r="L396" s="8">
        <v>9120</v>
      </c>
      <c r="M396" s="8">
        <v>5760</v>
      </c>
      <c r="N396" s="8">
        <v>3360</v>
      </c>
      <c r="O396" s="8">
        <f>SalesData[[#This Row],[Quantity]]*SalesData[[#This Row],[Unit Price]]*(1-SalesData[[#This Row],[Discount]])</f>
        <v>9120</v>
      </c>
      <c r="P396" s="8">
        <f>SalesData[[#This Row],[Sales_Check]]-SalesData[[#This Row],[Cost]]</f>
        <v>3360</v>
      </c>
      <c r="Q396" s="13">
        <f>IFERROR(SalesData[[#This Row],[Profit]]/SalesData[[#This Row],[Sales]],0)</f>
        <v>0.36842105263157893</v>
      </c>
      <c r="R396" t="str">
        <f>TEXT(SalesData[[#This Row],[Order Date]],"mmm-yyyy")</f>
        <v>Jan-2026</v>
      </c>
      <c r="S396">
        <f>YEAR(SalesData[[#This Row],[Order Date]])</f>
        <v>2026</v>
      </c>
      <c r="T396" t="str">
        <f>IF(SalesData[[#This Row],[Profit Margin]]&gt;=30%,"High",IF(SalesData[[#This Row],[Profit Margin]]&gt;=15%,"Medium","Low"))</f>
        <v>High</v>
      </c>
    </row>
    <row r="397" spans="1:20" x14ac:dyDescent="0.35">
      <c r="A397" t="s">
        <v>773</v>
      </c>
      <c r="B397" s="23" t="s">
        <v>770</v>
      </c>
      <c r="C397" t="s">
        <v>358</v>
      </c>
      <c r="D397" t="s">
        <v>54</v>
      </c>
      <c r="E397" t="s">
        <v>110</v>
      </c>
      <c r="F397" t="s">
        <v>45</v>
      </c>
      <c r="G397" t="s">
        <v>122</v>
      </c>
      <c r="H397" t="s">
        <v>29</v>
      </c>
      <c r="I397">
        <v>10</v>
      </c>
      <c r="J397" s="4">
        <v>280</v>
      </c>
      <c r="K397" s="6">
        <v>0.05</v>
      </c>
      <c r="L397" s="8">
        <v>2660</v>
      </c>
      <c r="M397" s="8">
        <v>1500</v>
      </c>
      <c r="N397" s="8">
        <v>1160</v>
      </c>
      <c r="O397" s="8">
        <f>SalesData[[#This Row],[Quantity]]*SalesData[[#This Row],[Unit Price]]*(1-SalesData[[#This Row],[Discount]])</f>
        <v>2660</v>
      </c>
      <c r="P397" s="8">
        <f>SalesData[[#This Row],[Sales_Check]]-SalesData[[#This Row],[Cost]]</f>
        <v>1160</v>
      </c>
      <c r="Q397" s="13">
        <f>IFERROR(SalesData[[#This Row],[Profit]]/SalesData[[#This Row],[Sales]],0)</f>
        <v>0.43609022556390975</v>
      </c>
      <c r="R397" t="str">
        <f>TEXT(SalesData[[#This Row],[Order Date]],"mmm-yyyy")</f>
        <v>Jan-2026</v>
      </c>
      <c r="S397">
        <f>YEAR(SalesData[[#This Row],[Order Date]])</f>
        <v>2026</v>
      </c>
      <c r="T397" t="str">
        <f>IF(SalesData[[#This Row],[Profit Margin]]&gt;=30%,"High",IF(SalesData[[#This Row],[Profit Margin]]&gt;=15%,"Medium","Low"))</f>
        <v>High</v>
      </c>
    </row>
    <row r="398" spans="1:20" x14ac:dyDescent="0.35">
      <c r="A398" t="s">
        <v>774</v>
      </c>
      <c r="B398" s="23" t="s">
        <v>775</v>
      </c>
      <c r="C398" t="s">
        <v>662</v>
      </c>
      <c r="D398" t="s">
        <v>43</v>
      </c>
      <c r="E398" t="s">
        <v>62</v>
      </c>
      <c r="F398" t="s">
        <v>45</v>
      </c>
      <c r="G398" t="s">
        <v>104</v>
      </c>
      <c r="H398" t="s">
        <v>39</v>
      </c>
      <c r="I398">
        <v>7</v>
      </c>
      <c r="J398" s="4">
        <v>500</v>
      </c>
      <c r="K398" s="6">
        <v>0</v>
      </c>
      <c r="L398" s="8">
        <v>3500</v>
      </c>
      <c r="M398" s="8">
        <v>1960</v>
      </c>
      <c r="N398" s="8">
        <v>1540</v>
      </c>
      <c r="O398" s="8">
        <f>SalesData[[#This Row],[Quantity]]*SalesData[[#This Row],[Unit Price]]*(1-SalesData[[#This Row],[Discount]])</f>
        <v>3500</v>
      </c>
      <c r="P398" s="8">
        <f>SalesData[[#This Row],[Sales_Check]]-SalesData[[#This Row],[Cost]]</f>
        <v>1540</v>
      </c>
      <c r="Q398" s="13">
        <f>IFERROR(SalesData[[#This Row],[Profit]]/SalesData[[#This Row],[Sales]],0)</f>
        <v>0.44</v>
      </c>
      <c r="R398" t="str">
        <f>TEXT(SalesData[[#This Row],[Order Date]],"mmm-yyyy")</f>
        <v>Feb-2026</v>
      </c>
      <c r="S398">
        <f>YEAR(SalesData[[#This Row],[Order Date]])</f>
        <v>2026</v>
      </c>
      <c r="T398" t="str">
        <f>IF(SalesData[[#This Row],[Profit Margin]]&gt;=30%,"High",IF(SalesData[[#This Row],[Profit Margin]]&gt;=15%,"Medium","Low"))</f>
        <v>High</v>
      </c>
    </row>
    <row r="399" spans="1:20" x14ac:dyDescent="0.35">
      <c r="A399" t="s">
        <v>776</v>
      </c>
      <c r="B399" s="23" t="s">
        <v>775</v>
      </c>
      <c r="C399" t="s">
        <v>691</v>
      </c>
      <c r="D399" t="s">
        <v>54</v>
      </c>
      <c r="E399" t="s">
        <v>55</v>
      </c>
      <c r="F399" t="s">
        <v>37</v>
      </c>
      <c r="G399" t="s">
        <v>73</v>
      </c>
      <c r="H399" t="s">
        <v>33</v>
      </c>
      <c r="I399">
        <v>1</v>
      </c>
      <c r="J399" s="4">
        <v>180</v>
      </c>
      <c r="K399" s="6">
        <v>0.1</v>
      </c>
      <c r="L399" s="8">
        <v>162</v>
      </c>
      <c r="M399" s="8">
        <v>90</v>
      </c>
      <c r="N399" s="8">
        <v>72</v>
      </c>
      <c r="O399" s="8">
        <f>SalesData[[#This Row],[Quantity]]*SalesData[[#This Row],[Unit Price]]*(1-SalesData[[#This Row],[Discount]])</f>
        <v>162</v>
      </c>
      <c r="P399" s="8">
        <f>SalesData[[#This Row],[Sales_Check]]-SalesData[[#This Row],[Cost]]</f>
        <v>72</v>
      </c>
      <c r="Q399" s="13">
        <f>IFERROR(SalesData[[#This Row],[Profit]]/SalesData[[#This Row],[Sales]],0)</f>
        <v>0.44444444444444442</v>
      </c>
      <c r="R399" t="str">
        <f>TEXT(SalesData[[#This Row],[Order Date]],"mmm-yyyy")</f>
        <v>Feb-2026</v>
      </c>
      <c r="S399">
        <f>YEAR(SalesData[[#This Row],[Order Date]])</f>
        <v>2026</v>
      </c>
      <c r="T399" t="str">
        <f>IF(SalesData[[#This Row],[Profit Margin]]&gt;=30%,"High",IF(SalesData[[#This Row],[Profit Margin]]&gt;=15%,"Medium","Low"))</f>
        <v>High</v>
      </c>
    </row>
    <row r="400" spans="1:20" x14ac:dyDescent="0.35">
      <c r="A400" t="s">
        <v>777</v>
      </c>
      <c r="B400" s="23" t="s">
        <v>775</v>
      </c>
      <c r="C400" t="s">
        <v>194</v>
      </c>
      <c r="D400" t="s">
        <v>25</v>
      </c>
      <c r="E400" t="s">
        <v>36</v>
      </c>
      <c r="F400" t="s">
        <v>27</v>
      </c>
      <c r="G400" t="s">
        <v>51</v>
      </c>
      <c r="H400" t="s">
        <v>29</v>
      </c>
      <c r="I400">
        <v>7</v>
      </c>
      <c r="J400" s="4">
        <v>700</v>
      </c>
      <c r="K400" s="6">
        <v>0</v>
      </c>
      <c r="L400" s="8">
        <v>4900</v>
      </c>
      <c r="M400" s="8">
        <v>2800</v>
      </c>
      <c r="N400" s="8">
        <v>2100</v>
      </c>
      <c r="O400" s="8">
        <f>SalesData[[#This Row],[Quantity]]*SalesData[[#This Row],[Unit Price]]*(1-SalesData[[#This Row],[Discount]])</f>
        <v>4900</v>
      </c>
      <c r="P400" s="8">
        <f>SalesData[[#This Row],[Sales_Check]]-SalesData[[#This Row],[Cost]]</f>
        <v>2100</v>
      </c>
      <c r="Q400" s="13">
        <f>IFERROR(SalesData[[#This Row],[Profit]]/SalesData[[#This Row],[Sales]],0)</f>
        <v>0.42857142857142855</v>
      </c>
      <c r="R400" t="str">
        <f>TEXT(SalesData[[#This Row],[Order Date]],"mmm-yyyy")</f>
        <v>Feb-2026</v>
      </c>
      <c r="S400">
        <f>YEAR(SalesData[[#This Row],[Order Date]])</f>
        <v>2026</v>
      </c>
      <c r="T400" t="str">
        <f>IF(SalesData[[#This Row],[Profit Margin]]&gt;=30%,"High",IF(SalesData[[#This Row],[Profit Margin]]&gt;=15%,"Medium","Low"))</f>
        <v>High</v>
      </c>
    </row>
    <row r="401" spans="1:20" x14ac:dyDescent="0.35">
      <c r="A401" t="s">
        <v>778</v>
      </c>
      <c r="B401" s="23" t="s">
        <v>775</v>
      </c>
      <c r="C401" t="s">
        <v>441</v>
      </c>
      <c r="D401" t="s">
        <v>54</v>
      </c>
      <c r="E401" t="s">
        <v>107</v>
      </c>
      <c r="F401" t="s">
        <v>27</v>
      </c>
      <c r="G401" t="s">
        <v>28</v>
      </c>
      <c r="H401" t="s">
        <v>21</v>
      </c>
      <c r="I401">
        <v>1</v>
      </c>
      <c r="J401" s="4">
        <v>120</v>
      </c>
      <c r="K401" s="6">
        <v>0.1</v>
      </c>
      <c r="L401" s="8">
        <v>108</v>
      </c>
      <c r="M401" s="8">
        <v>55</v>
      </c>
      <c r="N401" s="8">
        <v>53</v>
      </c>
      <c r="O401" s="8">
        <f>SalesData[[#This Row],[Quantity]]*SalesData[[#This Row],[Unit Price]]*(1-SalesData[[#This Row],[Discount]])</f>
        <v>108</v>
      </c>
      <c r="P401" s="8">
        <f>SalesData[[#This Row],[Sales_Check]]-SalesData[[#This Row],[Cost]]</f>
        <v>53</v>
      </c>
      <c r="Q401" s="13">
        <f>IFERROR(SalesData[[#This Row],[Profit]]/SalesData[[#This Row],[Sales]],0)</f>
        <v>0.49074074074074076</v>
      </c>
      <c r="R401" t="str">
        <f>TEXT(SalesData[[#This Row],[Order Date]],"mmm-yyyy")</f>
        <v>Feb-2026</v>
      </c>
      <c r="S401">
        <f>YEAR(SalesData[[#This Row],[Order Date]])</f>
        <v>2026</v>
      </c>
      <c r="T401" t="str">
        <f>IF(SalesData[[#This Row],[Profit Margin]]&gt;=30%,"High",IF(SalesData[[#This Row],[Profit Margin]]&gt;=15%,"Medium","Low"))</f>
        <v>High</v>
      </c>
    </row>
    <row r="402" spans="1:20" x14ac:dyDescent="0.35">
      <c r="A402" t="s">
        <v>779</v>
      </c>
      <c r="B402" s="23" t="s">
        <v>775</v>
      </c>
      <c r="C402" t="s">
        <v>129</v>
      </c>
      <c r="D402" t="s">
        <v>25</v>
      </c>
      <c r="E402" t="s">
        <v>36</v>
      </c>
      <c r="F402" t="s">
        <v>19</v>
      </c>
      <c r="G402" t="s">
        <v>113</v>
      </c>
      <c r="H402" t="s">
        <v>29</v>
      </c>
      <c r="I402">
        <v>4</v>
      </c>
      <c r="J402" s="4">
        <v>700</v>
      </c>
      <c r="K402" s="6">
        <v>0</v>
      </c>
      <c r="L402" s="8">
        <v>2800</v>
      </c>
      <c r="M402" s="8">
        <v>1600</v>
      </c>
      <c r="N402" s="8">
        <v>1200</v>
      </c>
      <c r="O402" s="8">
        <f>SalesData[[#This Row],[Quantity]]*SalesData[[#This Row],[Unit Price]]*(1-SalesData[[#This Row],[Discount]])</f>
        <v>2800</v>
      </c>
      <c r="P402" s="8">
        <f>SalesData[[#This Row],[Sales_Check]]-SalesData[[#This Row],[Cost]]</f>
        <v>1200</v>
      </c>
      <c r="Q402" s="13">
        <f>IFERROR(SalesData[[#This Row],[Profit]]/SalesData[[#This Row],[Sales]],0)</f>
        <v>0.42857142857142855</v>
      </c>
      <c r="R402" t="str">
        <f>TEXT(SalesData[[#This Row],[Order Date]],"mmm-yyyy")</f>
        <v>Feb-2026</v>
      </c>
      <c r="S402">
        <f>YEAR(SalesData[[#This Row],[Order Date]])</f>
        <v>2026</v>
      </c>
      <c r="T402" t="str">
        <f>IF(SalesData[[#This Row],[Profit Margin]]&gt;=30%,"High",IF(SalesData[[#This Row],[Profit Margin]]&gt;=15%,"Medium","Low"))</f>
        <v>High</v>
      </c>
    </row>
    <row r="403" spans="1:20" x14ac:dyDescent="0.35">
      <c r="A403" t="s">
        <v>780</v>
      </c>
      <c r="B403" s="23" t="s">
        <v>775</v>
      </c>
      <c r="C403" t="s">
        <v>653</v>
      </c>
      <c r="D403" t="s">
        <v>25</v>
      </c>
      <c r="E403" t="s">
        <v>69</v>
      </c>
      <c r="F403" t="s">
        <v>37</v>
      </c>
      <c r="G403" t="s">
        <v>97</v>
      </c>
      <c r="H403" t="s">
        <v>125</v>
      </c>
      <c r="I403">
        <v>9</v>
      </c>
      <c r="J403" s="4">
        <v>350</v>
      </c>
      <c r="K403" s="6">
        <v>0</v>
      </c>
      <c r="L403" s="8">
        <v>3150</v>
      </c>
      <c r="M403" s="8">
        <v>1620</v>
      </c>
      <c r="N403" s="8">
        <v>1530</v>
      </c>
      <c r="O403" s="8">
        <f>SalesData[[#This Row],[Quantity]]*SalesData[[#This Row],[Unit Price]]*(1-SalesData[[#This Row],[Discount]])</f>
        <v>3150</v>
      </c>
      <c r="P403" s="8">
        <f>SalesData[[#This Row],[Sales_Check]]-SalesData[[#This Row],[Cost]]</f>
        <v>1530</v>
      </c>
      <c r="Q403" s="13">
        <f>IFERROR(SalesData[[#This Row],[Profit]]/SalesData[[#This Row],[Sales]],0)</f>
        <v>0.48571428571428571</v>
      </c>
      <c r="R403" t="str">
        <f>TEXT(SalesData[[#This Row],[Order Date]],"mmm-yyyy")</f>
        <v>Feb-2026</v>
      </c>
      <c r="S403">
        <f>YEAR(SalesData[[#This Row],[Order Date]])</f>
        <v>2026</v>
      </c>
      <c r="T403" t="str">
        <f>IF(SalesData[[#This Row],[Profit Margin]]&gt;=30%,"High",IF(SalesData[[#This Row],[Profit Margin]]&gt;=15%,"Medium","Low"))</f>
        <v>High</v>
      </c>
    </row>
    <row r="404" spans="1:20" x14ac:dyDescent="0.35">
      <c r="A404" t="s">
        <v>781</v>
      </c>
      <c r="B404" s="23" t="s">
        <v>782</v>
      </c>
      <c r="C404" t="s">
        <v>248</v>
      </c>
      <c r="D404" t="s">
        <v>54</v>
      </c>
      <c r="E404" t="s">
        <v>107</v>
      </c>
      <c r="F404" t="s">
        <v>45</v>
      </c>
      <c r="G404" t="s">
        <v>122</v>
      </c>
      <c r="H404" t="s">
        <v>47</v>
      </c>
      <c r="I404">
        <v>10</v>
      </c>
      <c r="J404" s="4">
        <v>120</v>
      </c>
      <c r="K404" s="6">
        <v>0</v>
      </c>
      <c r="L404" s="8">
        <v>1200</v>
      </c>
      <c r="M404" s="8">
        <v>550</v>
      </c>
      <c r="N404" s="8">
        <v>650</v>
      </c>
      <c r="O404" s="8">
        <f>SalesData[[#This Row],[Quantity]]*SalesData[[#This Row],[Unit Price]]*(1-SalesData[[#This Row],[Discount]])</f>
        <v>1200</v>
      </c>
      <c r="P404" s="8">
        <f>SalesData[[#This Row],[Sales_Check]]-SalesData[[#This Row],[Cost]]</f>
        <v>650</v>
      </c>
      <c r="Q404" s="13">
        <f>IFERROR(SalesData[[#This Row],[Profit]]/SalesData[[#This Row],[Sales]],0)</f>
        <v>0.54166666666666663</v>
      </c>
      <c r="R404" t="str">
        <f>TEXT(SalesData[[#This Row],[Order Date]],"mmm-yyyy")</f>
        <v>Feb-2026</v>
      </c>
      <c r="S404">
        <f>YEAR(SalesData[[#This Row],[Order Date]])</f>
        <v>2026</v>
      </c>
      <c r="T404" t="str">
        <f>IF(SalesData[[#This Row],[Profit Margin]]&gt;=30%,"High",IF(SalesData[[#This Row],[Profit Margin]]&gt;=15%,"Medium","Low"))</f>
        <v>High</v>
      </c>
    </row>
    <row r="405" spans="1:20" x14ac:dyDescent="0.35">
      <c r="A405" t="s">
        <v>783</v>
      </c>
      <c r="B405" s="23" t="s">
        <v>782</v>
      </c>
      <c r="C405" t="s">
        <v>242</v>
      </c>
      <c r="D405" t="s">
        <v>54</v>
      </c>
      <c r="E405" t="s">
        <v>103</v>
      </c>
      <c r="F405" t="s">
        <v>27</v>
      </c>
      <c r="G405" t="s">
        <v>85</v>
      </c>
      <c r="H405" t="s">
        <v>21</v>
      </c>
      <c r="I405">
        <v>8</v>
      </c>
      <c r="J405" s="4">
        <v>150</v>
      </c>
      <c r="K405" s="6">
        <v>0</v>
      </c>
      <c r="L405" s="8">
        <v>1200</v>
      </c>
      <c r="M405" s="8">
        <v>600</v>
      </c>
      <c r="N405" s="8">
        <v>600</v>
      </c>
      <c r="O405" s="8">
        <f>SalesData[[#This Row],[Quantity]]*SalesData[[#This Row],[Unit Price]]*(1-SalesData[[#This Row],[Discount]])</f>
        <v>1200</v>
      </c>
      <c r="P405" s="8">
        <f>SalesData[[#This Row],[Sales_Check]]-SalesData[[#This Row],[Cost]]</f>
        <v>600</v>
      </c>
      <c r="Q405" s="13">
        <f>IFERROR(SalesData[[#This Row],[Profit]]/SalesData[[#This Row],[Sales]],0)</f>
        <v>0.5</v>
      </c>
      <c r="R405" t="str">
        <f>TEXT(SalesData[[#This Row],[Order Date]],"mmm-yyyy")</f>
        <v>Feb-2026</v>
      </c>
      <c r="S405">
        <f>YEAR(SalesData[[#This Row],[Order Date]])</f>
        <v>2026</v>
      </c>
      <c r="T405" t="str">
        <f>IF(SalesData[[#This Row],[Profit Margin]]&gt;=30%,"High",IF(SalesData[[#This Row],[Profit Margin]]&gt;=15%,"Medium","Low"))</f>
        <v>High</v>
      </c>
    </row>
    <row r="406" spans="1:20" x14ac:dyDescent="0.35">
      <c r="A406" t="s">
        <v>784</v>
      </c>
      <c r="B406" s="23" t="s">
        <v>782</v>
      </c>
      <c r="C406" t="s">
        <v>96</v>
      </c>
      <c r="D406" t="s">
        <v>43</v>
      </c>
      <c r="E406" t="s">
        <v>44</v>
      </c>
      <c r="F406" t="s">
        <v>37</v>
      </c>
      <c r="G406" t="s">
        <v>97</v>
      </c>
      <c r="H406" t="s">
        <v>47</v>
      </c>
      <c r="I406">
        <v>2</v>
      </c>
      <c r="J406" s="4">
        <v>2200</v>
      </c>
      <c r="K406" s="6">
        <v>0.1</v>
      </c>
      <c r="L406" s="8">
        <v>3960</v>
      </c>
      <c r="M406" s="8">
        <v>2900</v>
      </c>
      <c r="N406" s="8">
        <v>1060</v>
      </c>
      <c r="O406" s="8">
        <f>SalesData[[#This Row],[Quantity]]*SalesData[[#This Row],[Unit Price]]*(1-SalesData[[#This Row],[Discount]])</f>
        <v>3960</v>
      </c>
      <c r="P406" s="8">
        <f>SalesData[[#This Row],[Sales_Check]]-SalesData[[#This Row],[Cost]]</f>
        <v>1060</v>
      </c>
      <c r="Q406" s="13">
        <f>IFERROR(SalesData[[#This Row],[Profit]]/SalesData[[#This Row],[Sales]],0)</f>
        <v>0.26767676767676768</v>
      </c>
      <c r="R406" t="str">
        <f>TEXT(SalesData[[#This Row],[Order Date]],"mmm-yyyy")</f>
        <v>Feb-2026</v>
      </c>
      <c r="S406">
        <f>YEAR(SalesData[[#This Row],[Order Date]])</f>
        <v>2026</v>
      </c>
      <c r="T406" t="str">
        <f>IF(SalesData[[#This Row],[Profit Margin]]&gt;=30%,"High",IF(SalesData[[#This Row],[Profit Margin]]&gt;=15%,"Medium","Low"))</f>
        <v>Medium</v>
      </c>
    </row>
    <row r="407" spans="1:20" x14ac:dyDescent="0.35">
      <c r="A407" t="s">
        <v>785</v>
      </c>
      <c r="B407" s="23" t="s">
        <v>782</v>
      </c>
      <c r="C407" t="s">
        <v>701</v>
      </c>
      <c r="D407" t="s">
        <v>25</v>
      </c>
      <c r="E407" t="s">
        <v>36</v>
      </c>
      <c r="F407" t="s">
        <v>45</v>
      </c>
      <c r="G407" t="s">
        <v>122</v>
      </c>
      <c r="H407" t="s">
        <v>33</v>
      </c>
      <c r="I407">
        <v>7</v>
      </c>
      <c r="J407" s="4">
        <v>700</v>
      </c>
      <c r="K407" s="6">
        <v>0</v>
      </c>
      <c r="L407" s="8">
        <v>4900</v>
      </c>
      <c r="M407" s="8">
        <v>2800</v>
      </c>
      <c r="N407" s="8">
        <v>2100</v>
      </c>
      <c r="O407" s="8">
        <f>SalesData[[#This Row],[Quantity]]*SalesData[[#This Row],[Unit Price]]*(1-SalesData[[#This Row],[Discount]])</f>
        <v>4900</v>
      </c>
      <c r="P407" s="8">
        <f>SalesData[[#This Row],[Sales_Check]]-SalesData[[#This Row],[Cost]]</f>
        <v>2100</v>
      </c>
      <c r="Q407" s="13">
        <f>IFERROR(SalesData[[#This Row],[Profit]]/SalesData[[#This Row],[Sales]],0)</f>
        <v>0.42857142857142855</v>
      </c>
      <c r="R407" t="str">
        <f>TEXT(SalesData[[#This Row],[Order Date]],"mmm-yyyy")</f>
        <v>Feb-2026</v>
      </c>
      <c r="S407">
        <f>YEAR(SalesData[[#This Row],[Order Date]])</f>
        <v>2026</v>
      </c>
      <c r="T407" t="str">
        <f>IF(SalesData[[#This Row],[Profit Margin]]&gt;=30%,"High",IF(SalesData[[#This Row],[Profit Margin]]&gt;=15%,"Medium","Low"))</f>
        <v>High</v>
      </c>
    </row>
    <row r="408" spans="1:20" x14ac:dyDescent="0.35">
      <c r="A408" t="s">
        <v>786</v>
      </c>
      <c r="B408" s="23" t="s">
        <v>782</v>
      </c>
      <c r="C408" t="s">
        <v>766</v>
      </c>
      <c r="D408" t="s">
        <v>25</v>
      </c>
      <c r="E408" t="s">
        <v>89</v>
      </c>
      <c r="F408" t="s">
        <v>27</v>
      </c>
      <c r="G408" t="s">
        <v>28</v>
      </c>
      <c r="H408" t="s">
        <v>29</v>
      </c>
      <c r="I408">
        <v>6</v>
      </c>
      <c r="J408" s="4">
        <v>550</v>
      </c>
      <c r="K408" s="6">
        <v>0</v>
      </c>
      <c r="L408" s="8">
        <v>3300</v>
      </c>
      <c r="M408" s="8">
        <v>1800</v>
      </c>
      <c r="N408" s="8">
        <v>1500</v>
      </c>
      <c r="O408" s="8">
        <f>SalesData[[#This Row],[Quantity]]*SalesData[[#This Row],[Unit Price]]*(1-SalesData[[#This Row],[Discount]])</f>
        <v>3300</v>
      </c>
      <c r="P408" s="8">
        <f>SalesData[[#This Row],[Sales_Check]]-SalesData[[#This Row],[Cost]]</f>
        <v>1500</v>
      </c>
      <c r="Q408" s="13">
        <f>IFERROR(SalesData[[#This Row],[Profit]]/SalesData[[#This Row],[Sales]],0)</f>
        <v>0.45454545454545453</v>
      </c>
      <c r="R408" t="str">
        <f>TEXT(SalesData[[#This Row],[Order Date]],"mmm-yyyy")</f>
        <v>Feb-2026</v>
      </c>
      <c r="S408">
        <f>YEAR(SalesData[[#This Row],[Order Date]])</f>
        <v>2026</v>
      </c>
      <c r="T408" t="str">
        <f>IF(SalesData[[#This Row],[Profit Margin]]&gt;=30%,"High",IF(SalesData[[#This Row],[Profit Margin]]&gt;=15%,"Medium","Low"))</f>
        <v>High</v>
      </c>
    </row>
    <row r="409" spans="1:20" x14ac:dyDescent="0.35">
      <c r="A409" t="s">
        <v>787</v>
      </c>
      <c r="B409" s="23" t="s">
        <v>788</v>
      </c>
      <c r="C409" t="s">
        <v>296</v>
      </c>
      <c r="D409" t="s">
        <v>43</v>
      </c>
      <c r="E409" t="s">
        <v>169</v>
      </c>
      <c r="F409" t="s">
        <v>27</v>
      </c>
      <c r="G409" t="s">
        <v>28</v>
      </c>
      <c r="H409" t="s">
        <v>21</v>
      </c>
      <c r="I409">
        <v>4</v>
      </c>
      <c r="J409" s="4">
        <v>350</v>
      </c>
      <c r="K409" s="6">
        <v>0.1</v>
      </c>
      <c r="L409" s="8">
        <v>1260</v>
      </c>
      <c r="M409" s="8">
        <v>680</v>
      </c>
      <c r="N409" s="8">
        <v>580</v>
      </c>
      <c r="O409" s="8">
        <f>SalesData[[#This Row],[Quantity]]*SalesData[[#This Row],[Unit Price]]*(1-SalesData[[#This Row],[Discount]])</f>
        <v>1260</v>
      </c>
      <c r="P409" s="8">
        <f>SalesData[[#This Row],[Sales_Check]]-SalesData[[#This Row],[Cost]]</f>
        <v>580</v>
      </c>
      <c r="Q409" s="13">
        <f>IFERROR(SalesData[[#This Row],[Profit]]/SalesData[[#This Row],[Sales]],0)</f>
        <v>0.46031746031746029</v>
      </c>
      <c r="R409" t="str">
        <f>TEXT(SalesData[[#This Row],[Order Date]],"mmm-yyyy")</f>
        <v>Feb-2026</v>
      </c>
      <c r="S409">
        <f>YEAR(SalesData[[#This Row],[Order Date]])</f>
        <v>2026</v>
      </c>
      <c r="T409" t="str">
        <f>IF(SalesData[[#This Row],[Profit Margin]]&gt;=30%,"High",IF(SalesData[[#This Row],[Profit Margin]]&gt;=15%,"Medium","Low"))</f>
        <v>High</v>
      </c>
    </row>
    <row r="410" spans="1:20" x14ac:dyDescent="0.35">
      <c r="A410" t="s">
        <v>789</v>
      </c>
      <c r="B410" s="23" t="s">
        <v>790</v>
      </c>
      <c r="C410" t="s">
        <v>791</v>
      </c>
      <c r="D410" t="s">
        <v>43</v>
      </c>
      <c r="E410" t="s">
        <v>250</v>
      </c>
      <c r="F410" t="s">
        <v>19</v>
      </c>
      <c r="G410" t="s">
        <v>113</v>
      </c>
      <c r="H410" t="s">
        <v>33</v>
      </c>
      <c r="I410">
        <v>7</v>
      </c>
      <c r="J410" s="4">
        <v>900</v>
      </c>
      <c r="K410" s="6">
        <v>0</v>
      </c>
      <c r="L410" s="8">
        <v>6300</v>
      </c>
      <c r="M410" s="8">
        <v>3640</v>
      </c>
      <c r="N410" s="8">
        <v>2660</v>
      </c>
      <c r="O410" s="8">
        <f>SalesData[[#This Row],[Quantity]]*SalesData[[#This Row],[Unit Price]]*(1-SalesData[[#This Row],[Discount]])</f>
        <v>6300</v>
      </c>
      <c r="P410" s="8">
        <f>SalesData[[#This Row],[Sales_Check]]-SalesData[[#This Row],[Cost]]</f>
        <v>2660</v>
      </c>
      <c r="Q410" s="13">
        <f>IFERROR(SalesData[[#This Row],[Profit]]/SalesData[[#This Row],[Sales]],0)</f>
        <v>0.42222222222222222</v>
      </c>
      <c r="R410" t="str">
        <f>TEXT(SalesData[[#This Row],[Order Date]],"mmm-yyyy")</f>
        <v>Feb-2026</v>
      </c>
      <c r="S410">
        <f>YEAR(SalesData[[#This Row],[Order Date]])</f>
        <v>2026</v>
      </c>
      <c r="T410" t="str">
        <f>IF(SalesData[[#This Row],[Profit Margin]]&gt;=30%,"High",IF(SalesData[[#This Row],[Profit Margin]]&gt;=15%,"Medium","Low"))</f>
        <v>High</v>
      </c>
    </row>
    <row r="411" spans="1:20" x14ac:dyDescent="0.35">
      <c r="A411" t="s">
        <v>792</v>
      </c>
      <c r="B411" s="23" t="s">
        <v>793</v>
      </c>
      <c r="C411" t="s">
        <v>131</v>
      </c>
      <c r="D411" t="s">
        <v>25</v>
      </c>
      <c r="E411" t="s">
        <v>80</v>
      </c>
      <c r="F411" t="s">
        <v>19</v>
      </c>
      <c r="G411" t="s">
        <v>20</v>
      </c>
      <c r="H411" t="s">
        <v>21</v>
      </c>
      <c r="I411">
        <v>1</v>
      </c>
      <c r="J411" s="4">
        <v>950</v>
      </c>
      <c r="K411" s="6">
        <v>0</v>
      </c>
      <c r="L411" s="8">
        <v>950</v>
      </c>
      <c r="M411" s="8">
        <v>560</v>
      </c>
      <c r="N411" s="8">
        <v>390</v>
      </c>
      <c r="O411" s="8">
        <f>SalesData[[#This Row],[Quantity]]*SalesData[[#This Row],[Unit Price]]*(1-SalesData[[#This Row],[Discount]])</f>
        <v>950</v>
      </c>
      <c r="P411" s="8">
        <f>SalesData[[#This Row],[Sales_Check]]-SalesData[[#This Row],[Cost]]</f>
        <v>390</v>
      </c>
      <c r="Q411" s="13">
        <f>IFERROR(SalesData[[#This Row],[Profit]]/SalesData[[#This Row],[Sales]],0)</f>
        <v>0.41052631578947368</v>
      </c>
      <c r="R411" t="str">
        <f>TEXT(SalesData[[#This Row],[Order Date]],"mmm-yyyy")</f>
        <v>Feb-2026</v>
      </c>
      <c r="S411">
        <f>YEAR(SalesData[[#This Row],[Order Date]])</f>
        <v>2026</v>
      </c>
      <c r="T411" t="str">
        <f>IF(SalesData[[#This Row],[Profit Margin]]&gt;=30%,"High",IF(SalesData[[#This Row],[Profit Margin]]&gt;=15%,"Medium","Low"))</f>
        <v>High</v>
      </c>
    </row>
    <row r="412" spans="1:20" x14ac:dyDescent="0.35">
      <c r="A412" t="s">
        <v>794</v>
      </c>
      <c r="B412" s="23" t="s">
        <v>793</v>
      </c>
      <c r="C412" t="s">
        <v>410</v>
      </c>
      <c r="D412" t="s">
        <v>17</v>
      </c>
      <c r="E412" t="s">
        <v>18</v>
      </c>
      <c r="F412" t="s">
        <v>19</v>
      </c>
      <c r="G412" t="s">
        <v>215</v>
      </c>
      <c r="H412" t="s">
        <v>47</v>
      </c>
      <c r="I412">
        <v>10</v>
      </c>
      <c r="J412" s="4">
        <v>1800</v>
      </c>
      <c r="K412" s="6">
        <v>0.1</v>
      </c>
      <c r="L412" s="8">
        <v>16200</v>
      </c>
      <c r="M412" s="8">
        <v>11000</v>
      </c>
      <c r="N412" s="8">
        <v>5200</v>
      </c>
      <c r="O412" s="8">
        <f>SalesData[[#This Row],[Quantity]]*SalesData[[#This Row],[Unit Price]]*(1-SalesData[[#This Row],[Discount]])</f>
        <v>16200</v>
      </c>
      <c r="P412" s="8">
        <f>SalesData[[#This Row],[Sales_Check]]-SalesData[[#This Row],[Cost]]</f>
        <v>5200</v>
      </c>
      <c r="Q412" s="13">
        <f>IFERROR(SalesData[[#This Row],[Profit]]/SalesData[[#This Row],[Sales]],0)</f>
        <v>0.32098765432098764</v>
      </c>
      <c r="R412" t="str">
        <f>TEXT(SalesData[[#This Row],[Order Date]],"mmm-yyyy")</f>
        <v>Feb-2026</v>
      </c>
      <c r="S412">
        <f>YEAR(SalesData[[#This Row],[Order Date]])</f>
        <v>2026</v>
      </c>
      <c r="T412" t="str">
        <f>IF(SalesData[[#This Row],[Profit Margin]]&gt;=30%,"High",IF(SalesData[[#This Row],[Profit Margin]]&gt;=15%,"Medium","Low"))</f>
        <v>High</v>
      </c>
    </row>
    <row r="413" spans="1:20" x14ac:dyDescent="0.35">
      <c r="A413" t="s">
        <v>795</v>
      </c>
      <c r="B413" s="23" t="s">
        <v>793</v>
      </c>
      <c r="C413" t="s">
        <v>402</v>
      </c>
      <c r="D413" t="s">
        <v>54</v>
      </c>
      <c r="E413" t="s">
        <v>107</v>
      </c>
      <c r="F413" t="s">
        <v>45</v>
      </c>
      <c r="G413" t="s">
        <v>70</v>
      </c>
      <c r="H413" t="s">
        <v>33</v>
      </c>
      <c r="I413">
        <v>1</v>
      </c>
      <c r="J413" s="4">
        <v>120</v>
      </c>
      <c r="K413" s="6">
        <v>0</v>
      </c>
      <c r="L413" s="8">
        <v>120</v>
      </c>
      <c r="M413" s="8">
        <v>55</v>
      </c>
      <c r="N413" s="8">
        <v>65</v>
      </c>
      <c r="O413" s="8">
        <f>SalesData[[#This Row],[Quantity]]*SalesData[[#This Row],[Unit Price]]*(1-SalesData[[#This Row],[Discount]])</f>
        <v>120</v>
      </c>
      <c r="P413" s="8">
        <f>SalesData[[#This Row],[Sales_Check]]-SalesData[[#This Row],[Cost]]</f>
        <v>65</v>
      </c>
      <c r="Q413" s="13">
        <f>IFERROR(SalesData[[#This Row],[Profit]]/SalesData[[#This Row],[Sales]],0)</f>
        <v>0.54166666666666663</v>
      </c>
      <c r="R413" t="str">
        <f>TEXT(SalesData[[#This Row],[Order Date]],"mmm-yyyy")</f>
        <v>Feb-2026</v>
      </c>
      <c r="S413">
        <f>YEAR(SalesData[[#This Row],[Order Date]])</f>
        <v>2026</v>
      </c>
      <c r="T413" t="str">
        <f>IF(SalesData[[#This Row],[Profit Margin]]&gt;=30%,"High",IF(SalesData[[#This Row],[Profit Margin]]&gt;=15%,"Medium","Low"))</f>
        <v>High</v>
      </c>
    </row>
    <row r="414" spans="1:20" x14ac:dyDescent="0.35">
      <c r="A414" t="s">
        <v>796</v>
      </c>
      <c r="B414" s="23" t="s">
        <v>793</v>
      </c>
      <c r="C414" t="s">
        <v>173</v>
      </c>
      <c r="D414" t="s">
        <v>54</v>
      </c>
      <c r="E414" t="s">
        <v>107</v>
      </c>
      <c r="F414" t="s">
        <v>37</v>
      </c>
      <c r="G414" t="s">
        <v>38</v>
      </c>
      <c r="H414" t="s">
        <v>29</v>
      </c>
      <c r="I414">
        <v>4</v>
      </c>
      <c r="J414" s="4">
        <v>120</v>
      </c>
      <c r="K414" s="6">
        <v>0</v>
      </c>
      <c r="L414" s="8">
        <v>480</v>
      </c>
      <c r="M414" s="8">
        <v>220</v>
      </c>
      <c r="N414" s="8">
        <v>260</v>
      </c>
      <c r="O414" s="8">
        <f>SalesData[[#This Row],[Quantity]]*SalesData[[#This Row],[Unit Price]]*(1-SalesData[[#This Row],[Discount]])</f>
        <v>480</v>
      </c>
      <c r="P414" s="8">
        <f>SalesData[[#This Row],[Sales_Check]]-SalesData[[#This Row],[Cost]]</f>
        <v>260</v>
      </c>
      <c r="Q414" s="13">
        <f>IFERROR(SalesData[[#This Row],[Profit]]/SalesData[[#This Row],[Sales]],0)</f>
        <v>0.54166666666666663</v>
      </c>
      <c r="R414" t="str">
        <f>TEXT(SalesData[[#This Row],[Order Date]],"mmm-yyyy")</f>
        <v>Feb-2026</v>
      </c>
      <c r="S414">
        <f>YEAR(SalesData[[#This Row],[Order Date]])</f>
        <v>2026</v>
      </c>
      <c r="T414" t="str">
        <f>IF(SalesData[[#This Row],[Profit Margin]]&gt;=30%,"High",IF(SalesData[[#This Row],[Profit Margin]]&gt;=15%,"Medium","Low"))</f>
        <v>High</v>
      </c>
    </row>
    <row r="415" spans="1:20" x14ac:dyDescent="0.35">
      <c r="A415" t="s">
        <v>797</v>
      </c>
      <c r="B415" s="23" t="s">
        <v>798</v>
      </c>
      <c r="C415" t="s">
        <v>187</v>
      </c>
      <c r="D415" t="s">
        <v>54</v>
      </c>
      <c r="E415" t="s">
        <v>55</v>
      </c>
      <c r="F415" t="s">
        <v>37</v>
      </c>
      <c r="G415" t="s">
        <v>38</v>
      </c>
      <c r="H415" t="s">
        <v>21</v>
      </c>
      <c r="I415">
        <v>5</v>
      </c>
      <c r="J415" s="4">
        <v>180</v>
      </c>
      <c r="K415" s="6">
        <v>0</v>
      </c>
      <c r="L415" s="8">
        <v>900</v>
      </c>
      <c r="M415" s="8">
        <v>450</v>
      </c>
      <c r="N415" s="8">
        <v>450</v>
      </c>
      <c r="O415" s="8">
        <f>SalesData[[#This Row],[Quantity]]*SalesData[[#This Row],[Unit Price]]*(1-SalesData[[#This Row],[Discount]])</f>
        <v>900</v>
      </c>
      <c r="P415" s="8">
        <f>SalesData[[#This Row],[Sales_Check]]-SalesData[[#This Row],[Cost]]</f>
        <v>450</v>
      </c>
      <c r="Q415" s="13">
        <f>IFERROR(SalesData[[#This Row],[Profit]]/SalesData[[#This Row],[Sales]],0)</f>
        <v>0.5</v>
      </c>
      <c r="R415" t="str">
        <f>TEXT(SalesData[[#This Row],[Order Date]],"mmm-yyyy")</f>
        <v>Feb-2026</v>
      </c>
      <c r="S415">
        <f>YEAR(SalesData[[#This Row],[Order Date]])</f>
        <v>2026</v>
      </c>
      <c r="T415" t="str">
        <f>IF(SalesData[[#This Row],[Profit Margin]]&gt;=30%,"High",IF(SalesData[[#This Row],[Profit Margin]]&gt;=15%,"Medium","Low"))</f>
        <v>High</v>
      </c>
    </row>
    <row r="416" spans="1:20" x14ac:dyDescent="0.35">
      <c r="A416" t="s">
        <v>799</v>
      </c>
      <c r="B416" s="23" t="s">
        <v>798</v>
      </c>
      <c r="C416" t="s">
        <v>800</v>
      </c>
      <c r="D416" t="s">
        <v>43</v>
      </c>
      <c r="E416" t="s">
        <v>44</v>
      </c>
      <c r="F416" t="s">
        <v>27</v>
      </c>
      <c r="G416" t="s">
        <v>90</v>
      </c>
      <c r="H416" t="s">
        <v>29</v>
      </c>
      <c r="I416">
        <v>8</v>
      </c>
      <c r="J416" s="4">
        <v>2200</v>
      </c>
      <c r="K416" s="6">
        <v>0</v>
      </c>
      <c r="L416" s="8">
        <v>17600</v>
      </c>
      <c r="M416" s="8">
        <v>11600</v>
      </c>
      <c r="N416" s="8">
        <v>6000</v>
      </c>
      <c r="O416" s="8">
        <f>SalesData[[#This Row],[Quantity]]*SalesData[[#This Row],[Unit Price]]*(1-SalesData[[#This Row],[Discount]])</f>
        <v>17600</v>
      </c>
      <c r="P416" s="8">
        <f>SalesData[[#This Row],[Sales_Check]]-SalesData[[#This Row],[Cost]]</f>
        <v>6000</v>
      </c>
      <c r="Q416" s="13">
        <f>IFERROR(SalesData[[#This Row],[Profit]]/SalesData[[#This Row],[Sales]],0)</f>
        <v>0.34090909090909088</v>
      </c>
      <c r="R416" t="str">
        <f>TEXT(SalesData[[#This Row],[Order Date]],"mmm-yyyy")</f>
        <v>Feb-2026</v>
      </c>
      <c r="S416">
        <f>YEAR(SalesData[[#This Row],[Order Date]])</f>
        <v>2026</v>
      </c>
      <c r="T416" t="str">
        <f>IF(SalesData[[#This Row],[Profit Margin]]&gt;=30%,"High",IF(SalesData[[#This Row],[Profit Margin]]&gt;=15%,"Medium","Low"))</f>
        <v>High</v>
      </c>
    </row>
    <row r="417" spans="1:20" x14ac:dyDescent="0.35">
      <c r="A417" t="s">
        <v>801</v>
      </c>
      <c r="B417" s="23" t="s">
        <v>798</v>
      </c>
      <c r="C417" t="s">
        <v>802</v>
      </c>
      <c r="D417" t="s">
        <v>17</v>
      </c>
      <c r="E417" t="s">
        <v>124</v>
      </c>
      <c r="F417" t="s">
        <v>37</v>
      </c>
      <c r="G417" t="s">
        <v>38</v>
      </c>
      <c r="H417" t="s">
        <v>39</v>
      </c>
      <c r="I417">
        <v>10</v>
      </c>
      <c r="J417" s="4">
        <v>1200</v>
      </c>
      <c r="K417" s="6">
        <v>0</v>
      </c>
      <c r="L417" s="8">
        <v>12000</v>
      </c>
      <c r="M417" s="8">
        <v>7200</v>
      </c>
      <c r="N417" s="8">
        <v>4800</v>
      </c>
      <c r="O417" s="8">
        <f>SalesData[[#This Row],[Quantity]]*SalesData[[#This Row],[Unit Price]]*(1-SalesData[[#This Row],[Discount]])</f>
        <v>12000</v>
      </c>
      <c r="P417" s="8">
        <f>SalesData[[#This Row],[Sales_Check]]-SalesData[[#This Row],[Cost]]</f>
        <v>4800</v>
      </c>
      <c r="Q417" s="13">
        <f>IFERROR(SalesData[[#This Row],[Profit]]/SalesData[[#This Row],[Sales]],0)</f>
        <v>0.4</v>
      </c>
      <c r="R417" t="str">
        <f>TEXT(SalesData[[#This Row],[Order Date]],"mmm-yyyy")</f>
        <v>Feb-2026</v>
      </c>
      <c r="S417">
        <f>YEAR(SalesData[[#This Row],[Order Date]])</f>
        <v>2026</v>
      </c>
      <c r="T417" t="str">
        <f>IF(SalesData[[#This Row],[Profit Margin]]&gt;=30%,"High",IF(SalesData[[#This Row],[Profit Margin]]&gt;=15%,"Medium","Low"))</f>
        <v>High</v>
      </c>
    </row>
    <row r="418" spans="1:20" x14ac:dyDescent="0.35">
      <c r="A418" t="s">
        <v>803</v>
      </c>
      <c r="B418" s="23" t="s">
        <v>804</v>
      </c>
      <c r="C418" t="s">
        <v>805</v>
      </c>
      <c r="D418" t="s">
        <v>54</v>
      </c>
      <c r="E418" t="s">
        <v>55</v>
      </c>
      <c r="F418" t="s">
        <v>37</v>
      </c>
      <c r="G418" t="s">
        <v>140</v>
      </c>
      <c r="H418" t="s">
        <v>125</v>
      </c>
      <c r="I418">
        <v>9</v>
      </c>
      <c r="J418" s="4">
        <v>180</v>
      </c>
      <c r="K418" s="6">
        <v>0</v>
      </c>
      <c r="L418" s="8">
        <v>1620</v>
      </c>
      <c r="M418" s="8">
        <v>810</v>
      </c>
      <c r="N418" s="8">
        <v>810</v>
      </c>
      <c r="O418" s="8">
        <f>SalesData[[#This Row],[Quantity]]*SalesData[[#This Row],[Unit Price]]*(1-SalesData[[#This Row],[Discount]])</f>
        <v>1620</v>
      </c>
      <c r="P418" s="8">
        <f>SalesData[[#This Row],[Sales_Check]]-SalesData[[#This Row],[Cost]]</f>
        <v>810</v>
      </c>
      <c r="Q418" s="13">
        <f>IFERROR(SalesData[[#This Row],[Profit]]/SalesData[[#This Row],[Sales]],0)</f>
        <v>0.5</v>
      </c>
      <c r="R418" t="str">
        <f>TEXT(SalesData[[#This Row],[Order Date]],"mmm-yyyy")</f>
        <v>Feb-2026</v>
      </c>
      <c r="S418">
        <f>YEAR(SalesData[[#This Row],[Order Date]])</f>
        <v>2026</v>
      </c>
      <c r="T418" t="str">
        <f>IF(SalesData[[#This Row],[Profit Margin]]&gt;=30%,"High",IF(SalesData[[#This Row],[Profit Margin]]&gt;=15%,"Medium","Low"))</f>
        <v>High</v>
      </c>
    </row>
    <row r="419" spans="1:20" x14ac:dyDescent="0.35">
      <c r="A419" t="s">
        <v>806</v>
      </c>
      <c r="B419" s="23" t="s">
        <v>804</v>
      </c>
      <c r="C419" t="s">
        <v>343</v>
      </c>
      <c r="D419" t="s">
        <v>54</v>
      </c>
      <c r="E419" t="s">
        <v>116</v>
      </c>
      <c r="F419" t="s">
        <v>19</v>
      </c>
      <c r="G419" t="s">
        <v>215</v>
      </c>
      <c r="H419" t="s">
        <v>33</v>
      </c>
      <c r="I419">
        <v>7</v>
      </c>
      <c r="J419" s="4">
        <v>450</v>
      </c>
      <c r="K419" s="6">
        <v>0.1</v>
      </c>
      <c r="L419" s="8">
        <v>2835</v>
      </c>
      <c r="M419" s="8">
        <v>1750</v>
      </c>
      <c r="N419" s="8">
        <v>1085</v>
      </c>
      <c r="O419" s="8">
        <f>SalesData[[#This Row],[Quantity]]*SalesData[[#This Row],[Unit Price]]*(1-SalesData[[#This Row],[Discount]])</f>
        <v>2835</v>
      </c>
      <c r="P419" s="8">
        <f>SalesData[[#This Row],[Sales_Check]]-SalesData[[#This Row],[Cost]]</f>
        <v>1085</v>
      </c>
      <c r="Q419" s="13">
        <f>IFERROR(SalesData[[#This Row],[Profit]]/SalesData[[#This Row],[Sales]],0)</f>
        <v>0.38271604938271603</v>
      </c>
      <c r="R419" t="str">
        <f>TEXT(SalesData[[#This Row],[Order Date]],"mmm-yyyy")</f>
        <v>Feb-2026</v>
      </c>
      <c r="S419">
        <f>YEAR(SalesData[[#This Row],[Order Date]])</f>
        <v>2026</v>
      </c>
      <c r="T419" t="str">
        <f>IF(SalesData[[#This Row],[Profit Margin]]&gt;=30%,"High",IF(SalesData[[#This Row],[Profit Margin]]&gt;=15%,"Medium","Low"))</f>
        <v>High</v>
      </c>
    </row>
    <row r="420" spans="1:20" x14ac:dyDescent="0.35">
      <c r="A420" t="s">
        <v>807</v>
      </c>
      <c r="B420" s="23" t="s">
        <v>808</v>
      </c>
      <c r="C420" t="s">
        <v>809</v>
      </c>
      <c r="D420" t="s">
        <v>17</v>
      </c>
      <c r="E420" t="s">
        <v>18</v>
      </c>
      <c r="F420" t="s">
        <v>27</v>
      </c>
      <c r="G420" t="s">
        <v>51</v>
      </c>
      <c r="H420" t="s">
        <v>29</v>
      </c>
      <c r="I420">
        <v>7</v>
      </c>
      <c r="J420" s="4">
        <v>1800</v>
      </c>
      <c r="K420" s="6">
        <v>0</v>
      </c>
      <c r="L420" s="8">
        <v>12600</v>
      </c>
      <c r="M420" s="8">
        <v>7700</v>
      </c>
      <c r="N420" s="8">
        <v>4900</v>
      </c>
      <c r="O420" s="8">
        <f>SalesData[[#This Row],[Quantity]]*SalesData[[#This Row],[Unit Price]]*(1-SalesData[[#This Row],[Discount]])</f>
        <v>12600</v>
      </c>
      <c r="P420" s="8">
        <f>SalesData[[#This Row],[Sales_Check]]-SalesData[[#This Row],[Cost]]</f>
        <v>4900</v>
      </c>
      <c r="Q420" s="13">
        <f>IFERROR(SalesData[[#This Row],[Profit]]/SalesData[[#This Row],[Sales]],0)</f>
        <v>0.3888888888888889</v>
      </c>
      <c r="R420" t="str">
        <f>TEXT(SalesData[[#This Row],[Order Date]],"mmm-yyyy")</f>
        <v>Feb-2026</v>
      </c>
      <c r="S420">
        <f>YEAR(SalesData[[#This Row],[Order Date]])</f>
        <v>2026</v>
      </c>
      <c r="T420" t="str">
        <f>IF(SalesData[[#This Row],[Profit Margin]]&gt;=30%,"High",IF(SalesData[[#This Row],[Profit Margin]]&gt;=15%,"Medium","Low"))</f>
        <v>High</v>
      </c>
    </row>
    <row r="421" spans="1:20" x14ac:dyDescent="0.35">
      <c r="A421" t="s">
        <v>810</v>
      </c>
      <c r="B421" s="23" t="s">
        <v>811</v>
      </c>
      <c r="C421" t="s">
        <v>142</v>
      </c>
      <c r="D421" t="s">
        <v>25</v>
      </c>
      <c r="E421" t="s">
        <v>89</v>
      </c>
      <c r="F421" t="s">
        <v>19</v>
      </c>
      <c r="G421" t="s">
        <v>56</v>
      </c>
      <c r="H421" t="s">
        <v>47</v>
      </c>
      <c r="I421">
        <v>4</v>
      </c>
      <c r="J421" s="4">
        <v>550</v>
      </c>
      <c r="K421" s="6">
        <v>0.1</v>
      </c>
      <c r="L421" s="8">
        <v>1980</v>
      </c>
      <c r="M421" s="8">
        <v>1200</v>
      </c>
      <c r="N421" s="8">
        <v>780</v>
      </c>
      <c r="O421" s="8">
        <f>SalesData[[#This Row],[Quantity]]*SalesData[[#This Row],[Unit Price]]*(1-SalesData[[#This Row],[Discount]])</f>
        <v>1980</v>
      </c>
      <c r="P421" s="8">
        <f>SalesData[[#This Row],[Sales_Check]]-SalesData[[#This Row],[Cost]]</f>
        <v>780</v>
      </c>
      <c r="Q421" s="13">
        <f>IFERROR(SalesData[[#This Row],[Profit]]/SalesData[[#This Row],[Sales]],0)</f>
        <v>0.39393939393939392</v>
      </c>
      <c r="R421" t="str">
        <f>TEXT(SalesData[[#This Row],[Order Date]],"mmm-yyyy")</f>
        <v>Feb-2026</v>
      </c>
      <c r="S421">
        <f>YEAR(SalesData[[#This Row],[Order Date]])</f>
        <v>2026</v>
      </c>
      <c r="T421" t="str">
        <f>IF(SalesData[[#This Row],[Profit Margin]]&gt;=30%,"High",IF(SalesData[[#This Row],[Profit Margin]]&gt;=15%,"Medium","Low"))</f>
        <v>High</v>
      </c>
    </row>
    <row r="422" spans="1:20" x14ac:dyDescent="0.35">
      <c r="A422" t="s">
        <v>812</v>
      </c>
      <c r="B422" s="23" t="s">
        <v>813</v>
      </c>
      <c r="C422" t="s">
        <v>557</v>
      </c>
      <c r="D422" t="s">
        <v>17</v>
      </c>
      <c r="E422" t="s">
        <v>65</v>
      </c>
      <c r="F422" t="s">
        <v>37</v>
      </c>
      <c r="G422" t="s">
        <v>38</v>
      </c>
      <c r="H422" t="s">
        <v>125</v>
      </c>
      <c r="I422">
        <v>2</v>
      </c>
      <c r="J422" s="4">
        <v>2200</v>
      </c>
      <c r="K422" s="6">
        <v>0.15</v>
      </c>
      <c r="L422" s="8">
        <v>3740</v>
      </c>
      <c r="M422" s="8">
        <v>2800</v>
      </c>
      <c r="N422" s="8">
        <v>940</v>
      </c>
      <c r="O422" s="8">
        <f>SalesData[[#This Row],[Quantity]]*SalesData[[#This Row],[Unit Price]]*(1-SalesData[[#This Row],[Discount]])</f>
        <v>3740</v>
      </c>
      <c r="P422" s="8">
        <f>SalesData[[#This Row],[Sales_Check]]-SalesData[[#This Row],[Cost]]</f>
        <v>940</v>
      </c>
      <c r="Q422" s="13">
        <f>IFERROR(SalesData[[#This Row],[Profit]]/SalesData[[#This Row],[Sales]],0)</f>
        <v>0.25133689839572193</v>
      </c>
      <c r="R422" t="str">
        <f>TEXT(SalesData[[#This Row],[Order Date]],"mmm-yyyy")</f>
        <v>Feb-2026</v>
      </c>
      <c r="S422">
        <f>YEAR(SalesData[[#This Row],[Order Date]])</f>
        <v>2026</v>
      </c>
      <c r="T422" t="str">
        <f>IF(SalesData[[#This Row],[Profit Margin]]&gt;=30%,"High",IF(SalesData[[#This Row],[Profit Margin]]&gt;=15%,"Medium","Low"))</f>
        <v>Medium</v>
      </c>
    </row>
    <row r="423" spans="1:20" x14ac:dyDescent="0.35">
      <c r="A423" t="s">
        <v>814</v>
      </c>
      <c r="B423" s="23" t="s">
        <v>815</v>
      </c>
      <c r="C423" t="s">
        <v>335</v>
      </c>
      <c r="D423" t="s">
        <v>54</v>
      </c>
      <c r="E423" t="s">
        <v>107</v>
      </c>
      <c r="F423" t="s">
        <v>27</v>
      </c>
      <c r="G423" t="s">
        <v>85</v>
      </c>
      <c r="H423" t="s">
        <v>29</v>
      </c>
      <c r="I423">
        <v>6</v>
      </c>
      <c r="J423" s="4">
        <v>120</v>
      </c>
      <c r="K423" s="6">
        <v>0</v>
      </c>
      <c r="L423" s="8">
        <v>720</v>
      </c>
      <c r="M423" s="8">
        <v>330</v>
      </c>
      <c r="N423" s="8">
        <v>390</v>
      </c>
      <c r="O423" s="8">
        <f>SalesData[[#This Row],[Quantity]]*SalesData[[#This Row],[Unit Price]]*(1-SalesData[[#This Row],[Discount]])</f>
        <v>720</v>
      </c>
      <c r="P423" s="8">
        <f>SalesData[[#This Row],[Sales_Check]]-SalesData[[#This Row],[Cost]]</f>
        <v>390</v>
      </c>
      <c r="Q423" s="13">
        <f>IFERROR(SalesData[[#This Row],[Profit]]/SalesData[[#This Row],[Sales]],0)</f>
        <v>0.54166666666666663</v>
      </c>
      <c r="R423" t="str">
        <f>TEXT(SalesData[[#This Row],[Order Date]],"mmm-yyyy")</f>
        <v>Feb-2026</v>
      </c>
      <c r="S423">
        <f>YEAR(SalesData[[#This Row],[Order Date]])</f>
        <v>2026</v>
      </c>
      <c r="T423" t="str">
        <f>IF(SalesData[[#This Row],[Profit Margin]]&gt;=30%,"High",IF(SalesData[[#This Row],[Profit Margin]]&gt;=15%,"Medium","Low"))</f>
        <v>High</v>
      </c>
    </row>
    <row r="424" spans="1:20" x14ac:dyDescent="0.35">
      <c r="A424" t="s">
        <v>816</v>
      </c>
      <c r="B424" s="23" t="s">
        <v>815</v>
      </c>
      <c r="C424" t="s">
        <v>375</v>
      </c>
      <c r="D424" t="s">
        <v>17</v>
      </c>
      <c r="E424" t="s">
        <v>65</v>
      </c>
      <c r="F424" t="s">
        <v>37</v>
      </c>
      <c r="G424" t="s">
        <v>97</v>
      </c>
      <c r="H424" t="s">
        <v>125</v>
      </c>
      <c r="I424">
        <v>6</v>
      </c>
      <c r="J424" s="4">
        <v>2200</v>
      </c>
      <c r="K424" s="6">
        <v>0.05</v>
      </c>
      <c r="L424" s="8">
        <v>12540</v>
      </c>
      <c r="M424" s="8">
        <v>8400</v>
      </c>
      <c r="N424" s="8">
        <v>4140</v>
      </c>
      <c r="O424" s="8">
        <f>SalesData[[#This Row],[Quantity]]*SalesData[[#This Row],[Unit Price]]*(1-SalesData[[#This Row],[Discount]])</f>
        <v>12540</v>
      </c>
      <c r="P424" s="8">
        <f>SalesData[[#This Row],[Sales_Check]]-SalesData[[#This Row],[Cost]]</f>
        <v>4140</v>
      </c>
      <c r="Q424" s="13">
        <f>IFERROR(SalesData[[#This Row],[Profit]]/SalesData[[#This Row],[Sales]],0)</f>
        <v>0.33014354066985646</v>
      </c>
      <c r="R424" t="str">
        <f>TEXT(SalesData[[#This Row],[Order Date]],"mmm-yyyy")</f>
        <v>Feb-2026</v>
      </c>
      <c r="S424">
        <f>YEAR(SalesData[[#This Row],[Order Date]])</f>
        <v>2026</v>
      </c>
      <c r="T424" t="str">
        <f>IF(SalesData[[#This Row],[Profit Margin]]&gt;=30%,"High",IF(SalesData[[#This Row],[Profit Margin]]&gt;=15%,"Medium","Low"))</f>
        <v>High</v>
      </c>
    </row>
    <row r="425" spans="1:20" x14ac:dyDescent="0.35">
      <c r="A425" t="s">
        <v>817</v>
      </c>
      <c r="B425" s="23" t="s">
        <v>815</v>
      </c>
      <c r="C425" t="s">
        <v>119</v>
      </c>
      <c r="D425" t="s">
        <v>17</v>
      </c>
      <c r="E425" t="s">
        <v>32</v>
      </c>
      <c r="F425" t="s">
        <v>27</v>
      </c>
      <c r="G425" t="s">
        <v>90</v>
      </c>
      <c r="H425" t="s">
        <v>47</v>
      </c>
      <c r="I425">
        <v>7</v>
      </c>
      <c r="J425" s="4">
        <v>1500</v>
      </c>
      <c r="K425" s="6">
        <v>0.15</v>
      </c>
      <c r="L425" s="8">
        <v>8925</v>
      </c>
      <c r="M425" s="8">
        <v>6300</v>
      </c>
      <c r="N425" s="8">
        <v>2625</v>
      </c>
      <c r="O425" s="8">
        <f>SalesData[[#This Row],[Quantity]]*SalesData[[#This Row],[Unit Price]]*(1-SalesData[[#This Row],[Discount]])</f>
        <v>8925</v>
      </c>
      <c r="P425" s="8">
        <f>SalesData[[#This Row],[Sales_Check]]-SalesData[[#This Row],[Cost]]</f>
        <v>2625</v>
      </c>
      <c r="Q425" s="13">
        <f>IFERROR(SalesData[[#This Row],[Profit]]/SalesData[[#This Row],[Sales]],0)</f>
        <v>0.29411764705882354</v>
      </c>
      <c r="R425" t="str">
        <f>TEXT(SalesData[[#This Row],[Order Date]],"mmm-yyyy")</f>
        <v>Feb-2026</v>
      </c>
      <c r="S425">
        <f>YEAR(SalesData[[#This Row],[Order Date]])</f>
        <v>2026</v>
      </c>
      <c r="T425" t="str">
        <f>IF(SalesData[[#This Row],[Profit Margin]]&gt;=30%,"High",IF(SalesData[[#This Row],[Profit Margin]]&gt;=15%,"Medium","Low"))</f>
        <v>Medium</v>
      </c>
    </row>
    <row r="426" spans="1:20" x14ac:dyDescent="0.35">
      <c r="A426" t="s">
        <v>818</v>
      </c>
      <c r="B426" s="23" t="s">
        <v>819</v>
      </c>
      <c r="C426" t="s">
        <v>664</v>
      </c>
      <c r="D426" t="s">
        <v>17</v>
      </c>
      <c r="E426" t="s">
        <v>50</v>
      </c>
      <c r="F426" t="s">
        <v>45</v>
      </c>
      <c r="G426" t="s">
        <v>70</v>
      </c>
      <c r="H426" t="s">
        <v>47</v>
      </c>
      <c r="I426">
        <v>4</v>
      </c>
      <c r="J426" s="4">
        <v>650</v>
      </c>
      <c r="K426" s="6">
        <v>0</v>
      </c>
      <c r="L426" s="8">
        <v>2600</v>
      </c>
      <c r="M426" s="8">
        <v>1520</v>
      </c>
      <c r="N426" s="8">
        <v>1080</v>
      </c>
      <c r="O426" s="8">
        <f>SalesData[[#This Row],[Quantity]]*SalesData[[#This Row],[Unit Price]]*(1-SalesData[[#This Row],[Discount]])</f>
        <v>2600</v>
      </c>
      <c r="P426" s="8">
        <f>SalesData[[#This Row],[Sales_Check]]-SalesData[[#This Row],[Cost]]</f>
        <v>1080</v>
      </c>
      <c r="Q426" s="13">
        <f>IFERROR(SalesData[[#This Row],[Profit]]/SalesData[[#This Row],[Sales]],0)</f>
        <v>0.41538461538461541</v>
      </c>
      <c r="R426" t="str">
        <f>TEXT(SalesData[[#This Row],[Order Date]],"mmm-yyyy")</f>
        <v>Feb-2026</v>
      </c>
      <c r="S426">
        <f>YEAR(SalesData[[#This Row],[Order Date]])</f>
        <v>2026</v>
      </c>
      <c r="T426" t="str">
        <f>IF(SalesData[[#This Row],[Profit Margin]]&gt;=30%,"High",IF(SalesData[[#This Row],[Profit Margin]]&gt;=15%,"Medium","Low"))</f>
        <v>High</v>
      </c>
    </row>
    <row r="427" spans="1:20" x14ac:dyDescent="0.35">
      <c r="A427" t="s">
        <v>820</v>
      </c>
      <c r="B427" s="23" t="s">
        <v>819</v>
      </c>
      <c r="C427" t="s">
        <v>821</v>
      </c>
      <c r="D427" t="s">
        <v>43</v>
      </c>
      <c r="E427" t="s">
        <v>250</v>
      </c>
      <c r="F427" t="s">
        <v>37</v>
      </c>
      <c r="G427" t="s">
        <v>73</v>
      </c>
      <c r="H427" t="s">
        <v>29</v>
      </c>
      <c r="I427">
        <v>10</v>
      </c>
      <c r="J427" s="4">
        <v>900</v>
      </c>
      <c r="K427" s="6">
        <v>0</v>
      </c>
      <c r="L427" s="8">
        <v>9000</v>
      </c>
      <c r="M427" s="8">
        <v>5200</v>
      </c>
      <c r="N427" s="8">
        <v>3800</v>
      </c>
      <c r="O427" s="8">
        <f>SalesData[[#This Row],[Quantity]]*SalesData[[#This Row],[Unit Price]]*(1-SalesData[[#This Row],[Discount]])</f>
        <v>9000</v>
      </c>
      <c r="P427" s="8">
        <f>SalesData[[#This Row],[Sales_Check]]-SalesData[[#This Row],[Cost]]</f>
        <v>3800</v>
      </c>
      <c r="Q427" s="13">
        <f>IFERROR(SalesData[[#This Row],[Profit]]/SalesData[[#This Row],[Sales]],0)</f>
        <v>0.42222222222222222</v>
      </c>
      <c r="R427" t="str">
        <f>TEXT(SalesData[[#This Row],[Order Date]],"mmm-yyyy")</f>
        <v>Feb-2026</v>
      </c>
      <c r="S427">
        <f>YEAR(SalesData[[#This Row],[Order Date]])</f>
        <v>2026</v>
      </c>
      <c r="T427" t="str">
        <f>IF(SalesData[[#This Row],[Profit Margin]]&gt;=30%,"High",IF(SalesData[[#This Row],[Profit Margin]]&gt;=15%,"Medium","Low"))</f>
        <v>High</v>
      </c>
    </row>
    <row r="428" spans="1:20" x14ac:dyDescent="0.35">
      <c r="A428" t="s">
        <v>822</v>
      </c>
      <c r="B428" s="23" t="s">
        <v>819</v>
      </c>
      <c r="C428" t="s">
        <v>350</v>
      </c>
      <c r="D428" t="s">
        <v>54</v>
      </c>
      <c r="E428" t="s">
        <v>110</v>
      </c>
      <c r="F428" t="s">
        <v>45</v>
      </c>
      <c r="G428" t="s">
        <v>70</v>
      </c>
      <c r="H428" t="s">
        <v>125</v>
      </c>
      <c r="I428">
        <v>1</v>
      </c>
      <c r="J428" s="4">
        <v>280</v>
      </c>
      <c r="K428" s="6">
        <v>0.05</v>
      </c>
      <c r="L428" s="8">
        <v>266</v>
      </c>
      <c r="M428" s="8">
        <v>150</v>
      </c>
      <c r="N428" s="8">
        <v>116</v>
      </c>
      <c r="O428" s="8">
        <f>SalesData[[#This Row],[Quantity]]*SalesData[[#This Row],[Unit Price]]*(1-SalesData[[#This Row],[Discount]])</f>
        <v>266</v>
      </c>
      <c r="P428" s="8">
        <f>SalesData[[#This Row],[Sales_Check]]-SalesData[[#This Row],[Cost]]</f>
        <v>116</v>
      </c>
      <c r="Q428" s="13">
        <f>IFERROR(SalesData[[#This Row],[Profit]]/SalesData[[#This Row],[Sales]],0)</f>
        <v>0.43609022556390975</v>
      </c>
      <c r="R428" t="str">
        <f>TEXT(SalesData[[#This Row],[Order Date]],"mmm-yyyy")</f>
        <v>Feb-2026</v>
      </c>
      <c r="S428">
        <f>YEAR(SalesData[[#This Row],[Order Date]])</f>
        <v>2026</v>
      </c>
      <c r="T428" t="str">
        <f>IF(SalesData[[#This Row],[Profit Margin]]&gt;=30%,"High",IF(SalesData[[#This Row],[Profit Margin]]&gt;=15%,"Medium","Low"))</f>
        <v>High</v>
      </c>
    </row>
    <row r="429" spans="1:20" x14ac:dyDescent="0.35">
      <c r="A429" t="s">
        <v>823</v>
      </c>
      <c r="B429" s="23" t="s">
        <v>824</v>
      </c>
      <c r="C429" t="s">
        <v>825</v>
      </c>
      <c r="D429" t="s">
        <v>43</v>
      </c>
      <c r="E429" t="s">
        <v>44</v>
      </c>
      <c r="F429" t="s">
        <v>27</v>
      </c>
      <c r="G429" t="s">
        <v>90</v>
      </c>
      <c r="H429" t="s">
        <v>125</v>
      </c>
      <c r="I429">
        <v>3</v>
      </c>
      <c r="J429" s="4">
        <v>2200</v>
      </c>
      <c r="K429" s="6">
        <v>0.05</v>
      </c>
      <c r="L429" s="8">
        <v>6270</v>
      </c>
      <c r="M429" s="8">
        <v>4350</v>
      </c>
      <c r="N429" s="8">
        <v>1920</v>
      </c>
      <c r="O429" s="8">
        <f>SalesData[[#This Row],[Quantity]]*SalesData[[#This Row],[Unit Price]]*(1-SalesData[[#This Row],[Discount]])</f>
        <v>6270</v>
      </c>
      <c r="P429" s="8">
        <f>SalesData[[#This Row],[Sales_Check]]-SalesData[[#This Row],[Cost]]</f>
        <v>1920</v>
      </c>
      <c r="Q429" s="13">
        <f>IFERROR(SalesData[[#This Row],[Profit]]/SalesData[[#This Row],[Sales]],0)</f>
        <v>0.30622009569377989</v>
      </c>
      <c r="R429" t="str">
        <f>TEXT(SalesData[[#This Row],[Order Date]],"mmm-yyyy")</f>
        <v>Feb-2026</v>
      </c>
      <c r="S429">
        <f>YEAR(SalesData[[#This Row],[Order Date]])</f>
        <v>2026</v>
      </c>
      <c r="T429" t="str">
        <f>IF(SalesData[[#This Row],[Profit Margin]]&gt;=30%,"High",IF(SalesData[[#This Row],[Profit Margin]]&gt;=15%,"Medium","Low"))</f>
        <v>High</v>
      </c>
    </row>
    <row r="430" spans="1:20" x14ac:dyDescent="0.35">
      <c r="A430" t="s">
        <v>826</v>
      </c>
      <c r="B430" s="23" t="s">
        <v>824</v>
      </c>
      <c r="C430" t="s">
        <v>664</v>
      </c>
      <c r="D430" t="s">
        <v>43</v>
      </c>
      <c r="E430" t="s">
        <v>169</v>
      </c>
      <c r="F430" t="s">
        <v>19</v>
      </c>
      <c r="G430" t="s">
        <v>215</v>
      </c>
      <c r="H430" t="s">
        <v>29</v>
      </c>
      <c r="I430">
        <v>4</v>
      </c>
      <c r="J430" s="4">
        <v>350</v>
      </c>
      <c r="K430" s="6">
        <v>0</v>
      </c>
      <c r="L430" s="8">
        <v>1400</v>
      </c>
      <c r="M430" s="8">
        <v>680</v>
      </c>
      <c r="N430" s="8">
        <v>720</v>
      </c>
      <c r="O430" s="8">
        <f>SalesData[[#This Row],[Quantity]]*SalesData[[#This Row],[Unit Price]]*(1-SalesData[[#This Row],[Discount]])</f>
        <v>1400</v>
      </c>
      <c r="P430" s="8">
        <f>SalesData[[#This Row],[Sales_Check]]-SalesData[[#This Row],[Cost]]</f>
        <v>720</v>
      </c>
      <c r="Q430" s="13">
        <f>IFERROR(SalesData[[#This Row],[Profit]]/SalesData[[#This Row],[Sales]],0)</f>
        <v>0.51428571428571423</v>
      </c>
      <c r="R430" t="str">
        <f>TEXT(SalesData[[#This Row],[Order Date]],"mmm-yyyy")</f>
        <v>Feb-2026</v>
      </c>
      <c r="S430">
        <f>YEAR(SalesData[[#This Row],[Order Date]])</f>
        <v>2026</v>
      </c>
      <c r="T430" t="str">
        <f>IF(SalesData[[#This Row],[Profit Margin]]&gt;=30%,"High",IF(SalesData[[#This Row],[Profit Margin]]&gt;=15%,"Medium","Low"))</f>
        <v>High</v>
      </c>
    </row>
    <row r="431" spans="1:20" x14ac:dyDescent="0.35">
      <c r="A431" t="s">
        <v>827</v>
      </c>
      <c r="B431" s="23" t="s">
        <v>828</v>
      </c>
      <c r="C431" t="s">
        <v>31</v>
      </c>
      <c r="D431" t="s">
        <v>17</v>
      </c>
      <c r="E431" t="s">
        <v>124</v>
      </c>
      <c r="F431" t="s">
        <v>27</v>
      </c>
      <c r="G431" t="s">
        <v>28</v>
      </c>
      <c r="H431" t="s">
        <v>33</v>
      </c>
      <c r="I431">
        <v>7</v>
      </c>
      <c r="J431" s="4">
        <v>1200</v>
      </c>
      <c r="K431" s="6">
        <v>0</v>
      </c>
      <c r="L431" s="8">
        <v>8400</v>
      </c>
      <c r="M431" s="8">
        <v>5040</v>
      </c>
      <c r="N431" s="8">
        <v>3360</v>
      </c>
      <c r="O431" s="8">
        <f>SalesData[[#This Row],[Quantity]]*SalesData[[#This Row],[Unit Price]]*(1-SalesData[[#This Row],[Discount]])</f>
        <v>8400</v>
      </c>
      <c r="P431" s="8">
        <f>SalesData[[#This Row],[Sales_Check]]-SalesData[[#This Row],[Cost]]</f>
        <v>3360</v>
      </c>
      <c r="Q431" s="13">
        <f>IFERROR(SalesData[[#This Row],[Profit]]/SalesData[[#This Row],[Sales]],0)</f>
        <v>0.4</v>
      </c>
      <c r="R431" t="str">
        <f>TEXT(SalesData[[#This Row],[Order Date]],"mmm-yyyy")</f>
        <v>Feb-2026</v>
      </c>
      <c r="S431">
        <f>YEAR(SalesData[[#This Row],[Order Date]])</f>
        <v>2026</v>
      </c>
      <c r="T431" t="str">
        <f>IF(SalesData[[#This Row],[Profit Margin]]&gt;=30%,"High",IF(SalesData[[#This Row],[Profit Margin]]&gt;=15%,"Medium","Low"))</f>
        <v>High</v>
      </c>
    </row>
    <row r="432" spans="1:20" x14ac:dyDescent="0.35">
      <c r="A432" t="s">
        <v>829</v>
      </c>
      <c r="B432" s="23" t="s">
        <v>828</v>
      </c>
      <c r="C432" t="s">
        <v>830</v>
      </c>
      <c r="D432" t="s">
        <v>17</v>
      </c>
      <c r="E432" t="s">
        <v>65</v>
      </c>
      <c r="F432" t="s">
        <v>27</v>
      </c>
      <c r="G432" t="s">
        <v>51</v>
      </c>
      <c r="H432" t="s">
        <v>29</v>
      </c>
      <c r="I432">
        <v>4</v>
      </c>
      <c r="J432" s="4">
        <v>2200</v>
      </c>
      <c r="K432" s="6">
        <v>0.1</v>
      </c>
      <c r="L432" s="8">
        <v>7920</v>
      </c>
      <c r="M432" s="8">
        <v>5600</v>
      </c>
      <c r="N432" s="8">
        <v>2320</v>
      </c>
      <c r="O432" s="8">
        <f>SalesData[[#This Row],[Quantity]]*SalesData[[#This Row],[Unit Price]]*(1-SalesData[[#This Row],[Discount]])</f>
        <v>7920</v>
      </c>
      <c r="P432" s="8">
        <f>SalesData[[#This Row],[Sales_Check]]-SalesData[[#This Row],[Cost]]</f>
        <v>2320</v>
      </c>
      <c r="Q432" s="13">
        <f>IFERROR(SalesData[[#This Row],[Profit]]/SalesData[[#This Row],[Sales]],0)</f>
        <v>0.29292929292929293</v>
      </c>
      <c r="R432" t="str">
        <f>TEXT(SalesData[[#This Row],[Order Date]],"mmm-yyyy")</f>
        <v>Feb-2026</v>
      </c>
      <c r="S432">
        <f>YEAR(SalesData[[#This Row],[Order Date]])</f>
        <v>2026</v>
      </c>
      <c r="T432" t="str">
        <f>IF(SalesData[[#This Row],[Profit Margin]]&gt;=30%,"High",IF(SalesData[[#This Row],[Profit Margin]]&gt;=15%,"Medium","Low"))</f>
        <v>Medium</v>
      </c>
    </row>
    <row r="433" spans="1:20" x14ac:dyDescent="0.35">
      <c r="A433" t="s">
        <v>831</v>
      </c>
      <c r="B433" s="23" t="s">
        <v>832</v>
      </c>
      <c r="C433" t="s">
        <v>477</v>
      </c>
      <c r="D433" t="s">
        <v>25</v>
      </c>
      <c r="E433" t="s">
        <v>80</v>
      </c>
      <c r="F433" t="s">
        <v>27</v>
      </c>
      <c r="G433" t="s">
        <v>85</v>
      </c>
      <c r="H433" t="s">
        <v>29</v>
      </c>
      <c r="I433">
        <v>1</v>
      </c>
      <c r="J433" s="4">
        <v>950</v>
      </c>
      <c r="K433" s="6">
        <v>0.05</v>
      </c>
      <c r="L433" s="8">
        <v>902.5</v>
      </c>
      <c r="M433" s="8">
        <v>560</v>
      </c>
      <c r="N433" s="8">
        <v>342.5</v>
      </c>
      <c r="O433" s="8">
        <f>SalesData[[#This Row],[Quantity]]*SalesData[[#This Row],[Unit Price]]*(1-SalesData[[#This Row],[Discount]])</f>
        <v>902.5</v>
      </c>
      <c r="P433" s="8">
        <f>SalesData[[#This Row],[Sales_Check]]-SalesData[[#This Row],[Cost]]</f>
        <v>342.5</v>
      </c>
      <c r="Q433" s="13">
        <f>IFERROR(SalesData[[#This Row],[Profit]]/SalesData[[#This Row],[Sales]],0)</f>
        <v>0.37950138504155123</v>
      </c>
      <c r="R433" t="str">
        <f>TEXT(SalesData[[#This Row],[Order Date]],"mmm-yyyy")</f>
        <v>Feb-2026</v>
      </c>
      <c r="S433">
        <f>YEAR(SalesData[[#This Row],[Order Date]])</f>
        <v>2026</v>
      </c>
      <c r="T433" t="str">
        <f>IF(SalesData[[#This Row],[Profit Margin]]&gt;=30%,"High",IF(SalesData[[#This Row],[Profit Margin]]&gt;=15%,"Medium","Low"))</f>
        <v>High</v>
      </c>
    </row>
    <row r="434" spans="1:20" x14ac:dyDescent="0.35">
      <c r="A434" t="s">
        <v>833</v>
      </c>
      <c r="B434" s="23" t="s">
        <v>832</v>
      </c>
      <c r="C434" t="s">
        <v>377</v>
      </c>
      <c r="D434" t="s">
        <v>17</v>
      </c>
      <c r="E434" t="s">
        <v>32</v>
      </c>
      <c r="F434" t="s">
        <v>37</v>
      </c>
      <c r="G434" t="s">
        <v>38</v>
      </c>
      <c r="H434" t="s">
        <v>47</v>
      </c>
      <c r="I434">
        <v>9</v>
      </c>
      <c r="J434" s="4">
        <v>1500</v>
      </c>
      <c r="K434" s="6">
        <v>0.1</v>
      </c>
      <c r="L434" s="8">
        <v>12150</v>
      </c>
      <c r="M434" s="8">
        <v>8100</v>
      </c>
      <c r="N434" s="8">
        <v>4050</v>
      </c>
      <c r="O434" s="8">
        <f>SalesData[[#This Row],[Quantity]]*SalesData[[#This Row],[Unit Price]]*(1-SalesData[[#This Row],[Discount]])</f>
        <v>12150</v>
      </c>
      <c r="P434" s="8">
        <f>SalesData[[#This Row],[Sales_Check]]-SalesData[[#This Row],[Cost]]</f>
        <v>4050</v>
      </c>
      <c r="Q434" s="13">
        <f>IFERROR(SalesData[[#This Row],[Profit]]/SalesData[[#This Row],[Sales]],0)</f>
        <v>0.33333333333333331</v>
      </c>
      <c r="R434" t="str">
        <f>TEXT(SalesData[[#This Row],[Order Date]],"mmm-yyyy")</f>
        <v>Feb-2026</v>
      </c>
      <c r="S434">
        <f>YEAR(SalesData[[#This Row],[Order Date]])</f>
        <v>2026</v>
      </c>
      <c r="T434" t="str">
        <f>IF(SalesData[[#This Row],[Profit Margin]]&gt;=30%,"High",IF(SalesData[[#This Row],[Profit Margin]]&gt;=15%,"Medium","Low"))</f>
        <v>High</v>
      </c>
    </row>
    <row r="435" spans="1:20" x14ac:dyDescent="0.35">
      <c r="A435" t="s">
        <v>834</v>
      </c>
      <c r="B435" s="23" t="s">
        <v>832</v>
      </c>
      <c r="C435" t="s">
        <v>835</v>
      </c>
      <c r="D435" t="s">
        <v>25</v>
      </c>
      <c r="E435" t="s">
        <v>26</v>
      </c>
      <c r="F435" t="s">
        <v>37</v>
      </c>
      <c r="G435" t="s">
        <v>97</v>
      </c>
      <c r="H435" t="s">
        <v>21</v>
      </c>
      <c r="I435">
        <v>2</v>
      </c>
      <c r="J435" s="4">
        <v>600</v>
      </c>
      <c r="K435" s="6">
        <v>0.05</v>
      </c>
      <c r="L435" s="8">
        <v>1140</v>
      </c>
      <c r="M435" s="8">
        <v>660</v>
      </c>
      <c r="N435" s="8">
        <v>480</v>
      </c>
      <c r="O435" s="8">
        <f>SalesData[[#This Row],[Quantity]]*SalesData[[#This Row],[Unit Price]]*(1-SalesData[[#This Row],[Discount]])</f>
        <v>1140</v>
      </c>
      <c r="P435" s="8">
        <f>SalesData[[#This Row],[Sales_Check]]-SalesData[[#This Row],[Cost]]</f>
        <v>480</v>
      </c>
      <c r="Q435" s="13">
        <f>IFERROR(SalesData[[#This Row],[Profit]]/SalesData[[#This Row],[Sales]],0)</f>
        <v>0.42105263157894735</v>
      </c>
      <c r="R435" t="str">
        <f>TEXT(SalesData[[#This Row],[Order Date]],"mmm-yyyy")</f>
        <v>Feb-2026</v>
      </c>
      <c r="S435">
        <f>YEAR(SalesData[[#This Row],[Order Date]])</f>
        <v>2026</v>
      </c>
      <c r="T435" t="str">
        <f>IF(SalesData[[#This Row],[Profit Margin]]&gt;=30%,"High",IF(SalesData[[#This Row],[Profit Margin]]&gt;=15%,"Medium","Low"))</f>
        <v>High</v>
      </c>
    </row>
    <row r="436" spans="1:20" x14ac:dyDescent="0.35">
      <c r="A436" t="s">
        <v>836</v>
      </c>
      <c r="B436" s="23" t="s">
        <v>832</v>
      </c>
      <c r="C436" t="s">
        <v>227</v>
      </c>
      <c r="D436" t="s">
        <v>17</v>
      </c>
      <c r="E436" t="s">
        <v>124</v>
      </c>
      <c r="F436" t="s">
        <v>19</v>
      </c>
      <c r="G436" t="s">
        <v>20</v>
      </c>
      <c r="H436" t="s">
        <v>21</v>
      </c>
      <c r="I436">
        <v>3</v>
      </c>
      <c r="J436" s="4">
        <v>1200</v>
      </c>
      <c r="K436" s="6">
        <v>0.05</v>
      </c>
      <c r="L436" s="8">
        <v>3420</v>
      </c>
      <c r="M436" s="8">
        <v>2160</v>
      </c>
      <c r="N436" s="8">
        <v>1260</v>
      </c>
      <c r="O436" s="8">
        <f>SalesData[[#This Row],[Quantity]]*SalesData[[#This Row],[Unit Price]]*(1-SalesData[[#This Row],[Discount]])</f>
        <v>3420</v>
      </c>
      <c r="P436" s="8">
        <f>SalesData[[#This Row],[Sales_Check]]-SalesData[[#This Row],[Cost]]</f>
        <v>1260</v>
      </c>
      <c r="Q436" s="13">
        <f>IFERROR(SalesData[[#This Row],[Profit]]/SalesData[[#This Row],[Sales]],0)</f>
        <v>0.36842105263157893</v>
      </c>
      <c r="R436" t="str">
        <f>TEXT(SalesData[[#This Row],[Order Date]],"mmm-yyyy")</f>
        <v>Feb-2026</v>
      </c>
      <c r="S436">
        <f>YEAR(SalesData[[#This Row],[Order Date]])</f>
        <v>2026</v>
      </c>
      <c r="T436" t="str">
        <f>IF(SalesData[[#This Row],[Profit Margin]]&gt;=30%,"High",IF(SalesData[[#This Row],[Profit Margin]]&gt;=15%,"Medium","Low"))</f>
        <v>High</v>
      </c>
    </row>
    <row r="437" spans="1:20" x14ac:dyDescent="0.35">
      <c r="A437" t="s">
        <v>837</v>
      </c>
      <c r="B437" s="23" t="s">
        <v>838</v>
      </c>
      <c r="C437" t="s">
        <v>292</v>
      </c>
      <c r="D437" t="s">
        <v>17</v>
      </c>
      <c r="E437" t="s">
        <v>65</v>
      </c>
      <c r="F437" t="s">
        <v>19</v>
      </c>
      <c r="G437" t="s">
        <v>215</v>
      </c>
      <c r="H437" t="s">
        <v>39</v>
      </c>
      <c r="I437">
        <v>9</v>
      </c>
      <c r="J437" s="4">
        <v>2200</v>
      </c>
      <c r="K437" s="6">
        <v>0.05</v>
      </c>
      <c r="L437" s="8">
        <v>18810</v>
      </c>
      <c r="M437" s="8">
        <v>12600</v>
      </c>
      <c r="N437" s="8">
        <v>6210</v>
      </c>
      <c r="O437" s="8">
        <f>SalesData[[#This Row],[Quantity]]*SalesData[[#This Row],[Unit Price]]*(1-SalesData[[#This Row],[Discount]])</f>
        <v>18810</v>
      </c>
      <c r="P437" s="8">
        <f>SalesData[[#This Row],[Sales_Check]]-SalesData[[#This Row],[Cost]]</f>
        <v>6210</v>
      </c>
      <c r="Q437" s="13">
        <f>IFERROR(SalesData[[#This Row],[Profit]]/SalesData[[#This Row],[Sales]],0)</f>
        <v>0.33014354066985646</v>
      </c>
      <c r="R437" t="str">
        <f>TEXT(SalesData[[#This Row],[Order Date]],"mmm-yyyy")</f>
        <v>Feb-2026</v>
      </c>
      <c r="S437">
        <f>YEAR(SalesData[[#This Row],[Order Date]])</f>
        <v>2026</v>
      </c>
      <c r="T437" t="str">
        <f>IF(SalesData[[#This Row],[Profit Margin]]&gt;=30%,"High",IF(SalesData[[#This Row],[Profit Margin]]&gt;=15%,"Medium","Low"))</f>
        <v>High</v>
      </c>
    </row>
    <row r="438" spans="1:20" x14ac:dyDescent="0.35">
      <c r="A438" t="s">
        <v>839</v>
      </c>
      <c r="B438" s="23" t="s">
        <v>840</v>
      </c>
      <c r="C438" t="s">
        <v>185</v>
      </c>
      <c r="D438" t="s">
        <v>25</v>
      </c>
      <c r="E438" t="s">
        <v>80</v>
      </c>
      <c r="F438" t="s">
        <v>19</v>
      </c>
      <c r="G438" t="s">
        <v>113</v>
      </c>
      <c r="H438" t="s">
        <v>29</v>
      </c>
      <c r="I438">
        <v>4</v>
      </c>
      <c r="J438" s="4">
        <v>950</v>
      </c>
      <c r="K438" s="6">
        <v>0.05</v>
      </c>
      <c r="L438" s="8">
        <v>3610</v>
      </c>
      <c r="M438" s="8">
        <v>2240</v>
      </c>
      <c r="N438" s="8">
        <v>1370</v>
      </c>
      <c r="O438" s="8">
        <f>SalesData[[#This Row],[Quantity]]*SalesData[[#This Row],[Unit Price]]*(1-SalesData[[#This Row],[Discount]])</f>
        <v>3610</v>
      </c>
      <c r="P438" s="8">
        <f>SalesData[[#This Row],[Sales_Check]]-SalesData[[#This Row],[Cost]]</f>
        <v>1370</v>
      </c>
      <c r="Q438" s="13">
        <f>IFERROR(SalesData[[#This Row],[Profit]]/SalesData[[#This Row],[Sales]],0)</f>
        <v>0.37950138504155123</v>
      </c>
      <c r="R438" t="str">
        <f>TEXT(SalesData[[#This Row],[Order Date]],"mmm-yyyy")</f>
        <v>Feb-2026</v>
      </c>
      <c r="S438">
        <f>YEAR(SalesData[[#This Row],[Order Date]])</f>
        <v>2026</v>
      </c>
      <c r="T438" t="str">
        <f>IF(SalesData[[#This Row],[Profit Margin]]&gt;=30%,"High",IF(SalesData[[#This Row],[Profit Margin]]&gt;=15%,"Medium","Low"))</f>
        <v>High</v>
      </c>
    </row>
    <row r="439" spans="1:20" x14ac:dyDescent="0.35">
      <c r="A439" t="s">
        <v>841</v>
      </c>
      <c r="B439" s="23" t="s">
        <v>842</v>
      </c>
      <c r="C439" t="s">
        <v>639</v>
      </c>
      <c r="D439" t="s">
        <v>17</v>
      </c>
      <c r="E439" t="s">
        <v>50</v>
      </c>
      <c r="F439" t="s">
        <v>45</v>
      </c>
      <c r="G439" t="s">
        <v>104</v>
      </c>
      <c r="H439" t="s">
        <v>125</v>
      </c>
      <c r="I439">
        <v>6</v>
      </c>
      <c r="J439" s="4">
        <v>650</v>
      </c>
      <c r="K439" s="6">
        <v>0.1</v>
      </c>
      <c r="L439" s="8">
        <v>3510</v>
      </c>
      <c r="M439" s="8">
        <v>2280</v>
      </c>
      <c r="N439" s="8">
        <v>1230</v>
      </c>
      <c r="O439" s="8">
        <f>SalesData[[#This Row],[Quantity]]*SalesData[[#This Row],[Unit Price]]*(1-SalesData[[#This Row],[Discount]])</f>
        <v>3510</v>
      </c>
      <c r="P439" s="8">
        <f>SalesData[[#This Row],[Sales_Check]]-SalesData[[#This Row],[Cost]]</f>
        <v>1230</v>
      </c>
      <c r="Q439" s="13">
        <f>IFERROR(SalesData[[#This Row],[Profit]]/SalesData[[#This Row],[Sales]],0)</f>
        <v>0.3504273504273504</v>
      </c>
      <c r="R439" t="str">
        <f>TEXT(SalesData[[#This Row],[Order Date]],"mmm-yyyy")</f>
        <v>Feb-2026</v>
      </c>
      <c r="S439">
        <f>YEAR(SalesData[[#This Row],[Order Date]])</f>
        <v>2026</v>
      </c>
      <c r="T439" t="str">
        <f>IF(SalesData[[#This Row],[Profit Margin]]&gt;=30%,"High",IF(SalesData[[#This Row],[Profit Margin]]&gt;=15%,"Medium","Low"))</f>
        <v>High</v>
      </c>
    </row>
    <row r="440" spans="1:20" x14ac:dyDescent="0.35">
      <c r="A440" t="s">
        <v>843</v>
      </c>
      <c r="B440" s="23" t="s">
        <v>842</v>
      </c>
      <c r="C440" t="s">
        <v>205</v>
      </c>
      <c r="D440" t="s">
        <v>25</v>
      </c>
      <c r="E440" t="s">
        <v>26</v>
      </c>
      <c r="F440" t="s">
        <v>37</v>
      </c>
      <c r="G440" t="s">
        <v>97</v>
      </c>
      <c r="H440" t="s">
        <v>33</v>
      </c>
      <c r="I440">
        <v>5</v>
      </c>
      <c r="J440" s="4">
        <v>600</v>
      </c>
      <c r="K440" s="6">
        <v>0</v>
      </c>
      <c r="L440" s="8">
        <v>3000</v>
      </c>
      <c r="M440" s="8">
        <v>1650</v>
      </c>
      <c r="N440" s="8">
        <v>1350</v>
      </c>
      <c r="O440" s="8">
        <f>SalesData[[#This Row],[Quantity]]*SalesData[[#This Row],[Unit Price]]*(1-SalesData[[#This Row],[Discount]])</f>
        <v>3000</v>
      </c>
      <c r="P440" s="8">
        <f>SalesData[[#This Row],[Sales_Check]]-SalesData[[#This Row],[Cost]]</f>
        <v>1350</v>
      </c>
      <c r="Q440" s="13">
        <f>IFERROR(SalesData[[#This Row],[Profit]]/SalesData[[#This Row],[Sales]],0)</f>
        <v>0.45</v>
      </c>
      <c r="R440" t="str">
        <f>TEXT(SalesData[[#This Row],[Order Date]],"mmm-yyyy")</f>
        <v>Feb-2026</v>
      </c>
      <c r="S440">
        <f>YEAR(SalesData[[#This Row],[Order Date]])</f>
        <v>2026</v>
      </c>
      <c r="T440" t="str">
        <f>IF(SalesData[[#This Row],[Profit Margin]]&gt;=30%,"High",IF(SalesData[[#This Row],[Profit Margin]]&gt;=15%,"Medium","Low"))</f>
        <v>High</v>
      </c>
    </row>
    <row r="441" spans="1:20" x14ac:dyDescent="0.35">
      <c r="A441" t="s">
        <v>844</v>
      </c>
      <c r="B441" s="23" t="s">
        <v>842</v>
      </c>
      <c r="C441" t="s">
        <v>477</v>
      </c>
      <c r="D441" t="s">
        <v>17</v>
      </c>
      <c r="E441" t="s">
        <v>32</v>
      </c>
      <c r="F441" t="s">
        <v>45</v>
      </c>
      <c r="G441" t="s">
        <v>70</v>
      </c>
      <c r="H441" t="s">
        <v>21</v>
      </c>
      <c r="I441">
        <v>9</v>
      </c>
      <c r="J441" s="4">
        <v>1500</v>
      </c>
      <c r="K441" s="6">
        <v>0</v>
      </c>
      <c r="L441" s="8">
        <v>13500</v>
      </c>
      <c r="M441" s="8">
        <v>8100</v>
      </c>
      <c r="N441" s="8">
        <v>5400</v>
      </c>
      <c r="O441" s="8">
        <f>SalesData[[#This Row],[Quantity]]*SalesData[[#This Row],[Unit Price]]*(1-SalesData[[#This Row],[Discount]])</f>
        <v>13500</v>
      </c>
      <c r="P441" s="8">
        <f>SalesData[[#This Row],[Sales_Check]]-SalesData[[#This Row],[Cost]]</f>
        <v>5400</v>
      </c>
      <c r="Q441" s="13">
        <f>IFERROR(SalesData[[#This Row],[Profit]]/SalesData[[#This Row],[Sales]],0)</f>
        <v>0.4</v>
      </c>
      <c r="R441" t="str">
        <f>TEXT(SalesData[[#This Row],[Order Date]],"mmm-yyyy")</f>
        <v>Feb-2026</v>
      </c>
      <c r="S441">
        <f>YEAR(SalesData[[#This Row],[Order Date]])</f>
        <v>2026</v>
      </c>
      <c r="T441" t="str">
        <f>IF(SalesData[[#This Row],[Profit Margin]]&gt;=30%,"High",IF(SalesData[[#This Row],[Profit Margin]]&gt;=15%,"Medium","Low"))</f>
        <v>High</v>
      </c>
    </row>
    <row r="442" spans="1:20" x14ac:dyDescent="0.35">
      <c r="A442" t="s">
        <v>845</v>
      </c>
      <c r="B442" s="23" t="s">
        <v>842</v>
      </c>
      <c r="C442" t="s">
        <v>846</v>
      </c>
      <c r="D442" t="s">
        <v>25</v>
      </c>
      <c r="E442" t="s">
        <v>69</v>
      </c>
      <c r="F442" t="s">
        <v>45</v>
      </c>
      <c r="G442" t="s">
        <v>104</v>
      </c>
      <c r="H442" t="s">
        <v>47</v>
      </c>
      <c r="I442">
        <v>4</v>
      </c>
      <c r="J442" s="4">
        <v>350</v>
      </c>
      <c r="K442" s="6">
        <v>0.05</v>
      </c>
      <c r="L442" s="8">
        <v>1330</v>
      </c>
      <c r="M442" s="8">
        <v>720</v>
      </c>
      <c r="N442" s="8">
        <v>610</v>
      </c>
      <c r="O442" s="8">
        <f>SalesData[[#This Row],[Quantity]]*SalesData[[#This Row],[Unit Price]]*(1-SalesData[[#This Row],[Discount]])</f>
        <v>1330</v>
      </c>
      <c r="P442" s="8">
        <f>SalesData[[#This Row],[Sales_Check]]-SalesData[[#This Row],[Cost]]</f>
        <v>610</v>
      </c>
      <c r="Q442" s="13">
        <f>IFERROR(SalesData[[#This Row],[Profit]]/SalesData[[#This Row],[Sales]],0)</f>
        <v>0.45864661654135336</v>
      </c>
      <c r="R442" t="str">
        <f>TEXT(SalesData[[#This Row],[Order Date]],"mmm-yyyy")</f>
        <v>Feb-2026</v>
      </c>
      <c r="S442">
        <f>YEAR(SalesData[[#This Row],[Order Date]])</f>
        <v>2026</v>
      </c>
      <c r="T442" t="str">
        <f>IF(SalesData[[#This Row],[Profit Margin]]&gt;=30%,"High",IF(SalesData[[#This Row],[Profit Margin]]&gt;=15%,"Medium","Low"))</f>
        <v>High</v>
      </c>
    </row>
    <row r="443" spans="1:20" x14ac:dyDescent="0.35">
      <c r="A443" t="s">
        <v>847</v>
      </c>
      <c r="B443" s="23" t="s">
        <v>842</v>
      </c>
      <c r="C443" t="s">
        <v>711</v>
      </c>
      <c r="D443" t="s">
        <v>25</v>
      </c>
      <c r="E443" t="s">
        <v>26</v>
      </c>
      <c r="F443" t="s">
        <v>19</v>
      </c>
      <c r="G443" t="s">
        <v>20</v>
      </c>
      <c r="H443" t="s">
        <v>125</v>
      </c>
      <c r="I443">
        <v>3</v>
      </c>
      <c r="J443" s="4">
        <v>600</v>
      </c>
      <c r="K443" s="6">
        <v>0.05</v>
      </c>
      <c r="L443" s="8">
        <v>1710</v>
      </c>
      <c r="M443" s="8">
        <v>990</v>
      </c>
      <c r="N443" s="8">
        <v>720</v>
      </c>
      <c r="O443" s="8">
        <f>SalesData[[#This Row],[Quantity]]*SalesData[[#This Row],[Unit Price]]*(1-SalesData[[#This Row],[Discount]])</f>
        <v>1710</v>
      </c>
      <c r="P443" s="8">
        <f>SalesData[[#This Row],[Sales_Check]]-SalesData[[#This Row],[Cost]]</f>
        <v>720</v>
      </c>
      <c r="Q443" s="13">
        <f>IFERROR(SalesData[[#This Row],[Profit]]/SalesData[[#This Row],[Sales]],0)</f>
        <v>0.42105263157894735</v>
      </c>
      <c r="R443" t="str">
        <f>TEXT(SalesData[[#This Row],[Order Date]],"mmm-yyyy")</f>
        <v>Feb-2026</v>
      </c>
      <c r="S443">
        <f>YEAR(SalesData[[#This Row],[Order Date]])</f>
        <v>2026</v>
      </c>
      <c r="T443" t="str">
        <f>IF(SalesData[[#This Row],[Profit Margin]]&gt;=30%,"High",IF(SalesData[[#This Row],[Profit Margin]]&gt;=15%,"Medium","Low"))</f>
        <v>High</v>
      </c>
    </row>
    <row r="444" spans="1:20" x14ac:dyDescent="0.35">
      <c r="A444" t="s">
        <v>848</v>
      </c>
      <c r="B444" s="23" t="s">
        <v>849</v>
      </c>
      <c r="C444" t="s">
        <v>850</v>
      </c>
      <c r="D444" t="s">
        <v>25</v>
      </c>
      <c r="E444" t="s">
        <v>80</v>
      </c>
      <c r="F444" t="s">
        <v>27</v>
      </c>
      <c r="G444" t="s">
        <v>28</v>
      </c>
      <c r="H444" t="s">
        <v>47</v>
      </c>
      <c r="I444">
        <v>5</v>
      </c>
      <c r="J444" s="4">
        <v>950</v>
      </c>
      <c r="K444" s="6">
        <v>0.15</v>
      </c>
      <c r="L444" s="8">
        <v>4037.5</v>
      </c>
      <c r="M444" s="8">
        <v>2800</v>
      </c>
      <c r="N444" s="8">
        <v>1237.5</v>
      </c>
      <c r="O444" s="8">
        <f>SalesData[[#This Row],[Quantity]]*SalesData[[#This Row],[Unit Price]]*(1-SalesData[[#This Row],[Discount]])</f>
        <v>4037.5</v>
      </c>
      <c r="P444" s="8">
        <f>SalesData[[#This Row],[Sales_Check]]-SalesData[[#This Row],[Cost]]</f>
        <v>1237.5</v>
      </c>
      <c r="Q444" s="13">
        <f>IFERROR(SalesData[[#This Row],[Profit]]/SalesData[[#This Row],[Sales]],0)</f>
        <v>0.30650154798761609</v>
      </c>
      <c r="R444" t="str">
        <f>TEXT(SalesData[[#This Row],[Order Date]],"mmm-yyyy")</f>
        <v>Feb-2026</v>
      </c>
      <c r="S444">
        <f>YEAR(SalesData[[#This Row],[Order Date]])</f>
        <v>2026</v>
      </c>
      <c r="T444" t="str">
        <f>IF(SalesData[[#This Row],[Profit Margin]]&gt;=30%,"High",IF(SalesData[[#This Row],[Profit Margin]]&gt;=15%,"Medium","Low"))</f>
        <v>High</v>
      </c>
    </row>
    <row r="445" spans="1:20" x14ac:dyDescent="0.35">
      <c r="A445" t="s">
        <v>851</v>
      </c>
      <c r="B445" s="23" t="s">
        <v>849</v>
      </c>
      <c r="C445" t="s">
        <v>355</v>
      </c>
      <c r="D445" t="s">
        <v>54</v>
      </c>
      <c r="E445" t="s">
        <v>55</v>
      </c>
      <c r="F445" t="s">
        <v>19</v>
      </c>
      <c r="G445" t="s">
        <v>113</v>
      </c>
      <c r="H445" t="s">
        <v>125</v>
      </c>
      <c r="I445">
        <v>2</v>
      </c>
      <c r="J445" s="4">
        <v>180</v>
      </c>
      <c r="K445" s="6">
        <v>0</v>
      </c>
      <c r="L445" s="8">
        <v>360</v>
      </c>
      <c r="M445" s="8">
        <v>180</v>
      </c>
      <c r="N445" s="8">
        <v>180</v>
      </c>
      <c r="O445" s="8">
        <f>SalesData[[#This Row],[Quantity]]*SalesData[[#This Row],[Unit Price]]*(1-SalesData[[#This Row],[Discount]])</f>
        <v>360</v>
      </c>
      <c r="P445" s="8">
        <f>SalesData[[#This Row],[Sales_Check]]-SalesData[[#This Row],[Cost]]</f>
        <v>180</v>
      </c>
      <c r="Q445" s="13">
        <f>IFERROR(SalesData[[#This Row],[Profit]]/SalesData[[#This Row],[Sales]],0)</f>
        <v>0.5</v>
      </c>
      <c r="R445" t="str">
        <f>TEXT(SalesData[[#This Row],[Order Date]],"mmm-yyyy")</f>
        <v>Feb-2026</v>
      </c>
      <c r="S445">
        <f>YEAR(SalesData[[#This Row],[Order Date]])</f>
        <v>2026</v>
      </c>
      <c r="T445" t="str">
        <f>IF(SalesData[[#This Row],[Profit Margin]]&gt;=30%,"High",IF(SalesData[[#This Row],[Profit Margin]]&gt;=15%,"Medium","Low"))</f>
        <v>High</v>
      </c>
    </row>
    <row r="446" spans="1:20" x14ac:dyDescent="0.35">
      <c r="A446" t="s">
        <v>852</v>
      </c>
      <c r="B446" s="23" t="s">
        <v>853</v>
      </c>
      <c r="C446" t="s">
        <v>207</v>
      </c>
      <c r="D446" t="s">
        <v>25</v>
      </c>
      <c r="E446" t="s">
        <v>36</v>
      </c>
      <c r="F446" t="s">
        <v>45</v>
      </c>
      <c r="G446" t="s">
        <v>70</v>
      </c>
      <c r="H446" t="s">
        <v>33</v>
      </c>
      <c r="I446">
        <v>6</v>
      </c>
      <c r="J446" s="4">
        <v>700</v>
      </c>
      <c r="K446" s="6">
        <v>0</v>
      </c>
      <c r="L446" s="8">
        <v>4200</v>
      </c>
      <c r="M446" s="8">
        <v>2400</v>
      </c>
      <c r="N446" s="8">
        <v>1800</v>
      </c>
      <c r="O446" s="8">
        <f>SalesData[[#This Row],[Quantity]]*SalesData[[#This Row],[Unit Price]]*(1-SalesData[[#This Row],[Discount]])</f>
        <v>4200</v>
      </c>
      <c r="P446" s="8">
        <f>SalesData[[#This Row],[Sales_Check]]-SalesData[[#This Row],[Cost]]</f>
        <v>1800</v>
      </c>
      <c r="Q446" s="13">
        <f>IFERROR(SalesData[[#This Row],[Profit]]/SalesData[[#This Row],[Sales]],0)</f>
        <v>0.42857142857142855</v>
      </c>
      <c r="R446" t="str">
        <f>TEXT(SalesData[[#This Row],[Order Date]],"mmm-yyyy")</f>
        <v>Feb-2026</v>
      </c>
      <c r="S446">
        <f>YEAR(SalesData[[#This Row],[Order Date]])</f>
        <v>2026</v>
      </c>
      <c r="T446" t="str">
        <f>IF(SalesData[[#This Row],[Profit Margin]]&gt;=30%,"High",IF(SalesData[[#This Row],[Profit Margin]]&gt;=15%,"Medium","Low"))</f>
        <v>High</v>
      </c>
    </row>
    <row r="447" spans="1:20" x14ac:dyDescent="0.35">
      <c r="A447" t="s">
        <v>854</v>
      </c>
      <c r="B447" s="23" t="s">
        <v>853</v>
      </c>
      <c r="C447" t="s">
        <v>316</v>
      </c>
      <c r="D447" t="s">
        <v>54</v>
      </c>
      <c r="E447" t="s">
        <v>116</v>
      </c>
      <c r="F447" t="s">
        <v>19</v>
      </c>
      <c r="G447" t="s">
        <v>113</v>
      </c>
      <c r="H447" t="s">
        <v>47</v>
      </c>
      <c r="I447">
        <v>8</v>
      </c>
      <c r="J447" s="4">
        <v>450</v>
      </c>
      <c r="K447" s="6">
        <v>0.1</v>
      </c>
      <c r="L447" s="8">
        <v>3240</v>
      </c>
      <c r="M447" s="8">
        <v>2000</v>
      </c>
      <c r="N447" s="8">
        <v>1240</v>
      </c>
      <c r="O447" s="8">
        <f>SalesData[[#This Row],[Quantity]]*SalesData[[#This Row],[Unit Price]]*(1-SalesData[[#This Row],[Discount]])</f>
        <v>3240</v>
      </c>
      <c r="P447" s="8">
        <f>SalesData[[#This Row],[Sales_Check]]-SalesData[[#This Row],[Cost]]</f>
        <v>1240</v>
      </c>
      <c r="Q447" s="13">
        <f>IFERROR(SalesData[[#This Row],[Profit]]/SalesData[[#This Row],[Sales]],0)</f>
        <v>0.38271604938271603</v>
      </c>
      <c r="R447" t="str">
        <f>TEXT(SalesData[[#This Row],[Order Date]],"mmm-yyyy")</f>
        <v>Feb-2026</v>
      </c>
      <c r="S447">
        <f>YEAR(SalesData[[#This Row],[Order Date]])</f>
        <v>2026</v>
      </c>
      <c r="T447" t="str">
        <f>IF(SalesData[[#This Row],[Profit Margin]]&gt;=30%,"High",IF(SalesData[[#This Row],[Profit Margin]]&gt;=15%,"Medium","Low"))</f>
        <v>High</v>
      </c>
    </row>
    <row r="448" spans="1:20" x14ac:dyDescent="0.35">
      <c r="A448" t="s">
        <v>855</v>
      </c>
      <c r="B448" s="23" t="s">
        <v>853</v>
      </c>
      <c r="C448" t="s">
        <v>272</v>
      </c>
      <c r="D448" t="s">
        <v>25</v>
      </c>
      <c r="E448" t="s">
        <v>69</v>
      </c>
      <c r="F448" t="s">
        <v>27</v>
      </c>
      <c r="G448" t="s">
        <v>51</v>
      </c>
      <c r="H448" t="s">
        <v>47</v>
      </c>
      <c r="I448">
        <v>7</v>
      </c>
      <c r="J448" s="4">
        <v>350</v>
      </c>
      <c r="K448" s="6">
        <v>0</v>
      </c>
      <c r="L448" s="8">
        <v>2450</v>
      </c>
      <c r="M448" s="8">
        <v>1260</v>
      </c>
      <c r="N448" s="8">
        <v>1190</v>
      </c>
      <c r="O448" s="8">
        <f>SalesData[[#This Row],[Quantity]]*SalesData[[#This Row],[Unit Price]]*(1-SalesData[[#This Row],[Discount]])</f>
        <v>2450</v>
      </c>
      <c r="P448" s="8">
        <f>SalesData[[#This Row],[Sales_Check]]-SalesData[[#This Row],[Cost]]</f>
        <v>1190</v>
      </c>
      <c r="Q448" s="13">
        <f>IFERROR(SalesData[[#This Row],[Profit]]/SalesData[[#This Row],[Sales]],0)</f>
        <v>0.48571428571428571</v>
      </c>
      <c r="R448" t="str">
        <f>TEXT(SalesData[[#This Row],[Order Date]],"mmm-yyyy")</f>
        <v>Feb-2026</v>
      </c>
      <c r="S448">
        <f>YEAR(SalesData[[#This Row],[Order Date]])</f>
        <v>2026</v>
      </c>
      <c r="T448" t="str">
        <f>IF(SalesData[[#This Row],[Profit Margin]]&gt;=30%,"High",IF(SalesData[[#This Row],[Profit Margin]]&gt;=15%,"Medium","Low"))</f>
        <v>High</v>
      </c>
    </row>
    <row r="449" spans="1:20" x14ac:dyDescent="0.35">
      <c r="A449" t="s">
        <v>856</v>
      </c>
      <c r="B449" s="23" t="s">
        <v>857</v>
      </c>
      <c r="C449" t="s">
        <v>121</v>
      </c>
      <c r="D449" t="s">
        <v>17</v>
      </c>
      <c r="E449" t="s">
        <v>65</v>
      </c>
      <c r="F449" t="s">
        <v>45</v>
      </c>
      <c r="G449" t="s">
        <v>122</v>
      </c>
      <c r="H449" t="s">
        <v>33</v>
      </c>
      <c r="I449">
        <v>9</v>
      </c>
      <c r="J449" s="4">
        <v>2200</v>
      </c>
      <c r="K449" s="6">
        <v>0.1</v>
      </c>
      <c r="L449" s="8">
        <v>17820</v>
      </c>
      <c r="M449" s="8">
        <v>12600</v>
      </c>
      <c r="N449" s="8">
        <v>5220</v>
      </c>
      <c r="O449" s="8">
        <f>SalesData[[#This Row],[Quantity]]*SalesData[[#This Row],[Unit Price]]*(1-SalesData[[#This Row],[Discount]])</f>
        <v>17820</v>
      </c>
      <c r="P449" s="8">
        <f>SalesData[[#This Row],[Sales_Check]]-SalesData[[#This Row],[Cost]]</f>
        <v>5220</v>
      </c>
      <c r="Q449" s="13">
        <f>IFERROR(SalesData[[#This Row],[Profit]]/SalesData[[#This Row],[Sales]],0)</f>
        <v>0.29292929292929293</v>
      </c>
      <c r="R449" t="str">
        <f>TEXT(SalesData[[#This Row],[Order Date]],"mmm-yyyy")</f>
        <v>Feb-2026</v>
      </c>
      <c r="S449">
        <f>YEAR(SalesData[[#This Row],[Order Date]])</f>
        <v>2026</v>
      </c>
      <c r="T449" t="str">
        <f>IF(SalesData[[#This Row],[Profit Margin]]&gt;=30%,"High",IF(SalesData[[#This Row],[Profit Margin]]&gt;=15%,"Medium","Low"))</f>
        <v>Medium</v>
      </c>
    </row>
    <row r="450" spans="1:20" x14ac:dyDescent="0.35">
      <c r="A450" t="s">
        <v>858</v>
      </c>
      <c r="B450" s="23" t="s">
        <v>857</v>
      </c>
      <c r="C450" t="s">
        <v>224</v>
      </c>
      <c r="D450" t="s">
        <v>43</v>
      </c>
      <c r="E450" t="s">
        <v>44</v>
      </c>
      <c r="F450" t="s">
        <v>27</v>
      </c>
      <c r="G450" t="s">
        <v>28</v>
      </c>
      <c r="H450" t="s">
        <v>21</v>
      </c>
      <c r="I450">
        <v>3</v>
      </c>
      <c r="J450" s="4">
        <v>2200</v>
      </c>
      <c r="K450" s="6">
        <v>0</v>
      </c>
      <c r="L450" s="8">
        <v>6600</v>
      </c>
      <c r="M450" s="8">
        <v>4350</v>
      </c>
      <c r="N450" s="8">
        <v>2250</v>
      </c>
      <c r="O450" s="8">
        <f>SalesData[[#This Row],[Quantity]]*SalesData[[#This Row],[Unit Price]]*(1-SalesData[[#This Row],[Discount]])</f>
        <v>6600</v>
      </c>
      <c r="P450" s="8">
        <f>SalesData[[#This Row],[Sales_Check]]-SalesData[[#This Row],[Cost]]</f>
        <v>2250</v>
      </c>
      <c r="Q450" s="13">
        <f>IFERROR(SalesData[[#This Row],[Profit]]/SalesData[[#This Row],[Sales]],0)</f>
        <v>0.34090909090909088</v>
      </c>
      <c r="R450" t="str">
        <f>TEXT(SalesData[[#This Row],[Order Date]],"mmm-yyyy")</f>
        <v>Feb-2026</v>
      </c>
      <c r="S450">
        <f>YEAR(SalesData[[#This Row],[Order Date]])</f>
        <v>2026</v>
      </c>
      <c r="T450" t="str">
        <f>IF(SalesData[[#This Row],[Profit Margin]]&gt;=30%,"High",IF(SalesData[[#This Row],[Profit Margin]]&gt;=15%,"Medium","Low"))</f>
        <v>High</v>
      </c>
    </row>
    <row r="451" spans="1:20" x14ac:dyDescent="0.35">
      <c r="A451" t="s">
        <v>859</v>
      </c>
      <c r="B451" s="23" t="s">
        <v>857</v>
      </c>
      <c r="C451" t="s">
        <v>410</v>
      </c>
      <c r="D451" t="s">
        <v>25</v>
      </c>
      <c r="E451" t="s">
        <v>69</v>
      </c>
      <c r="F451" t="s">
        <v>45</v>
      </c>
      <c r="G451" t="s">
        <v>70</v>
      </c>
      <c r="H451" t="s">
        <v>39</v>
      </c>
      <c r="I451">
        <v>9</v>
      </c>
      <c r="J451" s="4">
        <v>350</v>
      </c>
      <c r="K451" s="6">
        <v>0</v>
      </c>
      <c r="L451" s="8">
        <v>3150</v>
      </c>
      <c r="M451" s="8">
        <v>1620</v>
      </c>
      <c r="N451" s="8">
        <v>1530</v>
      </c>
      <c r="O451" s="8">
        <f>SalesData[[#This Row],[Quantity]]*SalesData[[#This Row],[Unit Price]]*(1-SalesData[[#This Row],[Discount]])</f>
        <v>3150</v>
      </c>
      <c r="P451" s="8">
        <f>SalesData[[#This Row],[Sales_Check]]-SalesData[[#This Row],[Cost]]</f>
        <v>1530</v>
      </c>
      <c r="Q451" s="13">
        <f>IFERROR(SalesData[[#This Row],[Profit]]/SalesData[[#This Row],[Sales]],0)</f>
        <v>0.48571428571428571</v>
      </c>
      <c r="R451" t="str">
        <f>TEXT(SalesData[[#This Row],[Order Date]],"mmm-yyyy")</f>
        <v>Feb-2026</v>
      </c>
      <c r="S451">
        <f>YEAR(SalesData[[#This Row],[Order Date]])</f>
        <v>2026</v>
      </c>
      <c r="T451" t="str">
        <f>IF(SalesData[[#This Row],[Profit Margin]]&gt;=30%,"High",IF(SalesData[[#This Row],[Profit Margin]]&gt;=15%,"Medium","Low"))</f>
        <v>High</v>
      </c>
    </row>
    <row r="452" spans="1:20" x14ac:dyDescent="0.35">
      <c r="A452" t="s">
        <v>860</v>
      </c>
      <c r="B452" s="23" t="s">
        <v>857</v>
      </c>
      <c r="C452" t="s">
        <v>861</v>
      </c>
      <c r="D452" t="s">
        <v>17</v>
      </c>
      <c r="E452" t="s">
        <v>65</v>
      </c>
      <c r="F452" t="s">
        <v>45</v>
      </c>
      <c r="G452" t="s">
        <v>104</v>
      </c>
      <c r="H452" t="s">
        <v>33</v>
      </c>
      <c r="I452">
        <v>1</v>
      </c>
      <c r="J452" s="4">
        <v>2200</v>
      </c>
      <c r="K452" s="6">
        <v>0</v>
      </c>
      <c r="L452" s="8">
        <v>2200</v>
      </c>
      <c r="M452" s="8">
        <v>1400</v>
      </c>
      <c r="N452" s="8">
        <v>800</v>
      </c>
      <c r="O452" s="8">
        <f>SalesData[[#This Row],[Quantity]]*SalesData[[#This Row],[Unit Price]]*(1-SalesData[[#This Row],[Discount]])</f>
        <v>2200</v>
      </c>
      <c r="P452" s="8">
        <f>SalesData[[#This Row],[Sales_Check]]-SalesData[[#This Row],[Cost]]</f>
        <v>800</v>
      </c>
      <c r="Q452" s="13">
        <f>IFERROR(SalesData[[#This Row],[Profit]]/SalesData[[#This Row],[Sales]],0)</f>
        <v>0.36363636363636365</v>
      </c>
      <c r="R452" t="str">
        <f>TEXT(SalesData[[#This Row],[Order Date]],"mmm-yyyy")</f>
        <v>Feb-2026</v>
      </c>
      <c r="S452">
        <f>YEAR(SalesData[[#This Row],[Order Date]])</f>
        <v>2026</v>
      </c>
      <c r="T452" t="str">
        <f>IF(SalesData[[#This Row],[Profit Margin]]&gt;=30%,"High",IF(SalesData[[#This Row],[Profit Margin]]&gt;=15%,"Medium","Low"))</f>
        <v>High</v>
      </c>
    </row>
    <row r="453" spans="1:20" x14ac:dyDescent="0.35">
      <c r="A453" t="s">
        <v>862</v>
      </c>
      <c r="B453" s="23" t="s">
        <v>857</v>
      </c>
      <c r="C453" t="s">
        <v>431</v>
      </c>
      <c r="D453" t="s">
        <v>25</v>
      </c>
      <c r="E453" t="s">
        <v>89</v>
      </c>
      <c r="F453" t="s">
        <v>19</v>
      </c>
      <c r="G453" t="s">
        <v>215</v>
      </c>
      <c r="H453" t="s">
        <v>29</v>
      </c>
      <c r="I453">
        <v>10</v>
      </c>
      <c r="J453" s="4">
        <v>550</v>
      </c>
      <c r="K453" s="6">
        <v>0</v>
      </c>
      <c r="L453" s="8">
        <v>5500</v>
      </c>
      <c r="M453" s="8">
        <v>3000</v>
      </c>
      <c r="N453" s="8">
        <v>2500</v>
      </c>
      <c r="O453" s="8">
        <f>SalesData[[#This Row],[Quantity]]*SalesData[[#This Row],[Unit Price]]*(1-SalesData[[#This Row],[Discount]])</f>
        <v>5500</v>
      </c>
      <c r="P453" s="8">
        <f>SalesData[[#This Row],[Sales_Check]]-SalesData[[#This Row],[Cost]]</f>
        <v>2500</v>
      </c>
      <c r="Q453" s="13">
        <f>IFERROR(SalesData[[#This Row],[Profit]]/SalesData[[#This Row],[Sales]],0)</f>
        <v>0.45454545454545453</v>
      </c>
      <c r="R453" t="str">
        <f>TEXT(SalesData[[#This Row],[Order Date]],"mmm-yyyy")</f>
        <v>Feb-2026</v>
      </c>
      <c r="S453">
        <f>YEAR(SalesData[[#This Row],[Order Date]])</f>
        <v>2026</v>
      </c>
      <c r="T453" t="str">
        <f>IF(SalesData[[#This Row],[Profit Margin]]&gt;=30%,"High",IF(SalesData[[#This Row],[Profit Margin]]&gt;=15%,"Medium","Low"))</f>
        <v>High</v>
      </c>
    </row>
    <row r="454" spans="1:20" x14ac:dyDescent="0.35">
      <c r="A454" t="s">
        <v>863</v>
      </c>
      <c r="B454" s="23" t="s">
        <v>864</v>
      </c>
      <c r="C454" t="s">
        <v>31</v>
      </c>
      <c r="D454" t="s">
        <v>54</v>
      </c>
      <c r="E454" t="s">
        <v>103</v>
      </c>
      <c r="F454" t="s">
        <v>37</v>
      </c>
      <c r="G454" t="s">
        <v>38</v>
      </c>
      <c r="H454" t="s">
        <v>125</v>
      </c>
      <c r="I454">
        <v>3</v>
      </c>
      <c r="J454" s="4">
        <v>150</v>
      </c>
      <c r="K454" s="6">
        <v>0</v>
      </c>
      <c r="L454" s="8">
        <v>450</v>
      </c>
      <c r="M454" s="8">
        <v>225</v>
      </c>
      <c r="N454" s="8">
        <v>225</v>
      </c>
      <c r="O454" s="8">
        <f>SalesData[[#This Row],[Quantity]]*SalesData[[#This Row],[Unit Price]]*(1-SalesData[[#This Row],[Discount]])</f>
        <v>450</v>
      </c>
      <c r="P454" s="8">
        <f>SalesData[[#This Row],[Sales_Check]]-SalesData[[#This Row],[Cost]]</f>
        <v>225</v>
      </c>
      <c r="Q454" s="13">
        <f>IFERROR(SalesData[[#This Row],[Profit]]/SalesData[[#This Row],[Sales]],0)</f>
        <v>0.5</v>
      </c>
      <c r="R454" t="str">
        <f>TEXT(SalesData[[#This Row],[Order Date]],"mmm-yyyy")</f>
        <v>Feb-2026</v>
      </c>
      <c r="S454">
        <f>YEAR(SalesData[[#This Row],[Order Date]])</f>
        <v>2026</v>
      </c>
      <c r="T454" t="str">
        <f>IF(SalesData[[#This Row],[Profit Margin]]&gt;=30%,"High",IF(SalesData[[#This Row],[Profit Margin]]&gt;=15%,"Medium","Low"))</f>
        <v>High</v>
      </c>
    </row>
    <row r="455" spans="1:20" x14ac:dyDescent="0.35">
      <c r="A455" t="s">
        <v>865</v>
      </c>
      <c r="B455" s="23" t="s">
        <v>864</v>
      </c>
      <c r="C455" t="s">
        <v>220</v>
      </c>
      <c r="D455" t="s">
        <v>43</v>
      </c>
      <c r="E455" t="s">
        <v>143</v>
      </c>
      <c r="F455" t="s">
        <v>37</v>
      </c>
      <c r="G455" t="s">
        <v>97</v>
      </c>
      <c r="H455" t="s">
        <v>21</v>
      </c>
      <c r="I455">
        <v>7</v>
      </c>
      <c r="J455" s="4">
        <v>650</v>
      </c>
      <c r="K455" s="6">
        <v>0.05</v>
      </c>
      <c r="L455" s="8">
        <v>4322.5</v>
      </c>
      <c r="M455" s="8">
        <v>2450</v>
      </c>
      <c r="N455" s="8">
        <v>1872.5</v>
      </c>
      <c r="O455" s="8">
        <f>SalesData[[#This Row],[Quantity]]*SalesData[[#This Row],[Unit Price]]*(1-SalesData[[#This Row],[Discount]])</f>
        <v>4322.5</v>
      </c>
      <c r="P455" s="8">
        <f>SalesData[[#This Row],[Sales_Check]]-SalesData[[#This Row],[Cost]]</f>
        <v>1872.5</v>
      </c>
      <c r="Q455" s="13">
        <f>IFERROR(SalesData[[#This Row],[Profit]]/SalesData[[#This Row],[Sales]],0)</f>
        <v>0.4331983805668016</v>
      </c>
      <c r="R455" t="str">
        <f>TEXT(SalesData[[#This Row],[Order Date]],"mmm-yyyy")</f>
        <v>Feb-2026</v>
      </c>
      <c r="S455">
        <f>YEAR(SalesData[[#This Row],[Order Date]])</f>
        <v>2026</v>
      </c>
      <c r="T455" t="str">
        <f>IF(SalesData[[#This Row],[Profit Margin]]&gt;=30%,"High",IF(SalesData[[#This Row],[Profit Margin]]&gt;=15%,"Medium","Low"))</f>
        <v>High</v>
      </c>
    </row>
    <row r="456" spans="1:20" x14ac:dyDescent="0.35">
      <c r="A456" t="s">
        <v>866</v>
      </c>
      <c r="B456" s="23" t="s">
        <v>864</v>
      </c>
      <c r="C456" t="s">
        <v>631</v>
      </c>
      <c r="D456" t="s">
        <v>54</v>
      </c>
      <c r="E456" t="s">
        <v>116</v>
      </c>
      <c r="F456" t="s">
        <v>45</v>
      </c>
      <c r="G456" t="s">
        <v>70</v>
      </c>
      <c r="H456" t="s">
        <v>33</v>
      </c>
      <c r="I456">
        <v>9</v>
      </c>
      <c r="J456" s="4">
        <v>450</v>
      </c>
      <c r="K456" s="6">
        <v>0</v>
      </c>
      <c r="L456" s="8">
        <v>4050</v>
      </c>
      <c r="M456" s="8">
        <v>2250</v>
      </c>
      <c r="N456" s="8">
        <v>1800</v>
      </c>
      <c r="O456" s="8">
        <f>SalesData[[#This Row],[Quantity]]*SalesData[[#This Row],[Unit Price]]*(1-SalesData[[#This Row],[Discount]])</f>
        <v>4050</v>
      </c>
      <c r="P456" s="8">
        <f>SalesData[[#This Row],[Sales_Check]]-SalesData[[#This Row],[Cost]]</f>
        <v>1800</v>
      </c>
      <c r="Q456" s="13">
        <f>IFERROR(SalesData[[#This Row],[Profit]]/SalesData[[#This Row],[Sales]],0)</f>
        <v>0.44444444444444442</v>
      </c>
      <c r="R456" t="str">
        <f>TEXT(SalesData[[#This Row],[Order Date]],"mmm-yyyy")</f>
        <v>Feb-2026</v>
      </c>
      <c r="S456">
        <f>YEAR(SalesData[[#This Row],[Order Date]])</f>
        <v>2026</v>
      </c>
      <c r="T456" t="str">
        <f>IF(SalesData[[#This Row],[Profit Margin]]&gt;=30%,"High",IF(SalesData[[#This Row],[Profit Margin]]&gt;=15%,"Medium","Low"))</f>
        <v>High</v>
      </c>
    </row>
    <row r="457" spans="1:20" x14ac:dyDescent="0.35">
      <c r="A457" t="s">
        <v>867</v>
      </c>
      <c r="B457" s="23" t="s">
        <v>868</v>
      </c>
      <c r="C457" t="s">
        <v>390</v>
      </c>
      <c r="D457" t="s">
        <v>25</v>
      </c>
      <c r="E457" t="s">
        <v>36</v>
      </c>
      <c r="F457" t="s">
        <v>37</v>
      </c>
      <c r="G457" t="s">
        <v>38</v>
      </c>
      <c r="H457" t="s">
        <v>47</v>
      </c>
      <c r="I457">
        <v>10</v>
      </c>
      <c r="J457" s="4">
        <v>700</v>
      </c>
      <c r="K457" s="6">
        <v>0</v>
      </c>
      <c r="L457" s="8">
        <v>7000</v>
      </c>
      <c r="M457" s="8">
        <v>4000</v>
      </c>
      <c r="N457" s="8">
        <v>3000</v>
      </c>
      <c r="O457" s="8">
        <f>SalesData[[#This Row],[Quantity]]*SalesData[[#This Row],[Unit Price]]*(1-SalesData[[#This Row],[Discount]])</f>
        <v>7000</v>
      </c>
      <c r="P457" s="8">
        <f>SalesData[[#This Row],[Sales_Check]]-SalesData[[#This Row],[Cost]]</f>
        <v>3000</v>
      </c>
      <c r="Q457" s="13">
        <f>IFERROR(SalesData[[#This Row],[Profit]]/SalesData[[#This Row],[Sales]],0)</f>
        <v>0.42857142857142855</v>
      </c>
      <c r="R457" t="str">
        <f>TEXT(SalesData[[#This Row],[Order Date]],"mmm-yyyy")</f>
        <v>Feb-2026</v>
      </c>
      <c r="S457">
        <f>YEAR(SalesData[[#This Row],[Order Date]])</f>
        <v>2026</v>
      </c>
      <c r="T457" t="str">
        <f>IF(SalesData[[#This Row],[Profit Margin]]&gt;=30%,"High",IF(SalesData[[#This Row],[Profit Margin]]&gt;=15%,"Medium","Low"))</f>
        <v>High</v>
      </c>
    </row>
    <row r="458" spans="1:20" x14ac:dyDescent="0.35">
      <c r="A458" t="s">
        <v>869</v>
      </c>
      <c r="B458" s="23" t="s">
        <v>868</v>
      </c>
      <c r="C458" t="s">
        <v>711</v>
      </c>
      <c r="D458" t="s">
        <v>43</v>
      </c>
      <c r="E458" t="s">
        <v>44</v>
      </c>
      <c r="F458" t="s">
        <v>45</v>
      </c>
      <c r="G458" t="s">
        <v>122</v>
      </c>
      <c r="H458" t="s">
        <v>125</v>
      </c>
      <c r="I458">
        <v>1</v>
      </c>
      <c r="J458" s="4">
        <v>2200</v>
      </c>
      <c r="K458" s="6">
        <v>0.05</v>
      </c>
      <c r="L458" s="8">
        <v>2090</v>
      </c>
      <c r="M458" s="8">
        <v>1450</v>
      </c>
      <c r="N458" s="8">
        <v>640</v>
      </c>
      <c r="O458" s="8">
        <f>SalesData[[#This Row],[Quantity]]*SalesData[[#This Row],[Unit Price]]*(1-SalesData[[#This Row],[Discount]])</f>
        <v>2090</v>
      </c>
      <c r="P458" s="8">
        <f>SalesData[[#This Row],[Sales_Check]]-SalesData[[#This Row],[Cost]]</f>
        <v>640</v>
      </c>
      <c r="Q458" s="13">
        <f>IFERROR(SalesData[[#This Row],[Profit]]/SalesData[[#This Row],[Sales]],0)</f>
        <v>0.30622009569377989</v>
      </c>
      <c r="R458" t="str">
        <f>TEXT(SalesData[[#This Row],[Order Date]],"mmm-yyyy")</f>
        <v>Feb-2026</v>
      </c>
      <c r="S458">
        <f>YEAR(SalesData[[#This Row],[Order Date]])</f>
        <v>2026</v>
      </c>
      <c r="T458" t="str">
        <f>IF(SalesData[[#This Row],[Profit Margin]]&gt;=30%,"High",IF(SalesData[[#This Row],[Profit Margin]]&gt;=15%,"Medium","Low"))</f>
        <v>High</v>
      </c>
    </row>
    <row r="459" spans="1:20" x14ac:dyDescent="0.35">
      <c r="A459" t="s">
        <v>870</v>
      </c>
      <c r="B459" s="23" t="s">
        <v>868</v>
      </c>
      <c r="C459" t="s">
        <v>224</v>
      </c>
      <c r="D459" t="s">
        <v>54</v>
      </c>
      <c r="E459" t="s">
        <v>55</v>
      </c>
      <c r="F459" t="s">
        <v>19</v>
      </c>
      <c r="G459" t="s">
        <v>215</v>
      </c>
      <c r="H459" t="s">
        <v>21</v>
      </c>
      <c r="I459">
        <v>10</v>
      </c>
      <c r="J459" s="4">
        <v>180</v>
      </c>
      <c r="K459" s="6">
        <v>0</v>
      </c>
      <c r="L459" s="8">
        <v>1800</v>
      </c>
      <c r="M459" s="8">
        <v>900</v>
      </c>
      <c r="N459" s="8">
        <v>900</v>
      </c>
      <c r="O459" s="8">
        <f>SalesData[[#This Row],[Quantity]]*SalesData[[#This Row],[Unit Price]]*(1-SalesData[[#This Row],[Discount]])</f>
        <v>1800</v>
      </c>
      <c r="P459" s="8">
        <f>SalesData[[#This Row],[Sales_Check]]-SalesData[[#This Row],[Cost]]</f>
        <v>900</v>
      </c>
      <c r="Q459" s="13">
        <f>IFERROR(SalesData[[#This Row],[Profit]]/SalesData[[#This Row],[Sales]],0)</f>
        <v>0.5</v>
      </c>
      <c r="R459" t="str">
        <f>TEXT(SalesData[[#This Row],[Order Date]],"mmm-yyyy")</f>
        <v>Feb-2026</v>
      </c>
      <c r="S459">
        <f>YEAR(SalesData[[#This Row],[Order Date]])</f>
        <v>2026</v>
      </c>
      <c r="T459" t="str">
        <f>IF(SalesData[[#This Row],[Profit Margin]]&gt;=30%,"High",IF(SalesData[[#This Row],[Profit Margin]]&gt;=15%,"Medium","Low"))</f>
        <v>High</v>
      </c>
    </row>
    <row r="460" spans="1:20" x14ac:dyDescent="0.35">
      <c r="A460" t="s">
        <v>871</v>
      </c>
      <c r="B460" s="23" t="s">
        <v>872</v>
      </c>
      <c r="C460" t="s">
        <v>602</v>
      </c>
      <c r="D460" t="s">
        <v>17</v>
      </c>
      <c r="E460" t="s">
        <v>65</v>
      </c>
      <c r="F460" t="s">
        <v>19</v>
      </c>
      <c r="G460" t="s">
        <v>56</v>
      </c>
      <c r="H460" t="s">
        <v>47</v>
      </c>
      <c r="I460">
        <v>1</v>
      </c>
      <c r="J460" s="4">
        <v>2200</v>
      </c>
      <c r="K460" s="6">
        <v>0.1</v>
      </c>
      <c r="L460" s="8">
        <v>1980</v>
      </c>
      <c r="M460" s="8">
        <v>1400</v>
      </c>
      <c r="N460" s="8">
        <v>580</v>
      </c>
      <c r="O460" s="8">
        <f>SalesData[[#This Row],[Quantity]]*SalesData[[#This Row],[Unit Price]]*(1-SalesData[[#This Row],[Discount]])</f>
        <v>1980</v>
      </c>
      <c r="P460" s="8">
        <f>SalesData[[#This Row],[Sales_Check]]-SalesData[[#This Row],[Cost]]</f>
        <v>580</v>
      </c>
      <c r="Q460" s="13">
        <f>IFERROR(SalesData[[#This Row],[Profit]]/SalesData[[#This Row],[Sales]],0)</f>
        <v>0.29292929292929293</v>
      </c>
      <c r="R460" t="str">
        <f>TEXT(SalesData[[#This Row],[Order Date]],"mmm-yyyy")</f>
        <v>Feb-2026</v>
      </c>
      <c r="S460">
        <f>YEAR(SalesData[[#This Row],[Order Date]])</f>
        <v>2026</v>
      </c>
      <c r="T460" t="str">
        <f>IF(SalesData[[#This Row],[Profit Margin]]&gt;=30%,"High",IF(SalesData[[#This Row],[Profit Margin]]&gt;=15%,"Medium","Low"))</f>
        <v>Medium</v>
      </c>
    </row>
    <row r="461" spans="1:20" x14ac:dyDescent="0.35">
      <c r="A461" t="s">
        <v>873</v>
      </c>
      <c r="B461" s="23" t="s">
        <v>872</v>
      </c>
      <c r="C461" t="s">
        <v>602</v>
      </c>
      <c r="D461" t="s">
        <v>17</v>
      </c>
      <c r="E461" t="s">
        <v>124</v>
      </c>
      <c r="F461" t="s">
        <v>37</v>
      </c>
      <c r="G461" t="s">
        <v>38</v>
      </c>
      <c r="H461" t="s">
        <v>125</v>
      </c>
      <c r="I461">
        <v>7</v>
      </c>
      <c r="J461" s="4">
        <v>1200</v>
      </c>
      <c r="K461" s="6">
        <v>0</v>
      </c>
      <c r="L461" s="8">
        <v>8400</v>
      </c>
      <c r="M461" s="8">
        <v>5040</v>
      </c>
      <c r="N461" s="8">
        <v>3360</v>
      </c>
      <c r="O461" s="8">
        <f>SalesData[[#This Row],[Quantity]]*SalesData[[#This Row],[Unit Price]]*(1-SalesData[[#This Row],[Discount]])</f>
        <v>8400</v>
      </c>
      <c r="P461" s="8">
        <f>SalesData[[#This Row],[Sales_Check]]-SalesData[[#This Row],[Cost]]</f>
        <v>3360</v>
      </c>
      <c r="Q461" s="13">
        <f>IFERROR(SalesData[[#This Row],[Profit]]/SalesData[[#This Row],[Sales]],0)</f>
        <v>0.4</v>
      </c>
      <c r="R461" t="str">
        <f>TEXT(SalesData[[#This Row],[Order Date]],"mmm-yyyy")</f>
        <v>Feb-2026</v>
      </c>
      <c r="S461">
        <f>YEAR(SalesData[[#This Row],[Order Date]])</f>
        <v>2026</v>
      </c>
      <c r="T461" t="str">
        <f>IF(SalesData[[#This Row],[Profit Margin]]&gt;=30%,"High",IF(SalesData[[#This Row],[Profit Margin]]&gt;=15%,"Medium","Low"))</f>
        <v>High</v>
      </c>
    </row>
    <row r="462" spans="1:20" x14ac:dyDescent="0.35">
      <c r="A462" t="s">
        <v>874</v>
      </c>
      <c r="B462" s="23" t="s">
        <v>875</v>
      </c>
      <c r="C462" t="s">
        <v>876</v>
      </c>
      <c r="D462" t="s">
        <v>17</v>
      </c>
      <c r="E462" t="s">
        <v>50</v>
      </c>
      <c r="F462" t="s">
        <v>27</v>
      </c>
      <c r="G462" t="s">
        <v>51</v>
      </c>
      <c r="H462" t="s">
        <v>39</v>
      </c>
      <c r="I462">
        <v>10</v>
      </c>
      <c r="J462" s="4">
        <v>650</v>
      </c>
      <c r="K462" s="6">
        <v>0.1</v>
      </c>
      <c r="L462" s="8">
        <v>5850</v>
      </c>
      <c r="M462" s="8">
        <v>3800</v>
      </c>
      <c r="N462" s="8">
        <v>2050</v>
      </c>
      <c r="O462" s="8">
        <f>SalesData[[#This Row],[Quantity]]*SalesData[[#This Row],[Unit Price]]*(1-SalesData[[#This Row],[Discount]])</f>
        <v>5850</v>
      </c>
      <c r="P462" s="8">
        <f>SalesData[[#This Row],[Sales_Check]]-SalesData[[#This Row],[Cost]]</f>
        <v>2050</v>
      </c>
      <c r="Q462" s="13">
        <f>IFERROR(SalesData[[#This Row],[Profit]]/SalesData[[#This Row],[Sales]],0)</f>
        <v>0.3504273504273504</v>
      </c>
      <c r="R462" t="str">
        <f>TEXT(SalesData[[#This Row],[Order Date]],"mmm-yyyy")</f>
        <v>Feb-2026</v>
      </c>
      <c r="S462">
        <f>YEAR(SalesData[[#This Row],[Order Date]])</f>
        <v>2026</v>
      </c>
      <c r="T462" t="str">
        <f>IF(SalesData[[#This Row],[Profit Margin]]&gt;=30%,"High",IF(SalesData[[#This Row],[Profit Margin]]&gt;=15%,"Medium","Low"))</f>
        <v>High</v>
      </c>
    </row>
    <row r="463" spans="1:20" x14ac:dyDescent="0.35">
      <c r="A463" t="s">
        <v>877</v>
      </c>
      <c r="B463" s="23" t="s">
        <v>875</v>
      </c>
      <c r="C463" t="s">
        <v>878</v>
      </c>
      <c r="D463" t="s">
        <v>25</v>
      </c>
      <c r="E463" t="s">
        <v>69</v>
      </c>
      <c r="F463" t="s">
        <v>19</v>
      </c>
      <c r="G463" t="s">
        <v>113</v>
      </c>
      <c r="H463" t="s">
        <v>21</v>
      </c>
      <c r="I463">
        <v>3</v>
      </c>
      <c r="J463" s="4">
        <v>350</v>
      </c>
      <c r="K463" s="6">
        <v>0</v>
      </c>
      <c r="L463" s="8">
        <v>1050</v>
      </c>
      <c r="M463" s="8">
        <v>540</v>
      </c>
      <c r="N463" s="8">
        <v>510</v>
      </c>
      <c r="O463" s="8">
        <f>SalesData[[#This Row],[Quantity]]*SalesData[[#This Row],[Unit Price]]*(1-SalesData[[#This Row],[Discount]])</f>
        <v>1050</v>
      </c>
      <c r="P463" s="8">
        <f>SalesData[[#This Row],[Sales_Check]]-SalesData[[#This Row],[Cost]]</f>
        <v>510</v>
      </c>
      <c r="Q463" s="13">
        <f>IFERROR(SalesData[[#This Row],[Profit]]/SalesData[[#This Row],[Sales]],0)</f>
        <v>0.48571428571428571</v>
      </c>
      <c r="R463" t="str">
        <f>TEXT(SalesData[[#This Row],[Order Date]],"mmm-yyyy")</f>
        <v>Feb-2026</v>
      </c>
      <c r="S463">
        <f>YEAR(SalesData[[#This Row],[Order Date]])</f>
        <v>2026</v>
      </c>
      <c r="T463" t="str">
        <f>IF(SalesData[[#This Row],[Profit Margin]]&gt;=30%,"High",IF(SalesData[[#This Row],[Profit Margin]]&gt;=15%,"Medium","Low"))</f>
        <v>High</v>
      </c>
    </row>
    <row r="464" spans="1:20" x14ac:dyDescent="0.35">
      <c r="A464" t="s">
        <v>879</v>
      </c>
      <c r="B464" s="23" t="s">
        <v>875</v>
      </c>
      <c r="C464" t="s">
        <v>163</v>
      </c>
      <c r="D464" t="s">
        <v>25</v>
      </c>
      <c r="E464" t="s">
        <v>80</v>
      </c>
      <c r="F464" t="s">
        <v>19</v>
      </c>
      <c r="G464" t="s">
        <v>215</v>
      </c>
      <c r="H464" t="s">
        <v>47</v>
      </c>
      <c r="I464">
        <v>8</v>
      </c>
      <c r="J464" s="4">
        <v>950</v>
      </c>
      <c r="K464" s="6">
        <v>0</v>
      </c>
      <c r="L464" s="8">
        <v>7600</v>
      </c>
      <c r="M464" s="8">
        <v>4480</v>
      </c>
      <c r="N464" s="8">
        <v>3120</v>
      </c>
      <c r="O464" s="8">
        <f>SalesData[[#This Row],[Quantity]]*SalesData[[#This Row],[Unit Price]]*(1-SalesData[[#This Row],[Discount]])</f>
        <v>7600</v>
      </c>
      <c r="P464" s="8">
        <f>SalesData[[#This Row],[Sales_Check]]-SalesData[[#This Row],[Cost]]</f>
        <v>3120</v>
      </c>
      <c r="Q464" s="13">
        <f>IFERROR(SalesData[[#This Row],[Profit]]/SalesData[[#This Row],[Sales]],0)</f>
        <v>0.41052631578947368</v>
      </c>
      <c r="R464" t="str">
        <f>TEXT(SalesData[[#This Row],[Order Date]],"mmm-yyyy")</f>
        <v>Feb-2026</v>
      </c>
      <c r="S464">
        <f>YEAR(SalesData[[#This Row],[Order Date]])</f>
        <v>2026</v>
      </c>
      <c r="T464" t="str">
        <f>IF(SalesData[[#This Row],[Profit Margin]]&gt;=30%,"High",IF(SalesData[[#This Row],[Profit Margin]]&gt;=15%,"Medium","Low"))</f>
        <v>High</v>
      </c>
    </row>
    <row r="465" spans="1:20" x14ac:dyDescent="0.35">
      <c r="A465" t="s">
        <v>880</v>
      </c>
      <c r="B465" s="23" t="s">
        <v>875</v>
      </c>
      <c r="C465" t="s">
        <v>364</v>
      </c>
      <c r="D465" t="s">
        <v>17</v>
      </c>
      <c r="E465" t="s">
        <v>18</v>
      </c>
      <c r="F465" t="s">
        <v>27</v>
      </c>
      <c r="G465" t="s">
        <v>85</v>
      </c>
      <c r="H465" t="s">
        <v>33</v>
      </c>
      <c r="I465">
        <v>3</v>
      </c>
      <c r="J465" s="4">
        <v>1800</v>
      </c>
      <c r="K465" s="6">
        <v>0</v>
      </c>
      <c r="L465" s="8">
        <v>5400</v>
      </c>
      <c r="M465" s="8">
        <v>3300</v>
      </c>
      <c r="N465" s="8">
        <v>2100</v>
      </c>
      <c r="O465" s="8">
        <f>SalesData[[#This Row],[Quantity]]*SalesData[[#This Row],[Unit Price]]*(1-SalesData[[#This Row],[Discount]])</f>
        <v>5400</v>
      </c>
      <c r="P465" s="8">
        <f>SalesData[[#This Row],[Sales_Check]]-SalesData[[#This Row],[Cost]]</f>
        <v>2100</v>
      </c>
      <c r="Q465" s="13">
        <f>IFERROR(SalesData[[#This Row],[Profit]]/SalesData[[#This Row],[Sales]],0)</f>
        <v>0.3888888888888889</v>
      </c>
      <c r="R465" t="str">
        <f>TEXT(SalesData[[#This Row],[Order Date]],"mmm-yyyy")</f>
        <v>Feb-2026</v>
      </c>
      <c r="S465">
        <f>YEAR(SalesData[[#This Row],[Order Date]])</f>
        <v>2026</v>
      </c>
      <c r="T465" t="str">
        <f>IF(SalesData[[#This Row],[Profit Margin]]&gt;=30%,"High",IF(SalesData[[#This Row],[Profit Margin]]&gt;=15%,"Medium","Low"))</f>
        <v>High</v>
      </c>
    </row>
    <row r="466" spans="1:20" x14ac:dyDescent="0.35">
      <c r="A466" t="s">
        <v>881</v>
      </c>
      <c r="B466" s="23" t="s">
        <v>875</v>
      </c>
      <c r="C466" t="s">
        <v>723</v>
      </c>
      <c r="D466" t="s">
        <v>17</v>
      </c>
      <c r="E466" t="s">
        <v>50</v>
      </c>
      <c r="F466" t="s">
        <v>37</v>
      </c>
      <c r="G466" t="s">
        <v>38</v>
      </c>
      <c r="H466" t="s">
        <v>33</v>
      </c>
      <c r="I466">
        <v>1</v>
      </c>
      <c r="J466" s="4">
        <v>650</v>
      </c>
      <c r="K466" s="6">
        <v>0.05</v>
      </c>
      <c r="L466" s="8">
        <v>617.5</v>
      </c>
      <c r="M466" s="8">
        <v>380</v>
      </c>
      <c r="N466" s="8">
        <v>237.5</v>
      </c>
      <c r="O466" s="8">
        <f>SalesData[[#This Row],[Quantity]]*SalesData[[#This Row],[Unit Price]]*(1-SalesData[[#This Row],[Discount]])</f>
        <v>617.5</v>
      </c>
      <c r="P466" s="8">
        <f>SalesData[[#This Row],[Sales_Check]]-SalesData[[#This Row],[Cost]]</f>
        <v>237.5</v>
      </c>
      <c r="Q466" s="13">
        <f>IFERROR(SalesData[[#This Row],[Profit]]/SalesData[[#This Row],[Sales]],0)</f>
        <v>0.38461538461538464</v>
      </c>
      <c r="R466" t="str">
        <f>TEXT(SalesData[[#This Row],[Order Date]],"mmm-yyyy")</f>
        <v>Feb-2026</v>
      </c>
      <c r="S466">
        <f>YEAR(SalesData[[#This Row],[Order Date]])</f>
        <v>2026</v>
      </c>
      <c r="T466" t="str">
        <f>IF(SalesData[[#This Row],[Profit Margin]]&gt;=30%,"High",IF(SalesData[[#This Row],[Profit Margin]]&gt;=15%,"Medium","Low"))</f>
        <v>High</v>
      </c>
    </row>
    <row r="467" spans="1:20" x14ac:dyDescent="0.35">
      <c r="A467" t="s">
        <v>882</v>
      </c>
      <c r="B467" s="23" t="s">
        <v>875</v>
      </c>
      <c r="C467" t="s">
        <v>16</v>
      </c>
      <c r="D467" t="s">
        <v>17</v>
      </c>
      <c r="E467" t="s">
        <v>18</v>
      </c>
      <c r="F467" t="s">
        <v>45</v>
      </c>
      <c r="G467" t="s">
        <v>70</v>
      </c>
      <c r="H467" t="s">
        <v>125</v>
      </c>
      <c r="I467">
        <v>4</v>
      </c>
      <c r="J467" s="4">
        <v>1800</v>
      </c>
      <c r="K467" s="6">
        <v>0.1</v>
      </c>
      <c r="L467" s="8">
        <v>6480</v>
      </c>
      <c r="M467" s="8">
        <v>4400</v>
      </c>
      <c r="N467" s="8">
        <v>2080</v>
      </c>
      <c r="O467" s="8">
        <f>SalesData[[#This Row],[Quantity]]*SalesData[[#This Row],[Unit Price]]*(1-SalesData[[#This Row],[Discount]])</f>
        <v>6480</v>
      </c>
      <c r="P467" s="8">
        <f>SalesData[[#This Row],[Sales_Check]]-SalesData[[#This Row],[Cost]]</f>
        <v>2080</v>
      </c>
      <c r="Q467" s="13">
        <f>IFERROR(SalesData[[#This Row],[Profit]]/SalesData[[#This Row],[Sales]],0)</f>
        <v>0.32098765432098764</v>
      </c>
      <c r="R467" t="str">
        <f>TEXT(SalesData[[#This Row],[Order Date]],"mmm-yyyy")</f>
        <v>Feb-2026</v>
      </c>
      <c r="S467">
        <f>YEAR(SalesData[[#This Row],[Order Date]])</f>
        <v>2026</v>
      </c>
      <c r="T467" t="str">
        <f>IF(SalesData[[#This Row],[Profit Margin]]&gt;=30%,"High",IF(SalesData[[#This Row],[Profit Margin]]&gt;=15%,"Medium","Low"))</f>
        <v>High</v>
      </c>
    </row>
    <row r="468" spans="1:20" x14ac:dyDescent="0.35">
      <c r="A468" t="s">
        <v>883</v>
      </c>
      <c r="B468" s="23" t="s">
        <v>875</v>
      </c>
      <c r="C468" t="s">
        <v>410</v>
      </c>
      <c r="D468" t="s">
        <v>54</v>
      </c>
      <c r="E468" t="s">
        <v>55</v>
      </c>
      <c r="F468" t="s">
        <v>37</v>
      </c>
      <c r="G468" t="s">
        <v>38</v>
      </c>
      <c r="H468" t="s">
        <v>21</v>
      </c>
      <c r="I468">
        <v>7</v>
      </c>
      <c r="J468" s="4">
        <v>180</v>
      </c>
      <c r="K468" s="6">
        <v>0.15</v>
      </c>
      <c r="L468" s="8">
        <v>1071</v>
      </c>
      <c r="M468" s="8">
        <v>630</v>
      </c>
      <c r="N468" s="8">
        <v>441</v>
      </c>
      <c r="O468" s="8">
        <f>SalesData[[#This Row],[Quantity]]*SalesData[[#This Row],[Unit Price]]*(1-SalesData[[#This Row],[Discount]])</f>
        <v>1071</v>
      </c>
      <c r="P468" s="8">
        <f>SalesData[[#This Row],[Sales_Check]]-SalesData[[#This Row],[Cost]]</f>
        <v>441</v>
      </c>
      <c r="Q468" s="13">
        <f>IFERROR(SalesData[[#This Row],[Profit]]/SalesData[[#This Row],[Sales]],0)</f>
        <v>0.41176470588235292</v>
      </c>
      <c r="R468" t="str">
        <f>TEXT(SalesData[[#This Row],[Order Date]],"mmm-yyyy")</f>
        <v>Feb-2026</v>
      </c>
      <c r="S468">
        <f>YEAR(SalesData[[#This Row],[Order Date]])</f>
        <v>2026</v>
      </c>
      <c r="T468" t="str">
        <f>IF(SalesData[[#This Row],[Profit Margin]]&gt;=30%,"High",IF(SalesData[[#This Row],[Profit Margin]]&gt;=15%,"Medium","Low"))</f>
        <v>High</v>
      </c>
    </row>
    <row r="469" spans="1:20" x14ac:dyDescent="0.35">
      <c r="A469" t="s">
        <v>884</v>
      </c>
      <c r="B469" s="23" t="s">
        <v>875</v>
      </c>
      <c r="C469" t="s">
        <v>861</v>
      </c>
      <c r="D469" t="s">
        <v>54</v>
      </c>
      <c r="E469" t="s">
        <v>107</v>
      </c>
      <c r="F469" t="s">
        <v>45</v>
      </c>
      <c r="G469" t="s">
        <v>70</v>
      </c>
      <c r="H469" t="s">
        <v>33</v>
      </c>
      <c r="I469">
        <v>1</v>
      </c>
      <c r="J469" s="4">
        <v>120</v>
      </c>
      <c r="K469" s="6">
        <v>0</v>
      </c>
      <c r="L469" s="8">
        <v>120</v>
      </c>
      <c r="M469" s="8">
        <v>55</v>
      </c>
      <c r="N469" s="8">
        <v>65</v>
      </c>
      <c r="O469" s="8">
        <f>SalesData[[#This Row],[Quantity]]*SalesData[[#This Row],[Unit Price]]*(1-SalesData[[#This Row],[Discount]])</f>
        <v>120</v>
      </c>
      <c r="P469" s="8">
        <f>SalesData[[#This Row],[Sales_Check]]-SalesData[[#This Row],[Cost]]</f>
        <v>65</v>
      </c>
      <c r="Q469" s="13">
        <f>IFERROR(SalesData[[#This Row],[Profit]]/SalesData[[#This Row],[Sales]],0)</f>
        <v>0.54166666666666663</v>
      </c>
      <c r="R469" t="str">
        <f>TEXT(SalesData[[#This Row],[Order Date]],"mmm-yyyy")</f>
        <v>Feb-2026</v>
      </c>
      <c r="S469">
        <f>YEAR(SalesData[[#This Row],[Order Date]])</f>
        <v>2026</v>
      </c>
      <c r="T469" t="str">
        <f>IF(SalesData[[#This Row],[Profit Margin]]&gt;=30%,"High",IF(SalesData[[#This Row],[Profit Margin]]&gt;=15%,"Medium","Low"))</f>
        <v>High</v>
      </c>
    </row>
    <row r="470" spans="1:20" x14ac:dyDescent="0.35">
      <c r="A470" t="s">
        <v>885</v>
      </c>
      <c r="B470" s="23" t="s">
        <v>875</v>
      </c>
      <c r="C470" t="s">
        <v>296</v>
      </c>
      <c r="D470" t="s">
        <v>54</v>
      </c>
      <c r="E470" t="s">
        <v>107</v>
      </c>
      <c r="F470" t="s">
        <v>45</v>
      </c>
      <c r="G470" t="s">
        <v>122</v>
      </c>
      <c r="H470" t="s">
        <v>47</v>
      </c>
      <c r="I470">
        <v>10</v>
      </c>
      <c r="J470" s="4">
        <v>120</v>
      </c>
      <c r="K470" s="6">
        <v>0</v>
      </c>
      <c r="L470" s="8">
        <v>1200</v>
      </c>
      <c r="M470" s="8">
        <v>550</v>
      </c>
      <c r="N470" s="8">
        <v>650</v>
      </c>
      <c r="O470" s="8">
        <f>SalesData[[#This Row],[Quantity]]*SalesData[[#This Row],[Unit Price]]*(1-SalesData[[#This Row],[Discount]])</f>
        <v>1200</v>
      </c>
      <c r="P470" s="8">
        <f>SalesData[[#This Row],[Sales_Check]]-SalesData[[#This Row],[Cost]]</f>
        <v>650</v>
      </c>
      <c r="Q470" s="13">
        <f>IFERROR(SalesData[[#This Row],[Profit]]/SalesData[[#This Row],[Sales]],0)</f>
        <v>0.54166666666666663</v>
      </c>
      <c r="R470" t="str">
        <f>TEXT(SalesData[[#This Row],[Order Date]],"mmm-yyyy")</f>
        <v>Feb-2026</v>
      </c>
      <c r="S470">
        <f>YEAR(SalesData[[#This Row],[Order Date]])</f>
        <v>2026</v>
      </c>
      <c r="T470" t="str">
        <f>IF(SalesData[[#This Row],[Profit Margin]]&gt;=30%,"High",IF(SalesData[[#This Row],[Profit Margin]]&gt;=15%,"Medium","Low"))</f>
        <v>High</v>
      </c>
    </row>
    <row r="471" spans="1:20" x14ac:dyDescent="0.35">
      <c r="A471" t="s">
        <v>886</v>
      </c>
      <c r="B471" s="23" t="s">
        <v>887</v>
      </c>
      <c r="C471" t="s">
        <v>173</v>
      </c>
      <c r="D471" t="s">
        <v>43</v>
      </c>
      <c r="E471" t="s">
        <v>250</v>
      </c>
      <c r="F471" t="s">
        <v>45</v>
      </c>
      <c r="G471" t="s">
        <v>104</v>
      </c>
      <c r="H471" t="s">
        <v>47</v>
      </c>
      <c r="I471">
        <v>5</v>
      </c>
      <c r="J471" s="4">
        <v>900</v>
      </c>
      <c r="K471" s="6">
        <v>0</v>
      </c>
      <c r="L471" s="8">
        <v>4500</v>
      </c>
      <c r="M471" s="8">
        <v>2600</v>
      </c>
      <c r="N471" s="8">
        <v>1900</v>
      </c>
      <c r="O471" s="8">
        <f>SalesData[[#This Row],[Quantity]]*SalesData[[#This Row],[Unit Price]]*(1-SalesData[[#This Row],[Discount]])</f>
        <v>4500</v>
      </c>
      <c r="P471" s="8">
        <f>SalesData[[#This Row],[Sales_Check]]-SalesData[[#This Row],[Cost]]</f>
        <v>1900</v>
      </c>
      <c r="Q471" s="13">
        <f>IFERROR(SalesData[[#This Row],[Profit]]/SalesData[[#This Row],[Sales]],0)</f>
        <v>0.42222222222222222</v>
      </c>
      <c r="R471" t="str">
        <f>TEXT(SalesData[[#This Row],[Order Date]],"mmm-yyyy")</f>
        <v>Mar-2026</v>
      </c>
      <c r="S471">
        <f>YEAR(SalesData[[#This Row],[Order Date]])</f>
        <v>2026</v>
      </c>
      <c r="T471" t="str">
        <f>IF(SalesData[[#This Row],[Profit Margin]]&gt;=30%,"High",IF(SalesData[[#This Row],[Profit Margin]]&gt;=15%,"Medium","Low"))</f>
        <v>High</v>
      </c>
    </row>
    <row r="472" spans="1:20" x14ac:dyDescent="0.35">
      <c r="A472" t="s">
        <v>888</v>
      </c>
      <c r="B472" s="23" t="s">
        <v>887</v>
      </c>
      <c r="C472" t="s">
        <v>53</v>
      </c>
      <c r="D472" t="s">
        <v>54</v>
      </c>
      <c r="E472" t="s">
        <v>55</v>
      </c>
      <c r="F472" t="s">
        <v>19</v>
      </c>
      <c r="G472" t="s">
        <v>215</v>
      </c>
      <c r="H472" t="s">
        <v>125</v>
      </c>
      <c r="I472">
        <v>6</v>
      </c>
      <c r="J472" s="4">
        <v>180</v>
      </c>
      <c r="K472" s="6">
        <v>0.05</v>
      </c>
      <c r="L472" s="8">
        <v>1026</v>
      </c>
      <c r="M472" s="8">
        <v>540</v>
      </c>
      <c r="N472" s="8">
        <v>486</v>
      </c>
      <c r="O472" s="8">
        <f>SalesData[[#This Row],[Quantity]]*SalesData[[#This Row],[Unit Price]]*(1-SalesData[[#This Row],[Discount]])</f>
        <v>1026</v>
      </c>
      <c r="P472" s="8">
        <f>SalesData[[#This Row],[Sales_Check]]-SalesData[[#This Row],[Cost]]</f>
        <v>486</v>
      </c>
      <c r="Q472" s="13">
        <f>IFERROR(SalesData[[#This Row],[Profit]]/SalesData[[#This Row],[Sales]],0)</f>
        <v>0.47368421052631576</v>
      </c>
      <c r="R472" t="str">
        <f>TEXT(SalesData[[#This Row],[Order Date]],"mmm-yyyy")</f>
        <v>Mar-2026</v>
      </c>
      <c r="S472">
        <f>YEAR(SalesData[[#This Row],[Order Date]])</f>
        <v>2026</v>
      </c>
      <c r="T472" t="str">
        <f>IF(SalesData[[#This Row],[Profit Margin]]&gt;=30%,"High",IF(SalesData[[#This Row],[Profit Margin]]&gt;=15%,"Medium","Low"))</f>
        <v>High</v>
      </c>
    </row>
    <row r="473" spans="1:20" x14ac:dyDescent="0.35">
      <c r="A473" t="s">
        <v>889</v>
      </c>
      <c r="B473" s="23" t="s">
        <v>887</v>
      </c>
      <c r="C473" t="s">
        <v>802</v>
      </c>
      <c r="D473" t="s">
        <v>43</v>
      </c>
      <c r="E473" t="s">
        <v>169</v>
      </c>
      <c r="F473" t="s">
        <v>45</v>
      </c>
      <c r="G473" t="s">
        <v>104</v>
      </c>
      <c r="H473" t="s">
        <v>39</v>
      </c>
      <c r="I473">
        <v>3</v>
      </c>
      <c r="J473" s="4">
        <v>350</v>
      </c>
      <c r="K473" s="6">
        <v>0</v>
      </c>
      <c r="L473" s="8">
        <v>1050</v>
      </c>
      <c r="M473" s="8">
        <v>510</v>
      </c>
      <c r="N473" s="8">
        <v>540</v>
      </c>
      <c r="O473" s="8">
        <f>SalesData[[#This Row],[Quantity]]*SalesData[[#This Row],[Unit Price]]*(1-SalesData[[#This Row],[Discount]])</f>
        <v>1050</v>
      </c>
      <c r="P473" s="8">
        <f>SalesData[[#This Row],[Sales_Check]]-SalesData[[#This Row],[Cost]]</f>
        <v>540</v>
      </c>
      <c r="Q473" s="13">
        <f>IFERROR(SalesData[[#This Row],[Profit]]/SalesData[[#This Row],[Sales]],0)</f>
        <v>0.51428571428571423</v>
      </c>
      <c r="R473" t="str">
        <f>TEXT(SalesData[[#This Row],[Order Date]],"mmm-yyyy")</f>
        <v>Mar-2026</v>
      </c>
      <c r="S473">
        <f>YEAR(SalesData[[#This Row],[Order Date]])</f>
        <v>2026</v>
      </c>
      <c r="T473" t="str">
        <f>IF(SalesData[[#This Row],[Profit Margin]]&gt;=30%,"High",IF(SalesData[[#This Row],[Profit Margin]]&gt;=15%,"Medium","Low"))</f>
        <v>High</v>
      </c>
    </row>
    <row r="474" spans="1:20" x14ac:dyDescent="0.35">
      <c r="A474" t="s">
        <v>890</v>
      </c>
      <c r="B474" s="23" t="s">
        <v>887</v>
      </c>
      <c r="C474" t="s">
        <v>736</v>
      </c>
      <c r="D474" t="s">
        <v>43</v>
      </c>
      <c r="E474" t="s">
        <v>143</v>
      </c>
      <c r="F474" t="s">
        <v>19</v>
      </c>
      <c r="G474" t="s">
        <v>113</v>
      </c>
      <c r="H474" t="s">
        <v>21</v>
      </c>
      <c r="I474">
        <v>8</v>
      </c>
      <c r="J474" s="4">
        <v>650</v>
      </c>
      <c r="K474" s="6">
        <v>0.1</v>
      </c>
      <c r="L474" s="8">
        <v>4680</v>
      </c>
      <c r="M474" s="8">
        <v>2800</v>
      </c>
      <c r="N474" s="8">
        <v>1880</v>
      </c>
      <c r="O474" s="8">
        <f>SalesData[[#This Row],[Quantity]]*SalesData[[#This Row],[Unit Price]]*(1-SalesData[[#This Row],[Discount]])</f>
        <v>4680</v>
      </c>
      <c r="P474" s="8">
        <f>SalesData[[#This Row],[Sales_Check]]-SalesData[[#This Row],[Cost]]</f>
        <v>1880</v>
      </c>
      <c r="Q474" s="13">
        <f>IFERROR(SalesData[[#This Row],[Profit]]/SalesData[[#This Row],[Sales]],0)</f>
        <v>0.40170940170940173</v>
      </c>
      <c r="R474" t="str">
        <f>TEXT(SalesData[[#This Row],[Order Date]],"mmm-yyyy")</f>
        <v>Mar-2026</v>
      </c>
      <c r="S474">
        <f>YEAR(SalesData[[#This Row],[Order Date]])</f>
        <v>2026</v>
      </c>
      <c r="T474" t="str">
        <f>IF(SalesData[[#This Row],[Profit Margin]]&gt;=30%,"High",IF(SalesData[[#This Row],[Profit Margin]]&gt;=15%,"Medium","Low"))</f>
        <v>High</v>
      </c>
    </row>
    <row r="475" spans="1:20" x14ac:dyDescent="0.35">
      <c r="A475" t="s">
        <v>891</v>
      </c>
      <c r="B475" s="23" t="s">
        <v>892</v>
      </c>
      <c r="C475" t="s">
        <v>264</v>
      </c>
      <c r="D475" t="s">
        <v>25</v>
      </c>
      <c r="E475" t="s">
        <v>26</v>
      </c>
      <c r="F475" t="s">
        <v>45</v>
      </c>
      <c r="G475" t="s">
        <v>70</v>
      </c>
      <c r="H475" t="s">
        <v>33</v>
      </c>
      <c r="I475">
        <v>4</v>
      </c>
      <c r="J475" s="4">
        <v>600</v>
      </c>
      <c r="K475" s="6">
        <v>0.05</v>
      </c>
      <c r="L475" s="8">
        <v>2280</v>
      </c>
      <c r="M475" s="8">
        <v>1320</v>
      </c>
      <c r="N475" s="8">
        <v>960</v>
      </c>
      <c r="O475" s="8">
        <f>SalesData[[#This Row],[Quantity]]*SalesData[[#This Row],[Unit Price]]*(1-SalesData[[#This Row],[Discount]])</f>
        <v>2280</v>
      </c>
      <c r="P475" s="8">
        <f>SalesData[[#This Row],[Sales_Check]]-SalesData[[#This Row],[Cost]]</f>
        <v>960</v>
      </c>
      <c r="Q475" s="13">
        <f>IFERROR(SalesData[[#This Row],[Profit]]/SalesData[[#This Row],[Sales]],0)</f>
        <v>0.42105263157894735</v>
      </c>
      <c r="R475" t="str">
        <f>TEXT(SalesData[[#This Row],[Order Date]],"mmm-yyyy")</f>
        <v>Mar-2026</v>
      </c>
      <c r="S475">
        <f>YEAR(SalesData[[#This Row],[Order Date]])</f>
        <v>2026</v>
      </c>
      <c r="T475" t="str">
        <f>IF(SalesData[[#This Row],[Profit Margin]]&gt;=30%,"High",IF(SalesData[[#This Row],[Profit Margin]]&gt;=15%,"Medium","Low"))</f>
        <v>High</v>
      </c>
    </row>
    <row r="476" spans="1:20" x14ac:dyDescent="0.35">
      <c r="A476" t="s">
        <v>893</v>
      </c>
      <c r="B476" s="23" t="s">
        <v>894</v>
      </c>
      <c r="C476" t="s">
        <v>328</v>
      </c>
      <c r="D476" t="s">
        <v>54</v>
      </c>
      <c r="E476" t="s">
        <v>55</v>
      </c>
      <c r="F476" t="s">
        <v>37</v>
      </c>
      <c r="G476" t="s">
        <v>73</v>
      </c>
      <c r="H476" t="s">
        <v>21</v>
      </c>
      <c r="I476">
        <v>9</v>
      </c>
      <c r="J476" s="4">
        <v>180</v>
      </c>
      <c r="K476" s="6">
        <v>0.05</v>
      </c>
      <c r="L476" s="8">
        <v>1539</v>
      </c>
      <c r="M476" s="8">
        <v>810</v>
      </c>
      <c r="N476" s="8">
        <v>729</v>
      </c>
      <c r="O476" s="8">
        <f>SalesData[[#This Row],[Quantity]]*SalesData[[#This Row],[Unit Price]]*(1-SalesData[[#This Row],[Discount]])</f>
        <v>1539</v>
      </c>
      <c r="P476" s="8">
        <f>SalesData[[#This Row],[Sales_Check]]-SalesData[[#This Row],[Cost]]</f>
        <v>729</v>
      </c>
      <c r="Q476" s="13">
        <f>IFERROR(SalesData[[#This Row],[Profit]]/SalesData[[#This Row],[Sales]],0)</f>
        <v>0.47368421052631576</v>
      </c>
      <c r="R476" t="str">
        <f>TEXT(SalesData[[#This Row],[Order Date]],"mmm-yyyy")</f>
        <v>Mar-2026</v>
      </c>
      <c r="S476">
        <f>YEAR(SalesData[[#This Row],[Order Date]])</f>
        <v>2026</v>
      </c>
      <c r="T476" t="str">
        <f>IF(SalesData[[#This Row],[Profit Margin]]&gt;=30%,"High",IF(SalesData[[#This Row],[Profit Margin]]&gt;=15%,"Medium","Low"))</f>
        <v>High</v>
      </c>
    </row>
    <row r="477" spans="1:20" x14ac:dyDescent="0.35">
      <c r="A477" t="s">
        <v>895</v>
      </c>
      <c r="B477" s="23" t="s">
        <v>894</v>
      </c>
      <c r="C477" t="s">
        <v>390</v>
      </c>
      <c r="D477" t="s">
        <v>43</v>
      </c>
      <c r="E477" t="s">
        <v>169</v>
      </c>
      <c r="F477" t="s">
        <v>37</v>
      </c>
      <c r="G477" t="s">
        <v>140</v>
      </c>
      <c r="H477" t="s">
        <v>39</v>
      </c>
      <c r="I477">
        <v>1</v>
      </c>
      <c r="J477" s="4">
        <v>350</v>
      </c>
      <c r="K477" s="6">
        <v>0</v>
      </c>
      <c r="L477" s="8">
        <v>350</v>
      </c>
      <c r="M477" s="8">
        <v>170</v>
      </c>
      <c r="N477" s="8">
        <v>180</v>
      </c>
      <c r="O477" s="8">
        <f>SalesData[[#This Row],[Quantity]]*SalesData[[#This Row],[Unit Price]]*(1-SalesData[[#This Row],[Discount]])</f>
        <v>350</v>
      </c>
      <c r="P477" s="8">
        <f>SalesData[[#This Row],[Sales_Check]]-SalesData[[#This Row],[Cost]]</f>
        <v>180</v>
      </c>
      <c r="Q477" s="13">
        <f>IFERROR(SalesData[[#This Row],[Profit]]/SalesData[[#This Row],[Sales]],0)</f>
        <v>0.51428571428571423</v>
      </c>
      <c r="R477" t="str">
        <f>TEXT(SalesData[[#This Row],[Order Date]],"mmm-yyyy")</f>
        <v>Mar-2026</v>
      </c>
      <c r="S477">
        <f>YEAR(SalesData[[#This Row],[Order Date]])</f>
        <v>2026</v>
      </c>
      <c r="T477" t="str">
        <f>IF(SalesData[[#This Row],[Profit Margin]]&gt;=30%,"High",IF(SalesData[[#This Row],[Profit Margin]]&gt;=15%,"Medium","Low"))</f>
        <v>High</v>
      </c>
    </row>
    <row r="478" spans="1:20" x14ac:dyDescent="0.35">
      <c r="A478" t="s">
        <v>896</v>
      </c>
      <c r="B478" s="23" t="s">
        <v>897</v>
      </c>
      <c r="C478" t="s">
        <v>109</v>
      </c>
      <c r="D478" t="s">
        <v>54</v>
      </c>
      <c r="E478" t="s">
        <v>107</v>
      </c>
      <c r="F478" t="s">
        <v>27</v>
      </c>
      <c r="G478" t="s">
        <v>90</v>
      </c>
      <c r="H478" t="s">
        <v>39</v>
      </c>
      <c r="I478">
        <v>6</v>
      </c>
      <c r="J478" s="4">
        <v>120</v>
      </c>
      <c r="K478" s="6">
        <v>0.05</v>
      </c>
      <c r="L478" s="8">
        <v>684</v>
      </c>
      <c r="M478" s="8">
        <v>330</v>
      </c>
      <c r="N478" s="8">
        <v>354</v>
      </c>
      <c r="O478" s="8">
        <f>SalesData[[#This Row],[Quantity]]*SalesData[[#This Row],[Unit Price]]*(1-SalesData[[#This Row],[Discount]])</f>
        <v>684</v>
      </c>
      <c r="P478" s="8">
        <f>SalesData[[#This Row],[Sales_Check]]-SalesData[[#This Row],[Cost]]</f>
        <v>354</v>
      </c>
      <c r="Q478" s="13">
        <f>IFERROR(SalesData[[#This Row],[Profit]]/SalesData[[#This Row],[Sales]],0)</f>
        <v>0.51754385964912286</v>
      </c>
      <c r="R478" t="str">
        <f>TEXT(SalesData[[#This Row],[Order Date]],"mmm-yyyy")</f>
        <v>Mar-2026</v>
      </c>
      <c r="S478">
        <f>YEAR(SalesData[[#This Row],[Order Date]])</f>
        <v>2026</v>
      </c>
      <c r="T478" t="str">
        <f>IF(SalesData[[#This Row],[Profit Margin]]&gt;=30%,"High",IF(SalesData[[#This Row],[Profit Margin]]&gt;=15%,"Medium","Low"))</f>
        <v>High</v>
      </c>
    </row>
    <row r="479" spans="1:20" x14ac:dyDescent="0.35">
      <c r="A479" t="s">
        <v>898</v>
      </c>
      <c r="B479" s="23" t="s">
        <v>899</v>
      </c>
      <c r="C479" t="s">
        <v>566</v>
      </c>
      <c r="D479" t="s">
        <v>43</v>
      </c>
      <c r="E479" t="s">
        <v>143</v>
      </c>
      <c r="F479" t="s">
        <v>27</v>
      </c>
      <c r="G479" t="s">
        <v>28</v>
      </c>
      <c r="H479" t="s">
        <v>21</v>
      </c>
      <c r="I479">
        <v>7</v>
      </c>
      <c r="J479" s="4">
        <v>650</v>
      </c>
      <c r="K479" s="6">
        <v>0</v>
      </c>
      <c r="L479" s="8">
        <v>4550</v>
      </c>
      <c r="M479" s="8">
        <v>2450</v>
      </c>
      <c r="N479" s="8">
        <v>2100</v>
      </c>
      <c r="O479" s="8">
        <f>SalesData[[#This Row],[Quantity]]*SalesData[[#This Row],[Unit Price]]*(1-SalesData[[#This Row],[Discount]])</f>
        <v>4550</v>
      </c>
      <c r="P479" s="8">
        <f>SalesData[[#This Row],[Sales_Check]]-SalesData[[#This Row],[Cost]]</f>
        <v>2100</v>
      </c>
      <c r="Q479" s="13">
        <f>IFERROR(SalesData[[#This Row],[Profit]]/SalesData[[#This Row],[Sales]],0)</f>
        <v>0.46153846153846156</v>
      </c>
      <c r="R479" t="str">
        <f>TEXT(SalesData[[#This Row],[Order Date]],"mmm-yyyy")</f>
        <v>Mar-2026</v>
      </c>
      <c r="S479">
        <f>YEAR(SalesData[[#This Row],[Order Date]])</f>
        <v>2026</v>
      </c>
      <c r="T479" t="str">
        <f>IF(SalesData[[#This Row],[Profit Margin]]&gt;=30%,"High",IF(SalesData[[#This Row],[Profit Margin]]&gt;=15%,"Medium","Low"))</f>
        <v>High</v>
      </c>
    </row>
    <row r="480" spans="1:20" x14ac:dyDescent="0.35">
      <c r="A480" t="s">
        <v>900</v>
      </c>
      <c r="B480" s="23" t="s">
        <v>899</v>
      </c>
      <c r="C480" t="s">
        <v>189</v>
      </c>
      <c r="D480" t="s">
        <v>25</v>
      </c>
      <c r="E480" t="s">
        <v>69</v>
      </c>
      <c r="F480" t="s">
        <v>45</v>
      </c>
      <c r="G480" t="s">
        <v>122</v>
      </c>
      <c r="H480" t="s">
        <v>125</v>
      </c>
      <c r="I480">
        <v>6</v>
      </c>
      <c r="J480" s="4">
        <v>350</v>
      </c>
      <c r="K480" s="6">
        <v>0.1</v>
      </c>
      <c r="L480" s="8">
        <v>1890</v>
      </c>
      <c r="M480" s="8">
        <v>1080</v>
      </c>
      <c r="N480" s="8">
        <v>810</v>
      </c>
      <c r="O480" s="8">
        <f>SalesData[[#This Row],[Quantity]]*SalesData[[#This Row],[Unit Price]]*(1-SalesData[[#This Row],[Discount]])</f>
        <v>1890</v>
      </c>
      <c r="P480" s="8">
        <f>SalesData[[#This Row],[Sales_Check]]-SalesData[[#This Row],[Cost]]</f>
        <v>810</v>
      </c>
      <c r="Q480" s="13">
        <f>IFERROR(SalesData[[#This Row],[Profit]]/SalesData[[#This Row],[Sales]],0)</f>
        <v>0.42857142857142855</v>
      </c>
      <c r="R480" t="str">
        <f>TEXT(SalesData[[#This Row],[Order Date]],"mmm-yyyy")</f>
        <v>Mar-2026</v>
      </c>
      <c r="S480">
        <f>YEAR(SalesData[[#This Row],[Order Date]])</f>
        <v>2026</v>
      </c>
      <c r="T480" t="str">
        <f>IF(SalesData[[#This Row],[Profit Margin]]&gt;=30%,"High",IF(SalesData[[#This Row],[Profit Margin]]&gt;=15%,"Medium","Low"))</f>
        <v>High</v>
      </c>
    </row>
    <row r="481" spans="1:20" x14ac:dyDescent="0.35">
      <c r="A481" t="s">
        <v>901</v>
      </c>
      <c r="B481" s="23" t="s">
        <v>899</v>
      </c>
      <c r="C481" t="s">
        <v>339</v>
      </c>
      <c r="D481" t="s">
        <v>17</v>
      </c>
      <c r="E481" t="s">
        <v>32</v>
      </c>
      <c r="F481" t="s">
        <v>19</v>
      </c>
      <c r="G481" t="s">
        <v>113</v>
      </c>
      <c r="H481" t="s">
        <v>33</v>
      </c>
      <c r="I481">
        <v>3</v>
      </c>
      <c r="J481" s="4">
        <v>1500</v>
      </c>
      <c r="K481" s="6">
        <v>0.1</v>
      </c>
      <c r="L481" s="8">
        <v>4050</v>
      </c>
      <c r="M481" s="8">
        <v>2700</v>
      </c>
      <c r="N481" s="8">
        <v>1350</v>
      </c>
      <c r="O481" s="8">
        <f>SalesData[[#This Row],[Quantity]]*SalesData[[#This Row],[Unit Price]]*(1-SalesData[[#This Row],[Discount]])</f>
        <v>4050</v>
      </c>
      <c r="P481" s="8">
        <f>SalesData[[#This Row],[Sales_Check]]-SalesData[[#This Row],[Cost]]</f>
        <v>1350</v>
      </c>
      <c r="Q481" s="13">
        <f>IFERROR(SalesData[[#This Row],[Profit]]/SalesData[[#This Row],[Sales]],0)</f>
        <v>0.33333333333333331</v>
      </c>
      <c r="R481" t="str">
        <f>TEXT(SalesData[[#This Row],[Order Date]],"mmm-yyyy")</f>
        <v>Mar-2026</v>
      </c>
      <c r="S481">
        <f>YEAR(SalesData[[#This Row],[Order Date]])</f>
        <v>2026</v>
      </c>
      <c r="T481" t="str">
        <f>IF(SalesData[[#This Row],[Profit Margin]]&gt;=30%,"High",IF(SalesData[[#This Row],[Profit Margin]]&gt;=15%,"Medium","Low"))</f>
        <v>High</v>
      </c>
    </row>
    <row r="482" spans="1:20" x14ac:dyDescent="0.35">
      <c r="A482" t="s">
        <v>902</v>
      </c>
      <c r="B482" s="23" t="s">
        <v>899</v>
      </c>
      <c r="C482" t="s">
        <v>287</v>
      </c>
      <c r="D482" t="s">
        <v>17</v>
      </c>
      <c r="E482" t="s">
        <v>32</v>
      </c>
      <c r="F482" t="s">
        <v>37</v>
      </c>
      <c r="G482" t="s">
        <v>38</v>
      </c>
      <c r="H482" t="s">
        <v>125</v>
      </c>
      <c r="I482">
        <v>9</v>
      </c>
      <c r="J482" s="4">
        <v>1500</v>
      </c>
      <c r="K482" s="6">
        <v>0</v>
      </c>
      <c r="L482" s="8">
        <v>13500</v>
      </c>
      <c r="M482" s="8">
        <v>8100</v>
      </c>
      <c r="N482" s="8">
        <v>5400</v>
      </c>
      <c r="O482" s="8">
        <f>SalesData[[#This Row],[Quantity]]*SalesData[[#This Row],[Unit Price]]*(1-SalesData[[#This Row],[Discount]])</f>
        <v>13500</v>
      </c>
      <c r="P482" s="8">
        <f>SalesData[[#This Row],[Sales_Check]]-SalesData[[#This Row],[Cost]]</f>
        <v>5400</v>
      </c>
      <c r="Q482" s="13">
        <f>IFERROR(SalesData[[#This Row],[Profit]]/SalesData[[#This Row],[Sales]],0)</f>
        <v>0.4</v>
      </c>
      <c r="R482" t="str">
        <f>TEXT(SalesData[[#This Row],[Order Date]],"mmm-yyyy")</f>
        <v>Mar-2026</v>
      </c>
      <c r="S482">
        <f>YEAR(SalesData[[#This Row],[Order Date]])</f>
        <v>2026</v>
      </c>
      <c r="T482" t="str">
        <f>IF(SalesData[[#This Row],[Profit Margin]]&gt;=30%,"High",IF(SalesData[[#This Row],[Profit Margin]]&gt;=15%,"Medium","Low"))</f>
        <v>High</v>
      </c>
    </row>
    <row r="483" spans="1:20" x14ac:dyDescent="0.35">
      <c r="A483" t="s">
        <v>903</v>
      </c>
      <c r="B483" s="23" t="s">
        <v>904</v>
      </c>
      <c r="C483" t="s">
        <v>109</v>
      </c>
      <c r="D483" t="s">
        <v>43</v>
      </c>
      <c r="E483" t="s">
        <v>250</v>
      </c>
      <c r="F483" t="s">
        <v>45</v>
      </c>
      <c r="G483" t="s">
        <v>104</v>
      </c>
      <c r="H483" t="s">
        <v>33</v>
      </c>
      <c r="I483">
        <v>9</v>
      </c>
      <c r="J483" s="4">
        <v>900</v>
      </c>
      <c r="K483" s="6">
        <v>0</v>
      </c>
      <c r="L483" s="8">
        <v>8100</v>
      </c>
      <c r="M483" s="8">
        <v>4680</v>
      </c>
      <c r="N483" s="8">
        <v>3420</v>
      </c>
      <c r="O483" s="8">
        <f>SalesData[[#This Row],[Quantity]]*SalesData[[#This Row],[Unit Price]]*(1-SalesData[[#This Row],[Discount]])</f>
        <v>8100</v>
      </c>
      <c r="P483" s="8">
        <f>SalesData[[#This Row],[Sales_Check]]-SalesData[[#This Row],[Cost]]</f>
        <v>3420</v>
      </c>
      <c r="Q483" s="13">
        <f>IFERROR(SalesData[[#This Row],[Profit]]/SalesData[[#This Row],[Sales]],0)</f>
        <v>0.42222222222222222</v>
      </c>
      <c r="R483" t="str">
        <f>TEXT(SalesData[[#This Row],[Order Date]],"mmm-yyyy")</f>
        <v>Mar-2026</v>
      </c>
      <c r="S483">
        <f>YEAR(SalesData[[#This Row],[Order Date]])</f>
        <v>2026</v>
      </c>
      <c r="T483" t="str">
        <f>IF(SalesData[[#This Row],[Profit Margin]]&gt;=30%,"High",IF(SalesData[[#This Row],[Profit Margin]]&gt;=15%,"Medium","Low"))</f>
        <v>High</v>
      </c>
    </row>
    <row r="484" spans="1:20" x14ac:dyDescent="0.35">
      <c r="A484" t="s">
        <v>905</v>
      </c>
      <c r="B484" s="23" t="s">
        <v>906</v>
      </c>
      <c r="C484" t="s">
        <v>209</v>
      </c>
      <c r="D484" t="s">
        <v>54</v>
      </c>
      <c r="E484" t="s">
        <v>107</v>
      </c>
      <c r="F484" t="s">
        <v>19</v>
      </c>
      <c r="G484" t="s">
        <v>113</v>
      </c>
      <c r="H484" t="s">
        <v>33</v>
      </c>
      <c r="I484">
        <v>8</v>
      </c>
      <c r="J484" s="4">
        <v>120</v>
      </c>
      <c r="K484" s="6">
        <v>0</v>
      </c>
      <c r="L484" s="8">
        <v>960</v>
      </c>
      <c r="M484" s="8">
        <v>440</v>
      </c>
      <c r="N484" s="8">
        <v>520</v>
      </c>
      <c r="O484" s="8">
        <f>SalesData[[#This Row],[Quantity]]*SalesData[[#This Row],[Unit Price]]*(1-SalesData[[#This Row],[Discount]])</f>
        <v>960</v>
      </c>
      <c r="P484" s="8">
        <f>SalesData[[#This Row],[Sales_Check]]-SalesData[[#This Row],[Cost]]</f>
        <v>520</v>
      </c>
      <c r="Q484" s="13">
        <f>IFERROR(SalesData[[#This Row],[Profit]]/SalesData[[#This Row],[Sales]],0)</f>
        <v>0.54166666666666663</v>
      </c>
      <c r="R484" t="str">
        <f>TEXT(SalesData[[#This Row],[Order Date]],"mmm-yyyy")</f>
        <v>Mar-2026</v>
      </c>
      <c r="S484">
        <f>YEAR(SalesData[[#This Row],[Order Date]])</f>
        <v>2026</v>
      </c>
      <c r="T484" t="str">
        <f>IF(SalesData[[#This Row],[Profit Margin]]&gt;=30%,"High",IF(SalesData[[#This Row],[Profit Margin]]&gt;=15%,"Medium","Low"))</f>
        <v>High</v>
      </c>
    </row>
    <row r="485" spans="1:20" x14ac:dyDescent="0.35">
      <c r="A485" t="s">
        <v>907</v>
      </c>
      <c r="B485" s="23" t="s">
        <v>906</v>
      </c>
      <c r="C485" t="s">
        <v>398</v>
      </c>
      <c r="D485" t="s">
        <v>54</v>
      </c>
      <c r="E485" t="s">
        <v>107</v>
      </c>
      <c r="F485" t="s">
        <v>27</v>
      </c>
      <c r="G485" t="s">
        <v>51</v>
      </c>
      <c r="H485" t="s">
        <v>125</v>
      </c>
      <c r="I485">
        <v>7</v>
      </c>
      <c r="J485" s="4">
        <v>120</v>
      </c>
      <c r="K485" s="6">
        <v>0.05</v>
      </c>
      <c r="L485" s="8">
        <v>798</v>
      </c>
      <c r="M485" s="8">
        <v>385</v>
      </c>
      <c r="N485" s="8">
        <v>413</v>
      </c>
      <c r="O485" s="8">
        <f>SalesData[[#This Row],[Quantity]]*SalesData[[#This Row],[Unit Price]]*(1-SalesData[[#This Row],[Discount]])</f>
        <v>798</v>
      </c>
      <c r="P485" s="8">
        <f>SalesData[[#This Row],[Sales_Check]]-SalesData[[#This Row],[Cost]]</f>
        <v>413</v>
      </c>
      <c r="Q485" s="13">
        <f>IFERROR(SalesData[[#This Row],[Profit]]/SalesData[[#This Row],[Sales]],0)</f>
        <v>0.51754385964912286</v>
      </c>
      <c r="R485" t="str">
        <f>TEXT(SalesData[[#This Row],[Order Date]],"mmm-yyyy")</f>
        <v>Mar-2026</v>
      </c>
      <c r="S485">
        <f>YEAR(SalesData[[#This Row],[Order Date]])</f>
        <v>2026</v>
      </c>
      <c r="T485" t="str">
        <f>IF(SalesData[[#This Row],[Profit Margin]]&gt;=30%,"High",IF(SalesData[[#This Row],[Profit Margin]]&gt;=15%,"Medium","Low"))</f>
        <v>High</v>
      </c>
    </row>
    <row r="486" spans="1:20" x14ac:dyDescent="0.35">
      <c r="A486" t="s">
        <v>908</v>
      </c>
      <c r="B486" s="23" t="s">
        <v>906</v>
      </c>
      <c r="C486" t="s">
        <v>701</v>
      </c>
      <c r="D486" t="s">
        <v>17</v>
      </c>
      <c r="E486" t="s">
        <v>32</v>
      </c>
      <c r="F486" t="s">
        <v>27</v>
      </c>
      <c r="G486" t="s">
        <v>28</v>
      </c>
      <c r="H486" t="s">
        <v>33</v>
      </c>
      <c r="I486">
        <v>5</v>
      </c>
      <c r="J486" s="4">
        <v>1500</v>
      </c>
      <c r="K486" s="6">
        <v>0.1</v>
      </c>
      <c r="L486" s="8">
        <v>6750</v>
      </c>
      <c r="M486" s="8">
        <v>4500</v>
      </c>
      <c r="N486" s="8">
        <v>2250</v>
      </c>
      <c r="O486" s="8">
        <f>SalesData[[#This Row],[Quantity]]*SalesData[[#This Row],[Unit Price]]*(1-SalesData[[#This Row],[Discount]])</f>
        <v>6750</v>
      </c>
      <c r="P486" s="8">
        <f>SalesData[[#This Row],[Sales_Check]]-SalesData[[#This Row],[Cost]]</f>
        <v>2250</v>
      </c>
      <c r="Q486" s="13">
        <f>IFERROR(SalesData[[#This Row],[Profit]]/SalesData[[#This Row],[Sales]],0)</f>
        <v>0.33333333333333331</v>
      </c>
      <c r="R486" t="str">
        <f>TEXT(SalesData[[#This Row],[Order Date]],"mmm-yyyy")</f>
        <v>Mar-2026</v>
      </c>
      <c r="S486">
        <f>YEAR(SalesData[[#This Row],[Order Date]])</f>
        <v>2026</v>
      </c>
      <c r="T486" t="str">
        <f>IF(SalesData[[#This Row],[Profit Margin]]&gt;=30%,"High",IF(SalesData[[#This Row],[Profit Margin]]&gt;=15%,"Medium","Low"))</f>
        <v>High</v>
      </c>
    </row>
    <row r="487" spans="1:20" x14ac:dyDescent="0.35">
      <c r="A487" t="s">
        <v>909</v>
      </c>
      <c r="B487" s="23" t="s">
        <v>906</v>
      </c>
      <c r="C487" t="s">
        <v>528</v>
      </c>
      <c r="D487" t="s">
        <v>17</v>
      </c>
      <c r="E487" t="s">
        <v>50</v>
      </c>
      <c r="F487" t="s">
        <v>45</v>
      </c>
      <c r="G487" t="s">
        <v>70</v>
      </c>
      <c r="H487" t="s">
        <v>47</v>
      </c>
      <c r="I487">
        <v>5</v>
      </c>
      <c r="J487" s="4">
        <v>650</v>
      </c>
      <c r="K487" s="6">
        <v>0</v>
      </c>
      <c r="L487" s="8">
        <v>3250</v>
      </c>
      <c r="M487" s="8">
        <v>1900</v>
      </c>
      <c r="N487" s="8">
        <v>1350</v>
      </c>
      <c r="O487" s="8">
        <f>SalesData[[#This Row],[Quantity]]*SalesData[[#This Row],[Unit Price]]*(1-SalesData[[#This Row],[Discount]])</f>
        <v>3250</v>
      </c>
      <c r="P487" s="8">
        <f>SalesData[[#This Row],[Sales_Check]]-SalesData[[#This Row],[Cost]]</f>
        <v>1350</v>
      </c>
      <c r="Q487" s="13">
        <f>IFERROR(SalesData[[#This Row],[Profit]]/SalesData[[#This Row],[Sales]],0)</f>
        <v>0.41538461538461541</v>
      </c>
      <c r="R487" t="str">
        <f>TEXT(SalesData[[#This Row],[Order Date]],"mmm-yyyy")</f>
        <v>Mar-2026</v>
      </c>
      <c r="S487">
        <f>YEAR(SalesData[[#This Row],[Order Date]])</f>
        <v>2026</v>
      </c>
      <c r="T487" t="str">
        <f>IF(SalesData[[#This Row],[Profit Margin]]&gt;=30%,"High",IF(SalesData[[#This Row],[Profit Margin]]&gt;=15%,"Medium","Low"))</f>
        <v>High</v>
      </c>
    </row>
    <row r="488" spans="1:20" x14ac:dyDescent="0.35">
      <c r="A488" t="s">
        <v>910</v>
      </c>
      <c r="B488" s="23" t="s">
        <v>911</v>
      </c>
      <c r="C488" t="s">
        <v>534</v>
      </c>
      <c r="D488" t="s">
        <v>43</v>
      </c>
      <c r="E488" t="s">
        <v>169</v>
      </c>
      <c r="F488" t="s">
        <v>19</v>
      </c>
      <c r="G488" t="s">
        <v>56</v>
      </c>
      <c r="H488" t="s">
        <v>39</v>
      </c>
      <c r="I488">
        <v>6</v>
      </c>
      <c r="J488" s="4">
        <v>350</v>
      </c>
      <c r="K488" s="6">
        <v>0.05</v>
      </c>
      <c r="L488" s="8">
        <v>1995</v>
      </c>
      <c r="M488" s="8">
        <v>1020</v>
      </c>
      <c r="N488" s="8">
        <v>975</v>
      </c>
      <c r="O488" s="8">
        <f>SalesData[[#This Row],[Quantity]]*SalesData[[#This Row],[Unit Price]]*(1-SalesData[[#This Row],[Discount]])</f>
        <v>1995</v>
      </c>
      <c r="P488" s="8">
        <f>SalesData[[#This Row],[Sales_Check]]-SalesData[[#This Row],[Cost]]</f>
        <v>975</v>
      </c>
      <c r="Q488" s="13">
        <f>IFERROR(SalesData[[#This Row],[Profit]]/SalesData[[#This Row],[Sales]],0)</f>
        <v>0.48872180451127817</v>
      </c>
      <c r="R488" t="str">
        <f>TEXT(SalesData[[#This Row],[Order Date]],"mmm-yyyy")</f>
        <v>Mar-2026</v>
      </c>
      <c r="S488">
        <f>YEAR(SalesData[[#This Row],[Order Date]])</f>
        <v>2026</v>
      </c>
      <c r="T488" t="str">
        <f>IF(SalesData[[#This Row],[Profit Margin]]&gt;=30%,"High",IF(SalesData[[#This Row],[Profit Margin]]&gt;=15%,"Medium","Low"))</f>
        <v>High</v>
      </c>
    </row>
    <row r="489" spans="1:20" x14ac:dyDescent="0.35">
      <c r="A489" t="s">
        <v>912</v>
      </c>
      <c r="B489" s="23" t="s">
        <v>911</v>
      </c>
      <c r="C489" t="s">
        <v>639</v>
      </c>
      <c r="D489" t="s">
        <v>25</v>
      </c>
      <c r="E489" t="s">
        <v>80</v>
      </c>
      <c r="F489" t="s">
        <v>37</v>
      </c>
      <c r="G489" t="s">
        <v>73</v>
      </c>
      <c r="H489" t="s">
        <v>29</v>
      </c>
      <c r="I489">
        <v>8</v>
      </c>
      <c r="J489" s="4">
        <v>950</v>
      </c>
      <c r="K489" s="6">
        <v>0.15</v>
      </c>
      <c r="L489" s="8">
        <v>6460</v>
      </c>
      <c r="M489" s="8">
        <v>4480</v>
      </c>
      <c r="N489" s="8">
        <v>1980</v>
      </c>
      <c r="O489" s="8">
        <f>SalesData[[#This Row],[Quantity]]*SalesData[[#This Row],[Unit Price]]*(1-SalesData[[#This Row],[Discount]])</f>
        <v>6460</v>
      </c>
      <c r="P489" s="8">
        <f>SalesData[[#This Row],[Sales_Check]]-SalesData[[#This Row],[Cost]]</f>
        <v>1980</v>
      </c>
      <c r="Q489" s="13">
        <f>IFERROR(SalesData[[#This Row],[Profit]]/SalesData[[#This Row],[Sales]],0)</f>
        <v>0.30650154798761609</v>
      </c>
      <c r="R489" t="str">
        <f>TEXT(SalesData[[#This Row],[Order Date]],"mmm-yyyy")</f>
        <v>Mar-2026</v>
      </c>
      <c r="S489">
        <f>YEAR(SalesData[[#This Row],[Order Date]])</f>
        <v>2026</v>
      </c>
      <c r="T489" t="str">
        <f>IF(SalesData[[#This Row],[Profit Margin]]&gt;=30%,"High",IF(SalesData[[#This Row],[Profit Margin]]&gt;=15%,"Medium","Low"))</f>
        <v>High</v>
      </c>
    </row>
    <row r="490" spans="1:20" x14ac:dyDescent="0.35">
      <c r="A490" t="s">
        <v>913</v>
      </c>
      <c r="B490" s="23" t="s">
        <v>914</v>
      </c>
      <c r="C490" t="s">
        <v>64</v>
      </c>
      <c r="D490" t="s">
        <v>25</v>
      </c>
      <c r="E490" t="s">
        <v>89</v>
      </c>
      <c r="F490" t="s">
        <v>19</v>
      </c>
      <c r="G490" t="s">
        <v>113</v>
      </c>
      <c r="H490" t="s">
        <v>21</v>
      </c>
      <c r="I490">
        <v>3</v>
      </c>
      <c r="J490" s="4">
        <v>550</v>
      </c>
      <c r="K490" s="6">
        <v>0.05</v>
      </c>
      <c r="L490" s="8">
        <v>1567.5</v>
      </c>
      <c r="M490" s="8">
        <v>900</v>
      </c>
      <c r="N490" s="8">
        <v>667.5</v>
      </c>
      <c r="O490" s="8">
        <f>SalesData[[#This Row],[Quantity]]*SalesData[[#This Row],[Unit Price]]*(1-SalesData[[#This Row],[Discount]])</f>
        <v>1567.5</v>
      </c>
      <c r="P490" s="8">
        <f>SalesData[[#This Row],[Sales_Check]]-SalesData[[#This Row],[Cost]]</f>
        <v>667.5</v>
      </c>
      <c r="Q490" s="13">
        <f>IFERROR(SalesData[[#This Row],[Profit]]/SalesData[[#This Row],[Sales]],0)</f>
        <v>0.42583732057416268</v>
      </c>
      <c r="R490" t="str">
        <f>TEXT(SalesData[[#This Row],[Order Date]],"mmm-yyyy")</f>
        <v>Mar-2026</v>
      </c>
      <c r="S490">
        <f>YEAR(SalesData[[#This Row],[Order Date]])</f>
        <v>2026</v>
      </c>
      <c r="T490" t="str">
        <f>IF(SalesData[[#This Row],[Profit Margin]]&gt;=30%,"High",IF(SalesData[[#This Row],[Profit Margin]]&gt;=15%,"Medium","Low"))</f>
        <v>High</v>
      </c>
    </row>
    <row r="491" spans="1:20" x14ac:dyDescent="0.35">
      <c r="A491" t="s">
        <v>915</v>
      </c>
      <c r="B491" s="23" t="s">
        <v>914</v>
      </c>
      <c r="C491" t="s">
        <v>217</v>
      </c>
      <c r="D491" t="s">
        <v>54</v>
      </c>
      <c r="E491" t="s">
        <v>55</v>
      </c>
      <c r="F491" t="s">
        <v>37</v>
      </c>
      <c r="G491" t="s">
        <v>97</v>
      </c>
      <c r="H491" t="s">
        <v>39</v>
      </c>
      <c r="I491">
        <v>6</v>
      </c>
      <c r="J491" s="4">
        <v>180</v>
      </c>
      <c r="K491" s="6">
        <v>0.1</v>
      </c>
      <c r="L491" s="8">
        <v>972</v>
      </c>
      <c r="M491" s="8">
        <v>540</v>
      </c>
      <c r="N491" s="8">
        <v>432</v>
      </c>
      <c r="O491" s="8">
        <f>SalesData[[#This Row],[Quantity]]*SalesData[[#This Row],[Unit Price]]*(1-SalesData[[#This Row],[Discount]])</f>
        <v>972</v>
      </c>
      <c r="P491" s="8">
        <f>SalesData[[#This Row],[Sales_Check]]-SalesData[[#This Row],[Cost]]</f>
        <v>432</v>
      </c>
      <c r="Q491" s="13">
        <f>IFERROR(SalesData[[#This Row],[Profit]]/SalesData[[#This Row],[Sales]],0)</f>
        <v>0.44444444444444442</v>
      </c>
      <c r="R491" t="str">
        <f>TEXT(SalesData[[#This Row],[Order Date]],"mmm-yyyy")</f>
        <v>Mar-2026</v>
      </c>
      <c r="S491">
        <f>YEAR(SalesData[[#This Row],[Order Date]])</f>
        <v>2026</v>
      </c>
      <c r="T491" t="str">
        <f>IF(SalesData[[#This Row],[Profit Margin]]&gt;=30%,"High",IF(SalesData[[#This Row],[Profit Margin]]&gt;=15%,"Medium","Low"))</f>
        <v>High</v>
      </c>
    </row>
    <row r="492" spans="1:20" x14ac:dyDescent="0.35">
      <c r="A492" t="s">
        <v>916</v>
      </c>
      <c r="B492" s="23" t="s">
        <v>917</v>
      </c>
      <c r="C492" t="s">
        <v>119</v>
      </c>
      <c r="D492" t="s">
        <v>17</v>
      </c>
      <c r="E492" t="s">
        <v>65</v>
      </c>
      <c r="F492" t="s">
        <v>37</v>
      </c>
      <c r="G492" t="s">
        <v>38</v>
      </c>
      <c r="H492" t="s">
        <v>21</v>
      </c>
      <c r="I492">
        <v>1</v>
      </c>
      <c r="J492" s="4">
        <v>2200</v>
      </c>
      <c r="K492" s="6">
        <v>0.05</v>
      </c>
      <c r="L492" s="8">
        <v>2090</v>
      </c>
      <c r="M492" s="8">
        <v>1400</v>
      </c>
      <c r="N492" s="8">
        <v>690</v>
      </c>
      <c r="O492" s="8">
        <f>SalesData[[#This Row],[Quantity]]*SalesData[[#This Row],[Unit Price]]*(1-SalesData[[#This Row],[Discount]])</f>
        <v>2090</v>
      </c>
      <c r="P492" s="8">
        <f>SalesData[[#This Row],[Sales_Check]]-SalesData[[#This Row],[Cost]]</f>
        <v>690</v>
      </c>
      <c r="Q492" s="13">
        <f>IFERROR(SalesData[[#This Row],[Profit]]/SalesData[[#This Row],[Sales]],0)</f>
        <v>0.33014354066985646</v>
      </c>
      <c r="R492" t="str">
        <f>TEXT(SalesData[[#This Row],[Order Date]],"mmm-yyyy")</f>
        <v>Mar-2026</v>
      </c>
      <c r="S492">
        <f>YEAR(SalesData[[#This Row],[Order Date]])</f>
        <v>2026</v>
      </c>
      <c r="T492" t="str">
        <f>IF(SalesData[[#This Row],[Profit Margin]]&gt;=30%,"High",IF(SalesData[[#This Row],[Profit Margin]]&gt;=15%,"Medium","Low"))</f>
        <v>High</v>
      </c>
    </row>
    <row r="493" spans="1:20" x14ac:dyDescent="0.35">
      <c r="A493" t="s">
        <v>918</v>
      </c>
      <c r="B493" s="23" t="s">
        <v>917</v>
      </c>
      <c r="C493" t="s">
        <v>615</v>
      </c>
      <c r="D493" t="s">
        <v>43</v>
      </c>
      <c r="E493" t="s">
        <v>250</v>
      </c>
      <c r="F493" t="s">
        <v>19</v>
      </c>
      <c r="G493" t="s">
        <v>113</v>
      </c>
      <c r="H493" t="s">
        <v>47</v>
      </c>
      <c r="I493">
        <v>4</v>
      </c>
      <c r="J493" s="4">
        <v>900</v>
      </c>
      <c r="K493" s="6">
        <v>0.05</v>
      </c>
      <c r="L493" s="8">
        <v>3420</v>
      </c>
      <c r="M493" s="8">
        <v>2080</v>
      </c>
      <c r="N493" s="8">
        <v>1340</v>
      </c>
      <c r="O493" s="8">
        <f>SalesData[[#This Row],[Quantity]]*SalesData[[#This Row],[Unit Price]]*(1-SalesData[[#This Row],[Discount]])</f>
        <v>3420</v>
      </c>
      <c r="P493" s="8">
        <f>SalesData[[#This Row],[Sales_Check]]-SalesData[[#This Row],[Cost]]</f>
        <v>1340</v>
      </c>
      <c r="Q493" s="13">
        <f>IFERROR(SalesData[[#This Row],[Profit]]/SalesData[[#This Row],[Sales]],0)</f>
        <v>0.391812865497076</v>
      </c>
      <c r="R493" t="str">
        <f>TEXT(SalesData[[#This Row],[Order Date]],"mmm-yyyy")</f>
        <v>Mar-2026</v>
      </c>
      <c r="S493">
        <f>YEAR(SalesData[[#This Row],[Order Date]])</f>
        <v>2026</v>
      </c>
      <c r="T493" t="str">
        <f>IF(SalesData[[#This Row],[Profit Margin]]&gt;=30%,"High",IF(SalesData[[#This Row],[Profit Margin]]&gt;=15%,"Medium","Low"))</f>
        <v>High</v>
      </c>
    </row>
    <row r="494" spans="1:20" x14ac:dyDescent="0.35">
      <c r="A494" t="s">
        <v>919</v>
      </c>
      <c r="B494" s="23" t="s">
        <v>917</v>
      </c>
      <c r="C494" t="s">
        <v>59</v>
      </c>
      <c r="D494" t="s">
        <v>25</v>
      </c>
      <c r="E494" t="s">
        <v>69</v>
      </c>
      <c r="F494" t="s">
        <v>45</v>
      </c>
      <c r="G494" t="s">
        <v>46</v>
      </c>
      <c r="H494" t="s">
        <v>21</v>
      </c>
      <c r="I494">
        <v>10</v>
      </c>
      <c r="J494" s="4">
        <v>350</v>
      </c>
      <c r="K494" s="6">
        <v>0.05</v>
      </c>
      <c r="L494" s="8">
        <v>3325</v>
      </c>
      <c r="M494" s="8">
        <v>1800</v>
      </c>
      <c r="N494" s="8">
        <v>1525</v>
      </c>
      <c r="O494" s="8">
        <f>SalesData[[#This Row],[Quantity]]*SalesData[[#This Row],[Unit Price]]*(1-SalesData[[#This Row],[Discount]])</f>
        <v>3325</v>
      </c>
      <c r="P494" s="8">
        <f>SalesData[[#This Row],[Sales_Check]]-SalesData[[#This Row],[Cost]]</f>
        <v>1525</v>
      </c>
      <c r="Q494" s="13">
        <f>IFERROR(SalesData[[#This Row],[Profit]]/SalesData[[#This Row],[Sales]],0)</f>
        <v>0.45864661654135336</v>
      </c>
      <c r="R494" t="str">
        <f>TEXT(SalesData[[#This Row],[Order Date]],"mmm-yyyy")</f>
        <v>Mar-2026</v>
      </c>
      <c r="S494">
        <f>YEAR(SalesData[[#This Row],[Order Date]])</f>
        <v>2026</v>
      </c>
      <c r="T494" t="str">
        <f>IF(SalesData[[#This Row],[Profit Margin]]&gt;=30%,"High",IF(SalesData[[#This Row],[Profit Margin]]&gt;=15%,"Medium","Low"))</f>
        <v>High</v>
      </c>
    </row>
    <row r="495" spans="1:20" x14ac:dyDescent="0.35">
      <c r="A495" t="s">
        <v>920</v>
      </c>
      <c r="B495" s="23" t="s">
        <v>921</v>
      </c>
      <c r="C495" t="s">
        <v>437</v>
      </c>
      <c r="D495" t="s">
        <v>43</v>
      </c>
      <c r="E495" t="s">
        <v>250</v>
      </c>
      <c r="F495" t="s">
        <v>45</v>
      </c>
      <c r="G495" t="s">
        <v>122</v>
      </c>
      <c r="H495" t="s">
        <v>33</v>
      </c>
      <c r="I495">
        <v>5</v>
      </c>
      <c r="J495" s="4">
        <v>900</v>
      </c>
      <c r="K495" s="6">
        <v>0</v>
      </c>
      <c r="L495" s="8">
        <v>4500</v>
      </c>
      <c r="M495" s="8">
        <v>2600</v>
      </c>
      <c r="N495" s="8">
        <v>1900</v>
      </c>
      <c r="O495" s="8">
        <f>SalesData[[#This Row],[Quantity]]*SalesData[[#This Row],[Unit Price]]*(1-SalesData[[#This Row],[Discount]])</f>
        <v>4500</v>
      </c>
      <c r="P495" s="8">
        <f>SalesData[[#This Row],[Sales_Check]]-SalesData[[#This Row],[Cost]]</f>
        <v>1900</v>
      </c>
      <c r="Q495" s="13">
        <f>IFERROR(SalesData[[#This Row],[Profit]]/SalesData[[#This Row],[Sales]],0)</f>
        <v>0.42222222222222222</v>
      </c>
      <c r="R495" t="str">
        <f>TEXT(SalesData[[#This Row],[Order Date]],"mmm-yyyy")</f>
        <v>Mar-2026</v>
      </c>
      <c r="S495">
        <f>YEAR(SalesData[[#This Row],[Order Date]])</f>
        <v>2026</v>
      </c>
      <c r="T495" t="str">
        <f>IF(SalesData[[#This Row],[Profit Margin]]&gt;=30%,"High",IF(SalesData[[#This Row],[Profit Margin]]&gt;=15%,"Medium","Low"))</f>
        <v>High</v>
      </c>
    </row>
    <row r="496" spans="1:20" x14ac:dyDescent="0.35">
      <c r="A496" t="s">
        <v>922</v>
      </c>
      <c r="B496" s="23" t="s">
        <v>921</v>
      </c>
      <c r="C496" t="s">
        <v>364</v>
      </c>
      <c r="D496" t="s">
        <v>54</v>
      </c>
      <c r="E496" t="s">
        <v>107</v>
      </c>
      <c r="F496" t="s">
        <v>27</v>
      </c>
      <c r="G496" t="s">
        <v>85</v>
      </c>
      <c r="H496" t="s">
        <v>125</v>
      </c>
      <c r="I496">
        <v>3</v>
      </c>
      <c r="J496" s="4">
        <v>120</v>
      </c>
      <c r="K496" s="6">
        <v>0.05</v>
      </c>
      <c r="L496" s="8">
        <v>342</v>
      </c>
      <c r="M496" s="8">
        <v>165</v>
      </c>
      <c r="N496" s="8">
        <v>177</v>
      </c>
      <c r="O496" s="8">
        <f>SalesData[[#This Row],[Quantity]]*SalesData[[#This Row],[Unit Price]]*(1-SalesData[[#This Row],[Discount]])</f>
        <v>342</v>
      </c>
      <c r="P496" s="8">
        <f>SalesData[[#This Row],[Sales_Check]]-SalesData[[#This Row],[Cost]]</f>
        <v>177</v>
      </c>
      <c r="Q496" s="13">
        <f>IFERROR(SalesData[[#This Row],[Profit]]/SalesData[[#This Row],[Sales]],0)</f>
        <v>0.51754385964912286</v>
      </c>
      <c r="R496" t="str">
        <f>TEXT(SalesData[[#This Row],[Order Date]],"mmm-yyyy")</f>
        <v>Mar-2026</v>
      </c>
      <c r="S496">
        <f>YEAR(SalesData[[#This Row],[Order Date]])</f>
        <v>2026</v>
      </c>
      <c r="T496" t="str">
        <f>IF(SalesData[[#This Row],[Profit Margin]]&gt;=30%,"High",IF(SalesData[[#This Row],[Profit Margin]]&gt;=15%,"Medium","Low"))</f>
        <v>High</v>
      </c>
    </row>
    <row r="497" spans="1:20" x14ac:dyDescent="0.35">
      <c r="A497" t="s">
        <v>923</v>
      </c>
      <c r="B497" s="23" t="s">
        <v>921</v>
      </c>
      <c r="C497" t="s">
        <v>457</v>
      </c>
      <c r="D497" t="s">
        <v>43</v>
      </c>
      <c r="E497" t="s">
        <v>62</v>
      </c>
      <c r="F497" t="s">
        <v>19</v>
      </c>
      <c r="G497" t="s">
        <v>56</v>
      </c>
      <c r="H497" t="s">
        <v>21</v>
      </c>
      <c r="I497">
        <v>1</v>
      </c>
      <c r="J497" s="4">
        <v>500</v>
      </c>
      <c r="K497" s="6">
        <v>0</v>
      </c>
      <c r="L497" s="8">
        <v>500</v>
      </c>
      <c r="M497" s="8">
        <v>280</v>
      </c>
      <c r="N497" s="8">
        <v>220</v>
      </c>
      <c r="O497" s="8">
        <f>SalesData[[#This Row],[Quantity]]*SalesData[[#This Row],[Unit Price]]*(1-SalesData[[#This Row],[Discount]])</f>
        <v>500</v>
      </c>
      <c r="P497" s="8">
        <f>SalesData[[#This Row],[Sales_Check]]-SalesData[[#This Row],[Cost]]</f>
        <v>220</v>
      </c>
      <c r="Q497" s="13">
        <f>IFERROR(SalesData[[#This Row],[Profit]]/SalesData[[#This Row],[Sales]],0)</f>
        <v>0.44</v>
      </c>
      <c r="R497" t="str">
        <f>TEXT(SalesData[[#This Row],[Order Date]],"mmm-yyyy")</f>
        <v>Mar-2026</v>
      </c>
      <c r="S497">
        <f>YEAR(SalesData[[#This Row],[Order Date]])</f>
        <v>2026</v>
      </c>
      <c r="T497" t="str">
        <f>IF(SalesData[[#This Row],[Profit Margin]]&gt;=30%,"High",IF(SalesData[[#This Row],[Profit Margin]]&gt;=15%,"Medium","Low"))</f>
        <v>High</v>
      </c>
    </row>
    <row r="498" spans="1:20" x14ac:dyDescent="0.35">
      <c r="A498" t="s">
        <v>924</v>
      </c>
      <c r="B498" s="23" t="s">
        <v>921</v>
      </c>
      <c r="C498" t="s">
        <v>254</v>
      </c>
      <c r="D498" t="s">
        <v>25</v>
      </c>
      <c r="E498" t="s">
        <v>89</v>
      </c>
      <c r="F498" t="s">
        <v>45</v>
      </c>
      <c r="G498" t="s">
        <v>122</v>
      </c>
      <c r="H498" t="s">
        <v>39</v>
      </c>
      <c r="I498">
        <v>6</v>
      </c>
      <c r="J498" s="4">
        <v>550</v>
      </c>
      <c r="K498" s="6">
        <v>0</v>
      </c>
      <c r="L498" s="8">
        <v>3300</v>
      </c>
      <c r="M498" s="8">
        <v>1800</v>
      </c>
      <c r="N498" s="8">
        <v>1500</v>
      </c>
      <c r="O498" s="8">
        <f>SalesData[[#This Row],[Quantity]]*SalesData[[#This Row],[Unit Price]]*(1-SalesData[[#This Row],[Discount]])</f>
        <v>3300</v>
      </c>
      <c r="P498" s="8">
        <f>SalesData[[#This Row],[Sales_Check]]-SalesData[[#This Row],[Cost]]</f>
        <v>1500</v>
      </c>
      <c r="Q498" s="13">
        <f>IFERROR(SalesData[[#This Row],[Profit]]/SalesData[[#This Row],[Sales]],0)</f>
        <v>0.45454545454545453</v>
      </c>
      <c r="R498" t="str">
        <f>TEXT(SalesData[[#This Row],[Order Date]],"mmm-yyyy")</f>
        <v>Mar-2026</v>
      </c>
      <c r="S498">
        <f>YEAR(SalesData[[#This Row],[Order Date]])</f>
        <v>2026</v>
      </c>
      <c r="T498" t="str">
        <f>IF(SalesData[[#This Row],[Profit Margin]]&gt;=30%,"High",IF(SalesData[[#This Row],[Profit Margin]]&gt;=15%,"Medium","Low"))</f>
        <v>High</v>
      </c>
    </row>
    <row r="499" spans="1:20" x14ac:dyDescent="0.35">
      <c r="A499" t="s">
        <v>925</v>
      </c>
      <c r="B499" s="23" t="s">
        <v>926</v>
      </c>
      <c r="C499" t="s">
        <v>637</v>
      </c>
      <c r="D499" t="s">
        <v>54</v>
      </c>
      <c r="E499" t="s">
        <v>107</v>
      </c>
      <c r="F499" t="s">
        <v>27</v>
      </c>
      <c r="G499" t="s">
        <v>28</v>
      </c>
      <c r="H499" t="s">
        <v>29</v>
      </c>
      <c r="I499">
        <v>5</v>
      </c>
      <c r="J499" s="4">
        <v>120</v>
      </c>
      <c r="K499" s="6">
        <v>0</v>
      </c>
      <c r="L499" s="8">
        <v>600</v>
      </c>
      <c r="M499" s="8">
        <v>275</v>
      </c>
      <c r="N499" s="8">
        <v>325</v>
      </c>
      <c r="O499" s="8">
        <f>SalesData[[#This Row],[Quantity]]*SalesData[[#This Row],[Unit Price]]*(1-SalesData[[#This Row],[Discount]])</f>
        <v>600</v>
      </c>
      <c r="P499" s="8">
        <f>SalesData[[#This Row],[Sales_Check]]-SalesData[[#This Row],[Cost]]</f>
        <v>325</v>
      </c>
      <c r="Q499" s="13">
        <f>IFERROR(SalesData[[#This Row],[Profit]]/SalesData[[#This Row],[Sales]],0)</f>
        <v>0.54166666666666663</v>
      </c>
      <c r="R499" t="str">
        <f>TEXT(SalesData[[#This Row],[Order Date]],"mmm-yyyy")</f>
        <v>Mar-2026</v>
      </c>
      <c r="S499">
        <f>YEAR(SalesData[[#This Row],[Order Date]])</f>
        <v>2026</v>
      </c>
      <c r="T499" t="str">
        <f>IF(SalesData[[#This Row],[Profit Margin]]&gt;=30%,"High",IF(SalesData[[#This Row],[Profit Margin]]&gt;=15%,"Medium","Low"))</f>
        <v>High</v>
      </c>
    </row>
    <row r="500" spans="1:20" x14ac:dyDescent="0.35">
      <c r="A500" t="s">
        <v>927</v>
      </c>
      <c r="B500" s="23" t="s">
        <v>928</v>
      </c>
      <c r="C500" t="s">
        <v>102</v>
      </c>
      <c r="D500" t="s">
        <v>17</v>
      </c>
      <c r="E500" t="s">
        <v>50</v>
      </c>
      <c r="F500" t="s">
        <v>45</v>
      </c>
      <c r="G500" t="s">
        <v>70</v>
      </c>
      <c r="H500" t="s">
        <v>39</v>
      </c>
      <c r="I500">
        <v>6</v>
      </c>
      <c r="J500" s="4">
        <v>650</v>
      </c>
      <c r="K500" s="6">
        <v>0.05</v>
      </c>
      <c r="L500" s="8">
        <v>3705</v>
      </c>
      <c r="M500" s="8">
        <v>2280</v>
      </c>
      <c r="N500" s="8">
        <v>1425</v>
      </c>
      <c r="O500" s="8">
        <f>SalesData[[#This Row],[Quantity]]*SalesData[[#This Row],[Unit Price]]*(1-SalesData[[#This Row],[Discount]])</f>
        <v>3705</v>
      </c>
      <c r="P500" s="8">
        <f>SalesData[[#This Row],[Sales_Check]]-SalesData[[#This Row],[Cost]]</f>
        <v>1425</v>
      </c>
      <c r="Q500" s="13">
        <f>IFERROR(SalesData[[#This Row],[Profit]]/SalesData[[#This Row],[Sales]],0)</f>
        <v>0.38461538461538464</v>
      </c>
      <c r="R500" t="str">
        <f>TEXT(SalesData[[#This Row],[Order Date]],"mmm-yyyy")</f>
        <v>Mar-2026</v>
      </c>
      <c r="S500">
        <f>YEAR(SalesData[[#This Row],[Order Date]])</f>
        <v>2026</v>
      </c>
      <c r="T500" t="str">
        <f>IF(SalesData[[#This Row],[Profit Margin]]&gt;=30%,"High",IF(SalesData[[#This Row],[Profit Margin]]&gt;=15%,"Medium","Low"))</f>
        <v>High</v>
      </c>
    </row>
    <row r="501" spans="1:20" x14ac:dyDescent="0.35">
      <c r="A501" t="s">
        <v>929</v>
      </c>
      <c r="B501" s="23" t="s">
        <v>928</v>
      </c>
      <c r="C501" t="s">
        <v>238</v>
      </c>
      <c r="D501" t="s">
        <v>25</v>
      </c>
      <c r="E501" t="s">
        <v>69</v>
      </c>
      <c r="F501" t="s">
        <v>45</v>
      </c>
      <c r="G501" t="s">
        <v>70</v>
      </c>
      <c r="H501" t="s">
        <v>39</v>
      </c>
      <c r="I501">
        <v>5</v>
      </c>
      <c r="J501" s="4">
        <v>350</v>
      </c>
      <c r="K501" s="6">
        <v>0</v>
      </c>
      <c r="L501" s="8">
        <v>1750</v>
      </c>
      <c r="M501" s="8">
        <v>900</v>
      </c>
      <c r="N501" s="8">
        <v>850</v>
      </c>
      <c r="O501" s="8">
        <f>SalesData[[#This Row],[Quantity]]*SalesData[[#This Row],[Unit Price]]*(1-SalesData[[#This Row],[Discount]])</f>
        <v>1750</v>
      </c>
      <c r="P501" s="8">
        <f>SalesData[[#This Row],[Sales_Check]]-SalesData[[#This Row],[Cost]]</f>
        <v>850</v>
      </c>
      <c r="Q501" s="13">
        <f>IFERROR(SalesData[[#This Row],[Profit]]/SalesData[[#This Row],[Sales]],0)</f>
        <v>0.48571428571428571</v>
      </c>
      <c r="R501" t="str">
        <f>TEXT(SalesData[[#This Row],[Order Date]],"mmm-yyyy")</f>
        <v>Mar-2026</v>
      </c>
      <c r="S501">
        <f>YEAR(SalesData[[#This Row],[Order Date]])</f>
        <v>2026</v>
      </c>
      <c r="T501" t="str">
        <f>IF(SalesData[[#This Row],[Profit Margin]]&gt;=30%,"High",IF(SalesData[[#This Row],[Profit Margin]]&gt;=15%,"Medium","Low"))</f>
        <v>High</v>
      </c>
    </row>
    <row r="502" spans="1:20" x14ac:dyDescent="0.35">
      <c r="A502" t="s">
        <v>930</v>
      </c>
      <c r="B502" s="23" t="s">
        <v>928</v>
      </c>
      <c r="C502" t="s">
        <v>115</v>
      </c>
      <c r="D502" t="s">
        <v>54</v>
      </c>
      <c r="E502" t="s">
        <v>55</v>
      </c>
      <c r="F502" t="s">
        <v>27</v>
      </c>
      <c r="G502" t="s">
        <v>85</v>
      </c>
      <c r="H502" t="s">
        <v>33</v>
      </c>
      <c r="I502">
        <v>4</v>
      </c>
      <c r="J502" s="4">
        <v>180</v>
      </c>
      <c r="K502" s="6">
        <v>0</v>
      </c>
      <c r="L502" s="8">
        <v>720</v>
      </c>
      <c r="M502" s="8">
        <v>360</v>
      </c>
      <c r="N502" s="8">
        <v>360</v>
      </c>
      <c r="O502" s="8">
        <f>SalesData[[#This Row],[Quantity]]*SalesData[[#This Row],[Unit Price]]*(1-SalesData[[#This Row],[Discount]])</f>
        <v>720</v>
      </c>
      <c r="P502" s="8">
        <f>SalesData[[#This Row],[Sales_Check]]-SalesData[[#This Row],[Cost]]</f>
        <v>360</v>
      </c>
      <c r="Q502" s="13">
        <f>IFERROR(SalesData[[#This Row],[Profit]]/SalesData[[#This Row],[Sales]],0)</f>
        <v>0.5</v>
      </c>
      <c r="R502" t="str">
        <f>TEXT(SalesData[[#This Row],[Order Date]],"mmm-yyyy")</f>
        <v>Mar-2026</v>
      </c>
      <c r="S502">
        <f>YEAR(SalesData[[#This Row],[Order Date]])</f>
        <v>2026</v>
      </c>
      <c r="T502" t="str">
        <f>IF(SalesData[[#This Row],[Profit Margin]]&gt;=30%,"High",IF(SalesData[[#This Row],[Profit Margin]]&gt;=15%,"Medium","Low"))</f>
        <v>High</v>
      </c>
    </row>
    <row r="503" spans="1:20" x14ac:dyDescent="0.35">
      <c r="A503" t="s">
        <v>931</v>
      </c>
      <c r="B503" s="23" t="s">
        <v>932</v>
      </c>
      <c r="C503" t="s">
        <v>68</v>
      </c>
      <c r="D503" t="s">
        <v>25</v>
      </c>
      <c r="E503" t="s">
        <v>89</v>
      </c>
      <c r="F503" t="s">
        <v>19</v>
      </c>
      <c r="G503" t="s">
        <v>113</v>
      </c>
      <c r="H503" t="s">
        <v>21</v>
      </c>
      <c r="I503">
        <v>4</v>
      </c>
      <c r="J503" s="4">
        <v>550</v>
      </c>
      <c r="K503" s="6">
        <v>0</v>
      </c>
      <c r="L503" s="8">
        <v>2200</v>
      </c>
      <c r="M503" s="8">
        <v>1200</v>
      </c>
      <c r="N503" s="8">
        <v>1000</v>
      </c>
      <c r="O503" s="8">
        <f>SalesData[[#This Row],[Quantity]]*SalesData[[#This Row],[Unit Price]]*(1-SalesData[[#This Row],[Discount]])</f>
        <v>2200</v>
      </c>
      <c r="P503" s="8">
        <f>SalesData[[#This Row],[Sales_Check]]-SalesData[[#This Row],[Cost]]</f>
        <v>1000</v>
      </c>
      <c r="Q503" s="13">
        <f>IFERROR(SalesData[[#This Row],[Profit]]/SalesData[[#This Row],[Sales]],0)</f>
        <v>0.45454545454545453</v>
      </c>
      <c r="R503" t="str">
        <f>TEXT(SalesData[[#This Row],[Order Date]],"mmm-yyyy")</f>
        <v>Mar-2026</v>
      </c>
      <c r="S503">
        <f>YEAR(SalesData[[#This Row],[Order Date]])</f>
        <v>2026</v>
      </c>
      <c r="T503" t="str">
        <f>IF(SalesData[[#This Row],[Profit Margin]]&gt;=30%,"High",IF(SalesData[[#This Row],[Profit Margin]]&gt;=15%,"Medium","Low"))</f>
        <v>High</v>
      </c>
    </row>
    <row r="504" spans="1:20" x14ac:dyDescent="0.35">
      <c r="A504" t="s">
        <v>933</v>
      </c>
      <c r="B504" s="23" t="s">
        <v>932</v>
      </c>
      <c r="C504" t="s">
        <v>236</v>
      </c>
      <c r="D504" t="s">
        <v>17</v>
      </c>
      <c r="E504" t="s">
        <v>65</v>
      </c>
      <c r="F504" t="s">
        <v>45</v>
      </c>
      <c r="G504" t="s">
        <v>104</v>
      </c>
      <c r="H504" t="s">
        <v>39</v>
      </c>
      <c r="I504">
        <v>4</v>
      </c>
      <c r="J504" s="4">
        <v>2200</v>
      </c>
      <c r="K504" s="6">
        <v>0</v>
      </c>
      <c r="L504" s="8">
        <v>8800</v>
      </c>
      <c r="M504" s="8">
        <v>5600</v>
      </c>
      <c r="N504" s="8">
        <v>3200</v>
      </c>
      <c r="O504" s="8">
        <f>SalesData[[#This Row],[Quantity]]*SalesData[[#This Row],[Unit Price]]*(1-SalesData[[#This Row],[Discount]])</f>
        <v>8800</v>
      </c>
      <c r="P504" s="8">
        <f>SalesData[[#This Row],[Sales_Check]]-SalesData[[#This Row],[Cost]]</f>
        <v>3200</v>
      </c>
      <c r="Q504" s="13">
        <f>IFERROR(SalesData[[#This Row],[Profit]]/SalesData[[#This Row],[Sales]],0)</f>
        <v>0.36363636363636365</v>
      </c>
      <c r="R504" t="str">
        <f>TEXT(SalesData[[#This Row],[Order Date]],"mmm-yyyy")</f>
        <v>Mar-2026</v>
      </c>
      <c r="S504">
        <f>YEAR(SalesData[[#This Row],[Order Date]])</f>
        <v>2026</v>
      </c>
      <c r="T504" t="str">
        <f>IF(SalesData[[#This Row],[Profit Margin]]&gt;=30%,"High",IF(SalesData[[#This Row],[Profit Margin]]&gt;=15%,"Medium","Low"))</f>
        <v>High</v>
      </c>
    </row>
    <row r="505" spans="1:20" x14ac:dyDescent="0.35">
      <c r="A505" t="s">
        <v>934</v>
      </c>
      <c r="B505" s="23" t="s">
        <v>932</v>
      </c>
      <c r="C505" t="s">
        <v>464</v>
      </c>
      <c r="D505" t="s">
        <v>43</v>
      </c>
      <c r="E505" t="s">
        <v>250</v>
      </c>
      <c r="F505" t="s">
        <v>27</v>
      </c>
      <c r="G505" t="s">
        <v>28</v>
      </c>
      <c r="H505" t="s">
        <v>39</v>
      </c>
      <c r="I505">
        <v>6</v>
      </c>
      <c r="J505" s="4">
        <v>900</v>
      </c>
      <c r="K505" s="6">
        <v>0.05</v>
      </c>
      <c r="L505" s="8">
        <v>5130</v>
      </c>
      <c r="M505" s="8">
        <v>3120</v>
      </c>
      <c r="N505" s="8">
        <v>2010</v>
      </c>
      <c r="O505" s="8">
        <f>SalesData[[#This Row],[Quantity]]*SalesData[[#This Row],[Unit Price]]*(1-SalesData[[#This Row],[Discount]])</f>
        <v>5130</v>
      </c>
      <c r="P505" s="8">
        <f>SalesData[[#This Row],[Sales_Check]]-SalesData[[#This Row],[Cost]]</f>
        <v>2010</v>
      </c>
      <c r="Q505" s="13">
        <f>IFERROR(SalesData[[#This Row],[Profit]]/SalesData[[#This Row],[Sales]],0)</f>
        <v>0.391812865497076</v>
      </c>
      <c r="R505" t="str">
        <f>TEXT(SalesData[[#This Row],[Order Date]],"mmm-yyyy")</f>
        <v>Mar-2026</v>
      </c>
      <c r="S505">
        <f>YEAR(SalesData[[#This Row],[Order Date]])</f>
        <v>2026</v>
      </c>
      <c r="T505" t="str">
        <f>IF(SalesData[[#This Row],[Profit Margin]]&gt;=30%,"High",IF(SalesData[[#This Row],[Profit Margin]]&gt;=15%,"Medium","Low"))</f>
        <v>High</v>
      </c>
    </row>
    <row r="506" spans="1:20" x14ac:dyDescent="0.35">
      <c r="A506" t="s">
        <v>935</v>
      </c>
      <c r="B506" s="23" t="s">
        <v>932</v>
      </c>
      <c r="C506" t="s">
        <v>377</v>
      </c>
      <c r="D506" t="s">
        <v>17</v>
      </c>
      <c r="E506" t="s">
        <v>18</v>
      </c>
      <c r="F506" t="s">
        <v>37</v>
      </c>
      <c r="G506" t="s">
        <v>140</v>
      </c>
      <c r="H506" t="s">
        <v>21</v>
      </c>
      <c r="I506">
        <v>7</v>
      </c>
      <c r="J506" s="4">
        <v>1800</v>
      </c>
      <c r="K506" s="6">
        <v>0.05</v>
      </c>
      <c r="L506" s="8">
        <v>11970</v>
      </c>
      <c r="M506" s="8">
        <v>7700</v>
      </c>
      <c r="N506" s="8">
        <v>4270</v>
      </c>
      <c r="O506" s="8">
        <f>SalesData[[#This Row],[Quantity]]*SalesData[[#This Row],[Unit Price]]*(1-SalesData[[#This Row],[Discount]])</f>
        <v>11970</v>
      </c>
      <c r="P506" s="8">
        <f>SalesData[[#This Row],[Sales_Check]]-SalesData[[#This Row],[Cost]]</f>
        <v>4270</v>
      </c>
      <c r="Q506" s="13">
        <f>IFERROR(SalesData[[#This Row],[Profit]]/SalesData[[#This Row],[Sales]],0)</f>
        <v>0.35672514619883039</v>
      </c>
      <c r="R506" t="str">
        <f>TEXT(SalesData[[#This Row],[Order Date]],"mmm-yyyy")</f>
        <v>Mar-2026</v>
      </c>
      <c r="S506">
        <f>YEAR(SalesData[[#This Row],[Order Date]])</f>
        <v>2026</v>
      </c>
      <c r="T506" t="str">
        <f>IF(SalesData[[#This Row],[Profit Margin]]&gt;=30%,"High",IF(SalesData[[#This Row],[Profit Margin]]&gt;=15%,"Medium","Low"))</f>
        <v>High</v>
      </c>
    </row>
    <row r="507" spans="1:20" x14ac:dyDescent="0.35">
      <c r="A507" t="s">
        <v>936</v>
      </c>
      <c r="B507" s="23" t="s">
        <v>937</v>
      </c>
      <c r="C507" t="s">
        <v>683</v>
      </c>
      <c r="D507" t="s">
        <v>43</v>
      </c>
      <c r="E507" t="s">
        <v>143</v>
      </c>
      <c r="F507" t="s">
        <v>45</v>
      </c>
      <c r="G507" t="s">
        <v>46</v>
      </c>
      <c r="H507" t="s">
        <v>125</v>
      </c>
      <c r="I507">
        <v>3</v>
      </c>
      <c r="J507" s="4">
        <v>650</v>
      </c>
      <c r="K507" s="6">
        <v>0</v>
      </c>
      <c r="L507" s="8">
        <v>1950</v>
      </c>
      <c r="M507" s="8">
        <v>1050</v>
      </c>
      <c r="N507" s="8">
        <v>900</v>
      </c>
      <c r="O507" s="8">
        <f>SalesData[[#This Row],[Quantity]]*SalesData[[#This Row],[Unit Price]]*(1-SalesData[[#This Row],[Discount]])</f>
        <v>1950</v>
      </c>
      <c r="P507" s="8">
        <f>SalesData[[#This Row],[Sales_Check]]-SalesData[[#This Row],[Cost]]</f>
        <v>900</v>
      </c>
      <c r="Q507" s="13">
        <f>IFERROR(SalesData[[#This Row],[Profit]]/SalesData[[#This Row],[Sales]],0)</f>
        <v>0.46153846153846156</v>
      </c>
      <c r="R507" t="str">
        <f>TEXT(SalesData[[#This Row],[Order Date]],"mmm-yyyy")</f>
        <v>Mar-2026</v>
      </c>
      <c r="S507">
        <f>YEAR(SalesData[[#This Row],[Order Date]])</f>
        <v>2026</v>
      </c>
      <c r="T507" t="str">
        <f>IF(SalesData[[#This Row],[Profit Margin]]&gt;=30%,"High",IF(SalesData[[#This Row],[Profit Margin]]&gt;=15%,"Medium","Low"))</f>
        <v>High</v>
      </c>
    </row>
    <row r="508" spans="1:20" x14ac:dyDescent="0.35">
      <c r="A508" t="s">
        <v>938</v>
      </c>
      <c r="B508" s="23" t="s">
        <v>937</v>
      </c>
      <c r="C508" t="s">
        <v>791</v>
      </c>
      <c r="D508" t="s">
        <v>43</v>
      </c>
      <c r="E508" t="s">
        <v>169</v>
      </c>
      <c r="F508" t="s">
        <v>37</v>
      </c>
      <c r="G508" t="s">
        <v>140</v>
      </c>
      <c r="H508" t="s">
        <v>47</v>
      </c>
      <c r="I508">
        <v>1</v>
      </c>
      <c r="J508" s="4">
        <v>350</v>
      </c>
      <c r="K508" s="6">
        <v>0</v>
      </c>
      <c r="L508" s="8">
        <v>350</v>
      </c>
      <c r="M508" s="8">
        <v>170</v>
      </c>
      <c r="N508" s="8">
        <v>180</v>
      </c>
      <c r="O508" s="8">
        <f>SalesData[[#This Row],[Quantity]]*SalesData[[#This Row],[Unit Price]]*(1-SalesData[[#This Row],[Discount]])</f>
        <v>350</v>
      </c>
      <c r="P508" s="8">
        <f>SalesData[[#This Row],[Sales_Check]]-SalesData[[#This Row],[Cost]]</f>
        <v>180</v>
      </c>
      <c r="Q508" s="13">
        <f>IFERROR(SalesData[[#This Row],[Profit]]/SalesData[[#This Row],[Sales]],0)</f>
        <v>0.51428571428571423</v>
      </c>
      <c r="R508" t="str">
        <f>TEXT(SalesData[[#This Row],[Order Date]],"mmm-yyyy")</f>
        <v>Mar-2026</v>
      </c>
      <c r="S508">
        <f>YEAR(SalesData[[#This Row],[Order Date]])</f>
        <v>2026</v>
      </c>
      <c r="T508" t="str">
        <f>IF(SalesData[[#This Row],[Profit Margin]]&gt;=30%,"High",IF(SalesData[[#This Row],[Profit Margin]]&gt;=15%,"Medium","Low"))</f>
        <v>High</v>
      </c>
    </row>
    <row r="509" spans="1:20" x14ac:dyDescent="0.35">
      <c r="A509" t="s">
        <v>939</v>
      </c>
      <c r="B509" s="23" t="s">
        <v>937</v>
      </c>
      <c r="C509" t="s">
        <v>331</v>
      </c>
      <c r="D509" t="s">
        <v>43</v>
      </c>
      <c r="E509" t="s">
        <v>44</v>
      </c>
      <c r="F509" t="s">
        <v>37</v>
      </c>
      <c r="G509" t="s">
        <v>140</v>
      </c>
      <c r="H509" t="s">
        <v>21</v>
      </c>
      <c r="I509">
        <v>7</v>
      </c>
      <c r="J509" s="4">
        <v>2200</v>
      </c>
      <c r="K509" s="6">
        <v>0</v>
      </c>
      <c r="L509" s="8">
        <v>15400</v>
      </c>
      <c r="M509" s="8">
        <v>10150</v>
      </c>
      <c r="N509" s="8">
        <v>5250</v>
      </c>
      <c r="O509" s="8">
        <f>SalesData[[#This Row],[Quantity]]*SalesData[[#This Row],[Unit Price]]*(1-SalesData[[#This Row],[Discount]])</f>
        <v>15400</v>
      </c>
      <c r="P509" s="8">
        <f>SalesData[[#This Row],[Sales_Check]]-SalesData[[#This Row],[Cost]]</f>
        <v>5250</v>
      </c>
      <c r="Q509" s="13">
        <f>IFERROR(SalesData[[#This Row],[Profit]]/SalesData[[#This Row],[Sales]],0)</f>
        <v>0.34090909090909088</v>
      </c>
      <c r="R509" t="str">
        <f>TEXT(SalesData[[#This Row],[Order Date]],"mmm-yyyy")</f>
        <v>Mar-2026</v>
      </c>
      <c r="S509">
        <f>YEAR(SalesData[[#This Row],[Order Date]])</f>
        <v>2026</v>
      </c>
      <c r="T509" t="str">
        <f>IF(SalesData[[#This Row],[Profit Margin]]&gt;=30%,"High",IF(SalesData[[#This Row],[Profit Margin]]&gt;=15%,"Medium","Low"))</f>
        <v>High</v>
      </c>
    </row>
    <row r="510" spans="1:20" x14ac:dyDescent="0.35">
      <c r="A510" t="s">
        <v>940</v>
      </c>
      <c r="B510" s="23" t="s">
        <v>937</v>
      </c>
      <c r="C510" t="s">
        <v>158</v>
      </c>
      <c r="D510" t="s">
        <v>17</v>
      </c>
      <c r="E510" t="s">
        <v>50</v>
      </c>
      <c r="F510" t="s">
        <v>37</v>
      </c>
      <c r="G510" t="s">
        <v>73</v>
      </c>
      <c r="H510" t="s">
        <v>29</v>
      </c>
      <c r="I510">
        <v>4</v>
      </c>
      <c r="J510" s="4">
        <v>650</v>
      </c>
      <c r="K510" s="6">
        <v>0.05</v>
      </c>
      <c r="L510" s="8">
        <v>2470</v>
      </c>
      <c r="M510" s="8">
        <v>1520</v>
      </c>
      <c r="N510" s="8">
        <v>950</v>
      </c>
      <c r="O510" s="8">
        <f>SalesData[[#This Row],[Quantity]]*SalesData[[#This Row],[Unit Price]]*(1-SalesData[[#This Row],[Discount]])</f>
        <v>2470</v>
      </c>
      <c r="P510" s="8">
        <f>SalesData[[#This Row],[Sales_Check]]-SalesData[[#This Row],[Cost]]</f>
        <v>950</v>
      </c>
      <c r="Q510" s="13">
        <f>IFERROR(SalesData[[#This Row],[Profit]]/SalesData[[#This Row],[Sales]],0)</f>
        <v>0.38461538461538464</v>
      </c>
      <c r="R510" t="str">
        <f>TEXT(SalesData[[#This Row],[Order Date]],"mmm-yyyy")</f>
        <v>Mar-2026</v>
      </c>
      <c r="S510">
        <f>YEAR(SalesData[[#This Row],[Order Date]])</f>
        <v>2026</v>
      </c>
      <c r="T510" t="str">
        <f>IF(SalesData[[#This Row],[Profit Margin]]&gt;=30%,"High",IF(SalesData[[#This Row],[Profit Margin]]&gt;=15%,"Medium","Low"))</f>
        <v>High</v>
      </c>
    </row>
    <row r="511" spans="1:20" x14ac:dyDescent="0.35">
      <c r="A511" t="s">
        <v>941</v>
      </c>
      <c r="B511" s="23" t="s">
        <v>942</v>
      </c>
      <c r="C511" t="s">
        <v>386</v>
      </c>
      <c r="D511" t="s">
        <v>17</v>
      </c>
      <c r="E511" t="s">
        <v>50</v>
      </c>
      <c r="F511" t="s">
        <v>45</v>
      </c>
      <c r="G511" t="s">
        <v>46</v>
      </c>
      <c r="H511" t="s">
        <v>33</v>
      </c>
      <c r="I511">
        <v>9</v>
      </c>
      <c r="J511" s="4">
        <v>650</v>
      </c>
      <c r="K511" s="6">
        <v>0.05</v>
      </c>
      <c r="L511" s="8">
        <v>5557.5</v>
      </c>
      <c r="M511" s="8">
        <v>3420</v>
      </c>
      <c r="N511" s="8">
        <v>2137.5</v>
      </c>
      <c r="O511" s="8">
        <f>SalesData[[#This Row],[Quantity]]*SalesData[[#This Row],[Unit Price]]*(1-SalesData[[#This Row],[Discount]])</f>
        <v>5557.5</v>
      </c>
      <c r="P511" s="8">
        <f>SalesData[[#This Row],[Sales_Check]]-SalesData[[#This Row],[Cost]]</f>
        <v>2137.5</v>
      </c>
      <c r="Q511" s="13">
        <f>IFERROR(SalesData[[#This Row],[Profit]]/SalesData[[#This Row],[Sales]],0)</f>
        <v>0.38461538461538464</v>
      </c>
      <c r="R511" t="str">
        <f>TEXT(SalesData[[#This Row],[Order Date]],"mmm-yyyy")</f>
        <v>Mar-2026</v>
      </c>
      <c r="S511">
        <f>YEAR(SalesData[[#This Row],[Order Date]])</f>
        <v>2026</v>
      </c>
      <c r="T511" t="str">
        <f>IF(SalesData[[#This Row],[Profit Margin]]&gt;=30%,"High",IF(SalesData[[#This Row],[Profit Margin]]&gt;=15%,"Medium","Low"))</f>
        <v>High</v>
      </c>
    </row>
    <row r="512" spans="1:20" x14ac:dyDescent="0.35">
      <c r="A512" t="s">
        <v>943</v>
      </c>
      <c r="B512" s="23" t="s">
        <v>942</v>
      </c>
      <c r="C512" t="s">
        <v>362</v>
      </c>
      <c r="D512" t="s">
        <v>17</v>
      </c>
      <c r="E512" t="s">
        <v>124</v>
      </c>
      <c r="F512" t="s">
        <v>37</v>
      </c>
      <c r="G512" t="s">
        <v>73</v>
      </c>
      <c r="H512" t="s">
        <v>33</v>
      </c>
      <c r="I512">
        <v>9</v>
      </c>
      <c r="J512" s="4">
        <v>1200</v>
      </c>
      <c r="K512" s="6">
        <v>0.15</v>
      </c>
      <c r="L512" s="8">
        <v>9180</v>
      </c>
      <c r="M512" s="8">
        <v>6480</v>
      </c>
      <c r="N512" s="8">
        <v>2700</v>
      </c>
      <c r="O512" s="8">
        <f>SalesData[[#This Row],[Quantity]]*SalesData[[#This Row],[Unit Price]]*(1-SalesData[[#This Row],[Discount]])</f>
        <v>9180</v>
      </c>
      <c r="P512" s="8">
        <f>SalesData[[#This Row],[Sales_Check]]-SalesData[[#This Row],[Cost]]</f>
        <v>2700</v>
      </c>
      <c r="Q512" s="13">
        <f>IFERROR(SalesData[[#This Row],[Profit]]/SalesData[[#This Row],[Sales]],0)</f>
        <v>0.29411764705882354</v>
      </c>
      <c r="R512" t="str">
        <f>TEXT(SalesData[[#This Row],[Order Date]],"mmm-yyyy")</f>
        <v>Mar-2026</v>
      </c>
      <c r="S512">
        <f>YEAR(SalesData[[#This Row],[Order Date]])</f>
        <v>2026</v>
      </c>
      <c r="T512" t="str">
        <f>IF(SalesData[[#This Row],[Profit Margin]]&gt;=30%,"High",IF(SalesData[[#This Row],[Profit Margin]]&gt;=15%,"Medium","Low"))</f>
        <v>Medium</v>
      </c>
    </row>
    <row r="513" spans="1:20" x14ac:dyDescent="0.35">
      <c r="A513" t="s">
        <v>944</v>
      </c>
      <c r="B513" s="23" t="s">
        <v>942</v>
      </c>
      <c r="C513" t="s">
        <v>31</v>
      </c>
      <c r="D513" t="s">
        <v>17</v>
      </c>
      <c r="E513" t="s">
        <v>65</v>
      </c>
      <c r="F513" t="s">
        <v>37</v>
      </c>
      <c r="G513" t="s">
        <v>97</v>
      </c>
      <c r="H513" t="s">
        <v>29</v>
      </c>
      <c r="I513">
        <v>5</v>
      </c>
      <c r="J513" s="4">
        <v>2200</v>
      </c>
      <c r="K513" s="6">
        <v>0</v>
      </c>
      <c r="L513" s="8">
        <v>11000</v>
      </c>
      <c r="M513" s="8">
        <v>7000</v>
      </c>
      <c r="N513" s="8">
        <v>4000</v>
      </c>
      <c r="O513" s="8">
        <f>SalesData[[#This Row],[Quantity]]*SalesData[[#This Row],[Unit Price]]*(1-SalesData[[#This Row],[Discount]])</f>
        <v>11000</v>
      </c>
      <c r="P513" s="8">
        <f>SalesData[[#This Row],[Sales_Check]]-SalesData[[#This Row],[Cost]]</f>
        <v>4000</v>
      </c>
      <c r="Q513" s="13">
        <f>IFERROR(SalesData[[#This Row],[Profit]]/SalesData[[#This Row],[Sales]],0)</f>
        <v>0.36363636363636365</v>
      </c>
      <c r="R513" t="str">
        <f>TEXT(SalesData[[#This Row],[Order Date]],"mmm-yyyy")</f>
        <v>Mar-2026</v>
      </c>
      <c r="S513">
        <f>YEAR(SalesData[[#This Row],[Order Date]])</f>
        <v>2026</v>
      </c>
      <c r="T513" t="str">
        <f>IF(SalesData[[#This Row],[Profit Margin]]&gt;=30%,"High",IF(SalesData[[#This Row],[Profit Margin]]&gt;=15%,"Medium","Low"))</f>
        <v>High</v>
      </c>
    </row>
    <row r="514" spans="1:20" x14ac:dyDescent="0.35">
      <c r="A514" t="s">
        <v>945</v>
      </c>
      <c r="B514" s="23" t="s">
        <v>946</v>
      </c>
      <c r="C514" t="s">
        <v>878</v>
      </c>
      <c r="D514" t="s">
        <v>43</v>
      </c>
      <c r="E514" t="s">
        <v>169</v>
      </c>
      <c r="F514" t="s">
        <v>27</v>
      </c>
      <c r="G514" t="s">
        <v>90</v>
      </c>
      <c r="H514" t="s">
        <v>47</v>
      </c>
      <c r="I514">
        <v>5</v>
      </c>
      <c r="J514" s="4">
        <v>350</v>
      </c>
      <c r="K514" s="6">
        <v>0.1</v>
      </c>
      <c r="L514" s="8">
        <v>1575</v>
      </c>
      <c r="M514" s="8">
        <v>850</v>
      </c>
      <c r="N514" s="8">
        <v>725</v>
      </c>
      <c r="O514" s="8">
        <f>SalesData[[#This Row],[Quantity]]*SalesData[[#This Row],[Unit Price]]*(1-SalesData[[#This Row],[Discount]])</f>
        <v>1575</v>
      </c>
      <c r="P514" s="8">
        <f>SalesData[[#This Row],[Sales_Check]]-SalesData[[#This Row],[Cost]]</f>
        <v>725</v>
      </c>
      <c r="Q514" s="13">
        <f>IFERROR(SalesData[[#This Row],[Profit]]/SalesData[[#This Row],[Sales]],0)</f>
        <v>0.46031746031746029</v>
      </c>
      <c r="R514" t="str">
        <f>TEXT(SalesData[[#This Row],[Order Date]],"mmm-yyyy")</f>
        <v>Mar-2026</v>
      </c>
      <c r="S514">
        <f>YEAR(SalesData[[#This Row],[Order Date]])</f>
        <v>2026</v>
      </c>
      <c r="T514" t="str">
        <f>IF(SalesData[[#This Row],[Profit Margin]]&gt;=30%,"High",IF(SalesData[[#This Row],[Profit Margin]]&gt;=15%,"Medium","Low"))</f>
        <v>High</v>
      </c>
    </row>
    <row r="515" spans="1:20" x14ac:dyDescent="0.35">
      <c r="A515" t="s">
        <v>947</v>
      </c>
      <c r="B515" s="23" t="s">
        <v>946</v>
      </c>
      <c r="C515" t="s">
        <v>313</v>
      </c>
      <c r="D515" t="s">
        <v>54</v>
      </c>
      <c r="E515" t="s">
        <v>103</v>
      </c>
      <c r="F515" t="s">
        <v>45</v>
      </c>
      <c r="G515" t="s">
        <v>104</v>
      </c>
      <c r="H515" t="s">
        <v>125</v>
      </c>
      <c r="I515">
        <v>1</v>
      </c>
      <c r="J515" s="4">
        <v>150</v>
      </c>
      <c r="K515" s="6">
        <v>0</v>
      </c>
      <c r="L515" s="8">
        <v>150</v>
      </c>
      <c r="M515" s="8">
        <v>75</v>
      </c>
      <c r="N515" s="8">
        <v>75</v>
      </c>
      <c r="O515" s="8">
        <f>SalesData[[#This Row],[Quantity]]*SalesData[[#This Row],[Unit Price]]*(1-SalesData[[#This Row],[Discount]])</f>
        <v>150</v>
      </c>
      <c r="P515" s="8">
        <f>SalesData[[#This Row],[Sales_Check]]-SalesData[[#This Row],[Cost]]</f>
        <v>75</v>
      </c>
      <c r="Q515" s="13">
        <f>IFERROR(SalesData[[#This Row],[Profit]]/SalesData[[#This Row],[Sales]],0)</f>
        <v>0.5</v>
      </c>
      <c r="R515" t="str">
        <f>TEXT(SalesData[[#This Row],[Order Date]],"mmm-yyyy")</f>
        <v>Mar-2026</v>
      </c>
      <c r="S515">
        <f>YEAR(SalesData[[#This Row],[Order Date]])</f>
        <v>2026</v>
      </c>
      <c r="T515" t="str">
        <f>IF(SalesData[[#This Row],[Profit Margin]]&gt;=30%,"High",IF(SalesData[[#This Row],[Profit Margin]]&gt;=15%,"Medium","Low"))</f>
        <v>High</v>
      </c>
    </row>
    <row r="516" spans="1:20" x14ac:dyDescent="0.35">
      <c r="A516" t="s">
        <v>948</v>
      </c>
      <c r="B516" s="23" t="s">
        <v>946</v>
      </c>
      <c r="C516" t="s">
        <v>949</v>
      </c>
      <c r="D516" t="s">
        <v>43</v>
      </c>
      <c r="E516" t="s">
        <v>62</v>
      </c>
      <c r="F516" t="s">
        <v>27</v>
      </c>
      <c r="G516" t="s">
        <v>90</v>
      </c>
      <c r="H516" t="s">
        <v>47</v>
      </c>
      <c r="I516">
        <v>7</v>
      </c>
      <c r="J516" s="4">
        <v>500</v>
      </c>
      <c r="K516" s="6">
        <v>0</v>
      </c>
      <c r="L516" s="8">
        <v>3500</v>
      </c>
      <c r="M516" s="8">
        <v>1960</v>
      </c>
      <c r="N516" s="8">
        <v>1540</v>
      </c>
      <c r="O516" s="8">
        <f>SalesData[[#This Row],[Quantity]]*SalesData[[#This Row],[Unit Price]]*(1-SalesData[[#This Row],[Discount]])</f>
        <v>3500</v>
      </c>
      <c r="P516" s="8">
        <f>SalesData[[#This Row],[Sales_Check]]-SalesData[[#This Row],[Cost]]</f>
        <v>1540</v>
      </c>
      <c r="Q516" s="13">
        <f>IFERROR(SalesData[[#This Row],[Profit]]/SalesData[[#This Row],[Sales]],0)</f>
        <v>0.44</v>
      </c>
      <c r="R516" t="str">
        <f>TEXT(SalesData[[#This Row],[Order Date]],"mmm-yyyy")</f>
        <v>Mar-2026</v>
      </c>
      <c r="S516">
        <f>YEAR(SalesData[[#This Row],[Order Date]])</f>
        <v>2026</v>
      </c>
      <c r="T516" t="str">
        <f>IF(SalesData[[#This Row],[Profit Margin]]&gt;=30%,"High",IF(SalesData[[#This Row],[Profit Margin]]&gt;=15%,"Medium","Low"))</f>
        <v>High</v>
      </c>
    </row>
    <row r="517" spans="1:20" x14ac:dyDescent="0.35">
      <c r="A517" t="s">
        <v>950</v>
      </c>
      <c r="B517" s="23" t="s">
        <v>946</v>
      </c>
      <c r="C517" t="s">
        <v>494</v>
      </c>
      <c r="D517" t="s">
        <v>54</v>
      </c>
      <c r="E517" t="s">
        <v>103</v>
      </c>
      <c r="F517" t="s">
        <v>27</v>
      </c>
      <c r="G517" t="s">
        <v>51</v>
      </c>
      <c r="H517" t="s">
        <v>125</v>
      </c>
      <c r="I517">
        <v>2</v>
      </c>
      <c r="J517" s="4">
        <v>150</v>
      </c>
      <c r="K517" s="6">
        <v>0</v>
      </c>
      <c r="L517" s="8">
        <v>300</v>
      </c>
      <c r="M517" s="8">
        <v>150</v>
      </c>
      <c r="N517" s="8">
        <v>150</v>
      </c>
      <c r="O517" s="8">
        <f>SalesData[[#This Row],[Quantity]]*SalesData[[#This Row],[Unit Price]]*(1-SalesData[[#This Row],[Discount]])</f>
        <v>300</v>
      </c>
      <c r="P517" s="8">
        <f>SalesData[[#This Row],[Sales_Check]]-SalesData[[#This Row],[Cost]]</f>
        <v>150</v>
      </c>
      <c r="Q517" s="13">
        <f>IFERROR(SalesData[[#This Row],[Profit]]/SalesData[[#This Row],[Sales]],0)</f>
        <v>0.5</v>
      </c>
      <c r="R517" t="str">
        <f>TEXT(SalesData[[#This Row],[Order Date]],"mmm-yyyy")</f>
        <v>Mar-2026</v>
      </c>
      <c r="S517">
        <f>YEAR(SalesData[[#This Row],[Order Date]])</f>
        <v>2026</v>
      </c>
      <c r="T517" t="str">
        <f>IF(SalesData[[#This Row],[Profit Margin]]&gt;=30%,"High",IF(SalesData[[#This Row],[Profit Margin]]&gt;=15%,"Medium","Low"))</f>
        <v>High</v>
      </c>
    </row>
    <row r="518" spans="1:20" x14ac:dyDescent="0.35">
      <c r="A518" t="s">
        <v>951</v>
      </c>
      <c r="B518" s="23" t="s">
        <v>946</v>
      </c>
      <c r="C518" t="s">
        <v>364</v>
      </c>
      <c r="D518" t="s">
        <v>25</v>
      </c>
      <c r="E518" t="s">
        <v>80</v>
      </c>
      <c r="F518" t="s">
        <v>37</v>
      </c>
      <c r="G518" t="s">
        <v>97</v>
      </c>
      <c r="H518" t="s">
        <v>21</v>
      </c>
      <c r="I518">
        <v>5</v>
      </c>
      <c r="J518" s="4">
        <v>950</v>
      </c>
      <c r="K518" s="6">
        <v>0.1</v>
      </c>
      <c r="L518" s="8">
        <v>4275</v>
      </c>
      <c r="M518" s="8">
        <v>2800</v>
      </c>
      <c r="N518" s="8">
        <v>1475</v>
      </c>
      <c r="O518" s="8">
        <f>SalesData[[#This Row],[Quantity]]*SalesData[[#This Row],[Unit Price]]*(1-SalesData[[#This Row],[Discount]])</f>
        <v>4275</v>
      </c>
      <c r="P518" s="8">
        <f>SalesData[[#This Row],[Sales_Check]]-SalesData[[#This Row],[Cost]]</f>
        <v>1475</v>
      </c>
      <c r="Q518" s="13">
        <f>IFERROR(SalesData[[#This Row],[Profit]]/SalesData[[#This Row],[Sales]],0)</f>
        <v>0.34502923976608185</v>
      </c>
      <c r="R518" t="str">
        <f>TEXT(SalesData[[#This Row],[Order Date]],"mmm-yyyy")</f>
        <v>Mar-2026</v>
      </c>
      <c r="S518">
        <f>YEAR(SalesData[[#This Row],[Order Date]])</f>
        <v>2026</v>
      </c>
      <c r="T518" t="str">
        <f>IF(SalesData[[#This Row],[Profit Margin]]&gt;=30%,"High",IF(SalesData[[#This Row],[Profit Margin]]&gt;=15%,"Medium","Low"))</f>
        <v>High</v>
      </c>
    </row>
    <row r="519" spans="1:20" x14ac:dyDescent="0.35">
      <c r="A519" t="s">
        <v>952</v>
      </c>
      <c r="B519" s="23" t="s">
        <v>953</v>
      </c>
      <c r="C519" t="s">
        <v>367</v>
      </c>
      <c r="D519" t="s">
        <v>25</v>
      </c>
      <c r="E519" t="s">
        <v>36</v>
      </c>
      <c r="F519" t="s">
        <v>45</v>
      </c>
      <c r="G519" t="s">
        <v>122</v>
      </c>
      <c r="H519" t="s">
        <v>47</v>
      </c>
      <c r="I519">
        <v>3</v>
      </c>
      <c r="J519" s="4">
        <v>700</v>
      </c>
      <c r="K519" s="6">
        <v>0</v>
      </c>
      <c r="L519" s="8">
        <v>2100</v>
      </c>
      <c r="M519" s="8">
        <v>1200</v>
      </c>
      <c r="N519" s="8">
        <v>900</v>
      </c>
      <c r="O519" s="8">
        <f>SalesData[[#This Row],[Quantity]]*SalesData[[#This Row],[Unit Price]]*(1-SalesData[[#This Row],[Discount]])</f>
        <v>2100</v>
      </c>
      <c r="P519" s="8">
        <f>SalesData[[#This Row],[Sales_Check]]-SalesData[[#This Row],[Cost]]</f>
        <v>900</v>
      </c>
      <c r="Q519" s="13">
        <f>IFERROR(SalesData[[#This Row],[Profit]]/SalesData[[#This Row],[Sales]],0)</f>
        <v>0.42857142857142855</v>
      </c>
      <c r="R519" t="str">
        <f>TEXT(SalesData[[#This Row],[Order Date]],"mmm-yyyy")</f>
        <v>Mar-2026</v>
      </c>
      <c r="S519">
        <f>YEAR(SalesData[[#This Row],[Order Date]])</f>
        <v>2026</v>
      </c>
      <c r="T519" t="str">
        <f>IF(SalesData[[#This Row],[Profit Margin]]&gt;=30%,"High",IF(SalesData[[#This Row],[Profit Margin]]&gt;=15%,"Medium","Low"))</f>
        <v>High</v>
      </c>
    </row>
    <row r="520" spans="1:20" x14ac:dyDescent="0.35">
      <c r="A520" t="s">
        <v>954</v>
      </c>
      <c r="B520" s="23" t="s">
        <v>953</v>
      </c>
      <c r="C520" t="s">
        <v>631</v>
      </c>
      <c r="D520" t="s">
        <v>43</v>
      </c>
      <c r="E520" t="s">
        <v>250</v>
      </c>
      <c r="F520" t="s">
        <v>37</v>
      </c>
      <c r="G520" t="s">
        <v>38</v>
      </c>
      <c r="H520" t="s">
        <v>125</v>
      </c>
      <c r="I520">
        <v>1</v>
      </c>
      <c r="J520" s="4">
        <v>900</v>
      </c>
      <c r="K520" s="6">
        <v>0</v>
      </c>
      <c r="L520" s="8">
        <v>900</v>
      </c>
      <c r="M520" s="8">
        <v>520</v>
      </c>
      <c r="N520" s="8">
        <v>380</v>
      </c>
      <c r="O520" s="8">
        <f>SalesData[[#This Row],[Quantity]]*SalesData[[#This Row],[Unit Price]]*(1-SalesData[[#This Row],[Discount]])</f>
        <v>900</v>
      </c>
      <c r="P520" s="8">
        <f>SalesData[[#This Row],[Sales_Check]]-SalesData[[#This Row],[Cost]]</f>
        <v>380</v>
      </c>
      <c r="Q520" s="13">
        <f>IFERROR(SalesData[[#This Row],[Profit]]/SalesData[[#This Row],[Sales]],0)</f>
        <v>0.42222222222222222</v>
      </c>
      <c r="R520" t="str">
        <f>TEXT(SalesData[[#This Row],[Order Date]],"mmm-yyyy")</f>
        <v>Mar-2026</v>
      </c>
      <c r="S520">
        <f>YEAR(SalesData[[#This Row],[Order Date]])</f>
        <v>2026</v>
      </c>
      <c r="T520" t="str">
        <f>IF(SalesData[[#This Row],[Profit Margin]]&gt;=30%,"High",IF(SalesData[[#This Row],[Profit Margin]]&gt;=15%,"Medium","Low"))</f>
        <v>High</v>
      </c>
    </row>
    <row r="521" spans="1:20" x14ac:dyDescent="0.35">
      <c r="A521" t="s">
        <v>955</v>
      </c>
      <c r="B521" s="23" t="s">
        <v>953</v>
      </c>
      <c r="C521" t="s">
        <v>723</v>
      </c>
      <c r="D521" t="s">
        <v>54</v>
      </c>
      <c r="E521" t="s">
        <v>103</v>
      </c>
      <c r="F521" t="s">
        <v>45</v>
      </c>
      <c r="G521" t="s">
        <v>104</v>
      </c>
      <c r="H521" t="s">
        <v>47</v>
      </c>
      <c r="I521">
        <v>1</v>
      </c>
      <c r="J521" s="4">
        <v>150</v>
      </c>
      <c r="K521" s="6">
        <v>0</v>
      </c>
      <c r="L521" s="8">
        <v>150</v>
      </c>
      <c r="M521" s="8">
        <v>75</v>
      </c>
      <c r="N521" s="8">
        <v>75</v>
      </c>
      <c r="O521" s="8">
        <f>SalesData[[#This Row],[Quantity]]*SalesData[[#This Row],[Unit Price]]*(1-SalesData[[#This Row],[Discount]])</f>
        <v>150</v>
      </c>
      <c r="P521" s="8">
        <f>SalesData[[#This Row],[Sales_Check]]-SalesData[[#This Row],[Cost]]</f>
        <v>75</v>
      </c>
      <c r="Q521" s="13">
        <f>IFERROR(SalesData[[#This Row],[Profit]]/SalesData[[#This Row],[Sales]],0)</f>
        <v>0.5</v>
      </c>
      <c r="R521" t="str">
        <f>TEXT(SalesData[[#This Row],[Order Date]],"mmm-yyyy")</f>
        <v>Mar-2026</v>
      </c>
      <c r="S521">
        <f>YEAR(SalesData[[#This Row],[Order Date]])</f>
        <v>2026</v>
      </c>
      <c r="T521" t="str">
        <f>IF(SalesData[[#This Row],[Profit Margin]]&gt;=30%,"High",IF(SalesData[[#This Row],[Profit Margin]]&gt;=15%,"Medium","Low"))</f>
        <v>High</v>
      </c>
    </row>
    <row r="522" spans="1:20" x14ac:dyDescent="0.35">
      <c r="A522" t="s">
        <v>956</v>
      </c>
      <c r="B522" s="23" t="s">
        <v>953</v>
      </c>
      <c r="C522" t="s">
        <v>227</v>
      </c>
      <c r="D522" t="s">
        <v>43</v>
      </c>
      <c r="E522" t="s">
        <v>250</v>
      </c>
      <c r="F522" t="s">
        <v>19</v>
      </c>
      <c r="G522" t="s">
        <v>56</v>
      </c>
      <c r="H522" t="s">
        <v>39</v>
      </c>
      <c r="I522">
        <v>3</v>
      </c>
      <c r="J522" s="4">
        <v>900</v>
      </c>
      <c r="K522" s="6">
        <v>0</v>
      </c>
      <c r="L522" s="8">
        <v>2700</v>
      </c>
      <c r="M522" s="8">
        <v>1560</v>
      </c>
      <c r="N522" s="8">
        <v>1140</v>
      </c>
      <c r="O522" s="8">
        <f>SalesData[[#This Row],[Quantity]]*SalesData[[#This Row],[Unit Price]]*(1-SalesData[[#This Row],[Discount]])</f>
        <v>2700</v>
      </c>
      <c r="P522" s="8">
        <f>SalesData[[#This Row],[Sales_Check]]-SalesData[[#This Row],[Cost]]</f>
        <v>1140</v>
      </c>
      <c r="Q522" s="13">
        <f>IFERROR(SalesData[[#This Row],[Profit]]/SalesData[[#This Row],[Sales]],0)</f>
        <v>0.42222222222222222</v>
      </c>
      <c r="R522" t="str">
        <f>TEXT(SalesData[[#This Row],[Order Date]],"mmm-yyyy")</f>
        <v>Mar-2026</v>
      </c>
      <c r="S522">
        <f>YEAR(SalesData[[#This Row],[Order Date]])</f>
        <v>2026</v>
      </c>
      <c r="T522" t="str">
        <f>IF(SalesData[[#This Row],[Profit Margin]]&gt;=30%,"High",IF(SalesData[[#This Row],[Profit Margin]]&gt;=15%,"Medium","Low"))</f>
        <v>High</v>
      </c>
    </row>
    <row r="523" spans="1:20" x14ac:dyDescent="0.35">
      <c r="A523" t="s">
        <v>957</v>
      </c>
      <c r="B523" s="23" t="s">
        <v>953</v>
      </c>
      <c r="C523" t="s">
        <v>352</v>
      </c>
      <c r="D523" t="s">
        <v>54</v>
      </c>
      <c r="E523" t="s">
        <v>103</v>
      </c>
      <c r="F523" t="s">
        <v>37</v>
      </c>
      <c r="G523" t="s">
        <v>73</v>
      </c>
      <c r="H523" t="s">
        <v>29</v>
      </c>
      <c r="I523">
        <v>8</v>
      </c>
      <c r="J523" s="4">
        <v>150</v>
      </c>
      <c r="K523" s="6">
        <v>0</v>
      </c>
      <c r="L523" s="8">
        <v>1200</v>
      </c>
      <c r="M523" s="8">
        <v>600</v>
      </c>
      <c r="N523" s="8">
        <v>600</v>
      </c>
      <c r="O523" s="8">
        <f>SalesData[[#This Row],[Quantity]]*SalesData[[#This Row],[Unit Price]]*(1-SalesData[[#This Row],[Discount]])</f>
        <v>1200</v>
      </c>
      <c r="P523" s="8">
        <f>SalesData[[#This Row],[Sales_Check]]-SalesData[[#This Row],[Cost]]</f>
        <v>600</v>
      </c>
      <c r="Q523" s="13">
        <f>IFERROR(SalesData[[#This Row],[Profit]]/SalesData[[#This Row],[Sales]],0)</f>
        <v>0.5</v>
      </c>
      <c r="R523" t="str">
        <f>TEXT(SalesData[[#This Row],[Order Date]],"mmm-yyyy")</f>
        <v>Mar-2026</v>
      </c>
      <c r="S523">
        <f>YEAR(SalesData[[#This Row],[Order Date]])</f>
        <v>2026</v>
      </c>
      <c r="T523" t="str">
        <f>IF(SalesData[[#This Row],[Profit Margin]]&gt;=30%,"High",IF(SalesData[[#This Row],[Profit Margin]]&gt;=15%,"Medium","Low"))</f>
        <v>High</v>
      </c>
    </row>
    <row r="524" spans="1:20" x14ac:dyDescent="0.35">
      <c r="A524" t="s">
        <v>958</v>
      </c>
      <c r="B524" s="23" t="s">
        <v>953</v>
      </c>
      <c r="C524" t="s">
        <v>802</v>
      </c>
      <c r="D524" t="s">
        <v>54</v>
      </c>
      <c r="E524" t="s">
        <v>55</v>
      </c>
      <c r="F524" t="s">
        <v>19</v>
      </c>
      <c r="G524" t="s">
        <v>56</v>
      </c>
      <c r="H524" t="s">
        <v>29</v>
      </c>
      <c r="I524">
        <v>8</v>
      </c>
      <c r="J524" s="4">
        <v>180</v>
      </c>
      <c r="K524" s="6">
        <v>0</v>
      </c>
      <c r="L524" s="8">
        <v>1440</v>
      </c>
      <c r="M524" s="8">
        <v>720</v>
      </c>
      <c r="N524" s="8">
        <v>720</v>
      </c>
      <c r="O524" s="8">
        <f>SalesData[[#This Row],[Quantity]]*SalesData[[#This Row],[Unit Price]]*(1-SalesData[[#This Row],[Discount]])</f>
        <v>1440</v>
      </c>
      <c r="P524" s="8">
        <f>SalesData[[#This Row],[Sales_Check]]-SalesData[[#This Row],[Cost]]</f>
        <v>720</v>
      </c>
      <c r="Q524" s="13">
        <f>IFERROR(SalesData[[#This Row],[Profit]]/SalesData[[#This Row],[Sales]],0)</f>
        <v>0.5</v>
      </c>
      <c r="R524" t="str">
        <f>TEXT(SalesData[[#This Row],[Order Date]],"mmm-yyyy")</f>
        <v>Mar-2026</v>
      </c>
      <c r="S524">
        <f>YEAR(SalesData[[#This Row],[Order Date]])</f>
        <v>2026</v>
      </c>
      <c r="T524" t="str">
        <f>IF(SalesData[[#This Row],[Profit Margin]]&gt;=30%,"High",IF(SalesData[[#This Row],[Profit Margin]]&gt;=15%,"Medium","Low"))</f>
        <v>High</v>
      </c>
    </row>
    <row r="525" spans="1:20" x14ac:dyDescent="0.35">
      <c r="A525" t="s">
        <v>959</v>
      </c>
      <c r="B525" s="23" t="s">
        <v>960</v>
      </c>
      <c r="C525" t="s">
        <v>257</v>
      </c>
      <c r="D525" t="s">
        <v>54</v>
      </c>
      <c r="E525" t="s">
        <v>116</v>
      </c>
      <c r="F525" t="s">
        <v>45</v>
      </c>
      <c r="G525" t="s">
        <v>46</v>
      </c>
      <c r="H525" t="s">
        <v>33</v>
      </c>
      <c r="I525">
        <v>8</v>
      </c>
      <c r="J525" s="4">
        <v>450</v>
      </c>
      <c r="K525" s="6">
        <v>0.05</v>
      </c>
      <c r="L525" s="8">
        <v>3420</v>
      </c>
      <c r="M525" s="8">
        <v>2000</v>
      </c>
      <c r="N525" s="8">
        <v>1420</v>
      </c>
      <c r="O525" s="8">
        <f>SalesData[[#This Row],[Quantity]]*SalesData[[#This Row],[Unit Price]]*(1-SalesData[[#This Row],[Discount]])</f>
        <v>3420</v>
      </c>
      <c r="P525" s="8">
        <f>SalesData[[#This Row],[Sales_Check]]-SalesData[[#This Row],[Cost]]</f>
        <v>1420</v>
      </c>
      <c r="Q525" s="13">
        <f>IFERROR(SalesData[[#This Row],[Profit]]/SalesData[[#This Row],[Sales]],0)</f>
        <v>0.41520467836257308</v>
      </c>
      <c r="R525" t="str">
        <f>TEXT(SalesData[[#This Row],[Order Date]],"mmm-yyyy")</f>
        <v>Mar-2026</v>
      </c>
      <c r="S525">
        <f>YEAR(SalesData[[#This Row],[Order Date]])</f>
        <v>2026</v>
      </c>
      <c r="T525" t="str">
        <f>IF(SalesData[[#This Row],[Profit Margin]]&gt;=30%,"High",IF(SalesData[[#This Row],[Profit Margin]]&gt;=15%,"Medium","Low"))</f>
        <v>High</v>
      </c>
    </row>
    <row r="526" spans="1:20" x14ac:dyDescent="0.35">
      <c r="A526" t="s">
        <v>961</v>
      </c>
      <c r="B526" s="23" t="s">
        <v>960</v>
      </c>
      <c r="C526" t="s">
        <v>713</v>
      </c>
      <c r="D526" t="s">
        <v>43</v>
      </c>
      <c r="E526" t="s">
        <v>44</v>
      </c>
      <c r="F526" t="s">
        <v>37</v>
      </c>
      <c r="G526" t="s">
        <v>140</v>
      </c>
      <c r="H526" t="s">
        <v>39</v>
      </c>
      <c r="I526">
        <v>5</v>
      </c>
      <c r="J526" s="4">
        <v>2200</v>
      </c>
      <c r="K526" s="6">
        <v>0</v>
      </c>
      <c r="L526" s="8">
        <v>11000</v>
      </c>
      <c r="M526" s="8">
        <v>7250</v>
      </c>
      <c r="N526" s="8">
        <v>3750</v>
      </c>
      <c r="O526" s="8">
        <f>SalesData[[#This Row],[Quantity]]*SalesData[[#This Row],[Unit Price]]*(1-SalesData[[#This Row],[Discount]])</f>
        <v>11000</v>
      </c>
      <c r="P526" s="8">
        <f>SalesData[[#This Row],[Sales_Check]]-SalesData[[#This Row],[Cost]]</f>
        <v>3750</v>
      </c>
      <c r="Q526" s="13">
        <f>IFERROR(SalesData[[#This Row],[Profit]]/SalesData[[#This Row],[Sales]],0)</f>
        <v>0.34090909090909088</v>
      </c>
      <c r="R526" t="str">
        <f>TEXT(SalesData[[#This Row],[Order Date]],"mmm-yyyy")</f>
        <v>Mar-2026</v>
      </c>
      <c r="S526">
        <f>YEAR(SalesData[[#This Row],[Order Date]])</f>
        <v>2026</v>
      </c>
      <c r="T526" t="str">
        <f>IF(SalesData[[#This Row],[Profit Margin]]&gt;=30%,"High",IF(SalesData[[#This Row],[Profit Margin]]&gt;=15%,"Medium","Low"))</f>
        <v>High</v>
      </c>
    </row>
    <row r="527" spans="1:20" x14ac:dyDescent="0.35">
      <c r="A527" t="s">
        <v>962</v>
      </c>
      <c r="B527" s="23" t="s">
        <v>960</v>
      </c>
      <c r="C527" t="s">
        <v>703</v>
      </c>
      <c r="D527" t="s">
        <v>43</v>
      </c>
      <c r="E527" t="s">
        <v>169</v>
      </c>
      <c r="F527" t="s">
        <v>19</v>
      </c>
      <c r="G527" t="s">
        <v>113</v>
      </c>
      <c r="H527" t="s">
        <v>29</v>
      </c>
      <c r="I527">
        <v>1</v>
      </c>
      <c r="J527" s="4">
        <v>350</v>
      </c>
      <c r="K527" s="6">
        <v>0.05</v>
      </c>
      <c r="L527" s="8">
        <v>332.5</v>
      </c>
      <c r="M527" s="8">
        <v>170</v>
      </c>
      <c r="N527" s="8">
        <v>162.5</v>
      </c>
      <c r="O527" s="8">
        <f>SalesData[[#This Row],[Quantity]]*SalesData[[#This Row],[Unit Price]]*(1-SalesData[[#This Row],[Discount]])</f>
        <v>332.5</v>
      </c>
      <c r="P527" s="8">
        <f>SalesData[[#This Row],[Sales_Check]]-SalesData[[#This Row],[Cost]]</f>
        <v>162.5</v>
      </c>
      <c r="Q527" s="13">
        <f>IFERROR(SalesData[[#This Row],[Profit]]/SalesData[[#This Row],[Sales]],0)</f>
        <v>0.48872180451127817</v>
      </c>
      <c r="R527" t="str">
        <f>TEXT(SalesData[[#This Row],[Order Date]],"mmm-yyyy")</f>
        <v>Mar-2026</v>
      </c>
      <c r="S527">
        <f>YEAR(SalesData[[#This Row],[Order Date]])</f>
        <v>2026</v>
      </c>
      <c r="T527" t="str">
        <f>IF(SalesData[[#This Row],[Profit Margin]]&gt;=30%,"High",IF(SalesData[[#This Row],[Profit Margin]]&gt;=15%,"Medium","Low"))</f>
        <v>High</v>
      </c>
    </row>
    <row r="528" spans="1:20" x14ac:dyDescent="0.35">
      <c r="A528" t="s">
        <v>963</v>
      </c>
      <c r="B528" s="23" t="s">
        <v>964</v>
      </c>
      <c r="C528" t="s">
        <v>306</v>
      </c>
      <c r="D528" t="s">
        <v>54</v>
      </c>
      <c r="E528" t="s">
        <v>116</v>
      </c>
      <c r="F528" t="s">
        <v>37</v>
      </c>
      <c r="G528" t="s">
        <v>73</v>
      </c>
      <c r="H528" t="s">
        <v>21</v>
      </c>
      <c r="I528">
        <v>2</v>
      </c>
      <c r="J528" s="4">
        <v>450</v>
      </c>
      <c r="K528" s="6">
        <v>0</v>
      </c>
      <c r="L528" s="8">
        <v>900</v>
      </c>
      <c r="M528" s="8">
        <v>500</v>
      </c>
      <c r="N528" s="8">
        <v>400</v>
      </c>
      <c r="O528" s="8">
        <f>SalesData[[#This Row],[Quantity]]*SalesData[[#This Row],[Unit Price]]*(1-SalesData[[#This Row],[Discount]])</f>
        <v>900</v>
      </c>
      <c r="P528" s="8">
        <f>SalesData[[#This Row],[Sales_Check]]-SalesData[[#This Row],[Cost]]</f>
        <v>400</v>
      </c>
      <c r="Q528" s="13">
        <f>IFERROR(SalesData[[#This Row],[Profit]]/SalesData[[#This Row],[Sales]],0)</f>
        <v>0.44444444444444442</v>
      </c>
      <c r="R528" t="str">
        <f>TEXT(SalesData[[#This Row],[Order Date]],"mmm-yyyy")</f>
        <v>Mar-2026</v>
      </c>
      <c r="S528">
        <f>YEAR(SalesData[[#This Row],[Order Date]])</f>
        <v>2026</v>
      </c>
      <c r="T528" t="str">
        <f>IF(SalesData[[#This Row],[Profit Margin]]&gt;=30%,"High",IF(SalesData[[#This Row],[Profit Margin]]&gt;=15%,"Medium","Low"))</f>
        <v>High</v>
      </c>
    </row>
    <row r="529" spans="1:20" x14ac:dyDescent="0.35">
      <c r="A529" t="s">
        <v>965</v>
      </c>
      <c r="B529" s="23" t="s">
        <v>964</v>
      </c>
      <c r="C529" t="s">
        <v>168</v>
      </c>
      <c r="D529" t="s">
        <v>54</v>
      </c>
      <c r="E529" t="s">
        <v>116</v>
      </c>
      <c r="F529" t="s">
        <v>19</v>
      </c>
      <c r="G529" t="s">
        <v>20</v>
      </c>
      <c r="H529" t="s">
        <v>125</v>
      </c>
      <c r="I529">
        <v>4</v>
      </c>
      <c r="J529" s="4">
        <v>450</v>
      </c>
      <c r="K529" s="6">
        <v>0.15</v>
      </c>
      <c r="L529" s="8">
        <v>1530</v>
      </c>
      <c r="M529" s="8">
        <v>1000</v>
      </c>
      <c r="N529" s="8">
        <v>530</v>
      </c>
      <c r="O529" s="8">
        <f>SalesData[[#This Row],[Quantity]]*SalesData[[#This Row],[Unit Price]]*(1-SalesData[[#This Row],[Discount]])</f>
        <v>1530</v>
      </c>
      <c r="P529" s="8">
        <f>SalesData[[#This Row],[Sales_Check]]-SalesData[[#This Row],[Cost]]</f>
        <v>530</v>
      </c>
      <c r="Q529" s="13">
        <f>IFERROR(SalesData[[#This Row],[Profit]]/SalesData[[#This Row],[Sales]],0)</f>
        <v>0.34640522875816993</v>
      </c>
      <c r="R529" t="str">
        <f>TEXT(SalesData[[#This Row],[Order Date]],"mmm-yyyy")</f>
        <v>Mar-2026</v>
      </c>
      <c r="S529">
        <f>YEAR(SalesData[[#This Row],[Order Date]])</f>
        <v>2026</v>
      </c>
      <c r="T529" t="str">
        <f>IF(SalesData[[#This Row],[Profit Margin]]&gt;=30%,"High",IF(SalesData[[#This Row],[Profit Margin]]&gt;=15%,"Medium","Low"))</f>
        <v>High</v>
      </c>
    </row>
    <row r="530" spans="1:20" x14ac:dyDescent="0.35">
      <c r="A530" t="s">
        <v>966</v>
      </c>
      <c r="B530" s="23" t="s">
        <v>964</v>
      </c>
      <c r="C530" t="s">
        <v>878</v>
      </c>
      <c r="D530" t="s">
        <v>43</v>
      </c>
      <c r="E530" t="s">
        <v>143</v>
      </c>
      <c r="F530" t="s">
        <v>19</v>
      </c>
      <c r="G530" t="s">
        <v>56</v>
      </c>
      <c r="H530" t="s">
        <v>39</v>
      </c>
      <c r="I530">
        <v>2</v>
      </c>
      <c r="J530" s="4">
        <v>650</v>
      </c>
      <c r="K530" s="6">
        <v>0</v>
      </c>
      <c r="L530" s="8">
        <v>1300</v>
      </c>
      <c r="M530" s="8">
        <v>700</v>
      </c>
      <c r="N530" s="8">
        <v>600</v>
      </c>
      <c r="O530" s="8">
        <f>SalesData[[#This Row],[Quantity]]*SalesData[[#This Row],[Unit Price]]*(1-SalesData[[#This Row],[Discount]])</f>
        <v>1300</v>
      </c>
      <c r="P530" s="8">
        <f>SalesData[[#This Row],[Sales_Check]]-SalesData[[#This Row],[Cost]]</f>
        <v>600</v>
      </c>
      <c r="Q530" s="13">
        <f>IFERROR(SalesData[[#This Row],[Profit]]/SalesData[[#This Row],[Sales]],0)</f>
        <v>0.46153846153846156</v>
      </c>
      <c r="R530" t="str">
        <f>TEXT(SalesData[[#This Row],[Order Date]],"mmm-yyyy")</f>
        <v>Mar-2026</v>
      </c>
      <c r="S530">
        <f>YEAR(SalesData[[#This Row],[Order Date]])</f>
        <v>2026</v>
      </c>
      <c r="T530" t="str">
        <f>IF(SalesData[[#This Row],[Profit Margin]]&gt;=30%,"High",IF(SalesData[[#This Row],[Profit Margin]]&gt;=15%,"Medium","Low"))</f>
        <v>High</v>
      </c>
    </row>
    <row r="531" spans="1:20" x14ac:dyDescent="0.35">
      <c r="A531" t="s">
        <v>967</v>
      </c>
      <c r="B531" s="23" t="s">
        <v>968</v>
      </c>
      <c r="C531" t="s">
        <v>207</v>
      </c>
      <c r="D531" t="s">
        <v>54</v>
      </c>
      <c r="E531" t="s">
        <v>103</v>
      </c>
      <c r="F531" t="s">
        <v>19</v>
      </c>
      <c r="G531" t="s">
        <v>215</v>
      </c>
      <c r="H531" t="s">
        <v>39</v>
      </c>
      <c r="I531">
        <v>6</v>
      </c>
      <c r="J531" s="4">
        <v>150</v>
      </c>
      <c r="K531" s="6">
        <v>0.05</v>
      </c>
      <c r="L531" s="8">
        <v>855</v>
      </c>
      <c r="M531" s="8">
        <v>450</v>
      </c>
      <c r="N531" s="8">
        <v>405</v>
      </c>
      <c r="O531" s="8">
        <f>SalesData[[#This Row],[Quantity]]*SalesData[[#This Row],[Unit Price]]*(1-SalesData[[#This Row],[Discount]])</f>
        <v>855</v>
      </c>
      <c r="P531" s="8">
        <f>SalesData[[#This Row],[Sales_Check]]-SalesData[[#This Row],[Cost]]</f>
        <v>405</v>
      </c>
      <c r="Q531" s="13">
        <f>IFERROR(SalesData[[#This Row],[Profit]]/SalesData[[#This Row],[Sales]],0)</f>
        <v>0.47368421052631576</v>
      </c>
      <c r="R531" t="str">
        <f>TEXT(SalesData[[#This Row],[Order Date]],"mmm-yyyy")</f>
        <v>Mar-2026</v>
      </c>
      <c r="S531">
        <f>YEAR(SalesData[[#This Row],[Order Date]])</f>
        <v>2026</v>
      </c>
      <c r="T531" t="str">
        <f>IF(SalesData[[#This Row],[Profit Margin]]&gt;=30%,"High",IF(SalesData[[#This Row],[Profit Margin]]&gt;=15%,"Medium","Low"))</f>
        <v>High</v>
      </c>
    </row>
    <row r="532" spans="1:20" x14ac:dyDescent="0.35">
      <c r="A532" t="s">
        <v>969</v>
      </c>
      <c r="B532" s="23" t="s">
        <v>968</v>
      </c>
      <c r="C532" t="s">
        <v>477</v>
      </c>
      <c r="D532" t="s">
        <v>17</v>
      </c>
      <c r="E532" t="s">
        <v>50</v>
      </c>
      <c r="F532" t="s">
        <v>37</v>
      </c>
      <c r="G532" t="s">
        <v>38</v>
      </c>
      <c r="H532" t="s">
        <v>33</v>
      </c>
      <c r="I532">
        <v>4</v>
      </c>
      <c r="J532" s="4">
        <v>650</v>
      </c>
      <c r="K532" s="6">
        <v>0</v>
      </c>
      <c r="L532" s="8">
        <v>2600</v>
      </c>
      <c r="M532" s="8">
        <v>1520</v>
      </c>
      <c r="N532" s="8">
        <v>1080</v>
      </c>
      <c r="O532" s="8">
        <f>SalesData[[#This Row],[Quantity]]*SalesData[[#This Row],[Unit Price]]*(1-SalesData[[#This Row],[Discount]])</f>
        <v>2600</v>
      </c>
      <c r="P532" s="8">
        <f>SalesData[[#This Row],[Sales_Check]]-SalesData[[#This Row],[Cost]]</f>
        <v>1080</v>
      </c>
      <c r="Q532" s="13">
        <f>IFERROR(SalesData[[#This Row],[Profit]]/SalesData[[#This Row],[Sales]],0)</f>
        <v>0.41538461538461541</v>
      </c>
      <c r="R532" t="str">
        <f>TEXT(SalesData[[#This Row],[Order Date]],"mmm-yyyy")</f>
        <v>Mar-2026</v>
      </c>
      <c r="S532">
        <f>YEAR(SalesData[[#This Row],[Order Date]])</f>
        <v>2026</v>
      </c>
      <c r="T532" t="str">
        <f>IF(SalesData[[#This Row],[Profit Margin]]&gt;=30%,"High",IF(SalesData[[#This Row],[Profit Margin]]&gt;=15%,"Medium","Low"))</f>
        <v>High</v>
      </c>
    </row>
    <row r="533" spans="1:20" x14ac:dyDescent="0.35">
      <c r="A533" t="s">
        <v>970</v>
      </c>
      <c r="B533" s="23" t="s">
        <v>968</v>
      </c>
      <c r="C533" t="s">
        <v>506</v>
      </c>
      <c r="D533" t="s">
        <v>25</v>
      </c>
      <c r="E533" t="s">
        <v>80</v>
      </c>
      <c r="F533" t="s">
        <v>27</v>
      </c>
      <c r="G533" t="s">
        <v>51</v>
      </c>
      <c r="H533" t="s">
        <v>47</v>
      </c>
      <c r="I533">
        <v>8</v>
      </c>
      <c r="J533" s="4">
        <v>950</v>
      </c>
      <c r="K533" s="6">
        <v>0</v>
      </c>
      <c r="L533" s="8">
        <v>7600</v>
      </c>
      <c r="M533" s="8">
        <v>4480</v>
      </c>
      <c r="N533" s="8">
        <v>3120</v>
      </c>
      <c r="O533" s="8">
        <f>SalesData[[#This Row],[Quantity]]*SalesData[[#This Row],[Unit Price]]*(1-SalesData[[#This Row],[Discount]])</f>
        <v>7600</v>
      </c>
      <c r="P533" s="8">
        <f>SalesData[[#This Row],[Sales_Check]]-SalesData[[#This Row],[Cost]]</f>
        <v>3120</v>
      </c>
      <c r="Q533" s="13">
        <f>IFERROR(SalesData[[#This Row],[Profit]]/SalesData[[#This Row],[Sales]],0)</f>
        <v>0.41052631578947368</v>
      </c>
      <c r="R533" t="str">
        <f>TEXT(SalesData[[#This Row],[Order Date]],"mmm-yyyy")</f>
        <v>Mar-2026</v>
      </c>
      <c r="S533">
        <f>YEAR(SalesData[[#This Row],[Order Date]])</f>
        <v>2026</v>
      </c>
      <c r="T533" t="str">
        <f>IF(SalesData[[#This Row],[Profit Margin]]&gt;=30%,"High",IF(SalesData[[#This Row],[Profit Margin]]&gt;=15%,"Medium","Low"))</f>
        <v>High</v>
      </c>
    </row>
    <row r="534" spans="1:20" x14ac:dyDescent="0.35">
      <c r="A534" t="s">
        <v>971</v>
      </c>
      <c r="B534" s="23" t="s">
        <v>972</v>
      </c>
      <c r="C534" t="s">
        <v>973</v>
      </c>
      <c r="D534" t="s">
        <v>54</v>
      </c>
      <c r="E534" t="s">
        <v>107</v>
      </c>
      <c r="F534" t="s">
        <v>27</v>
      </c>
      <c r="G534" t="s">
        <v>28</v>
      </c>
      <c r="H534" t="s">
        <v>47</v>
      </c>
      <c r="I534">
        <v>1</v>
      </c>
      <c r="J534" s="4">
        <v>120</v>
      </c>
      <c r="K534" s="6">
        <v>0.05</v>
      </c>
      <c r="L534" s="8">
        <v>114</v>
      </c>
      <c r="M534" s="8">
        <v>55</v>
      </c>
      <c r="N534" s="8">
        <v>59</v>
      </c>
      <c r="O534" s="8">
        <f>SalesData[[#This Row],[Quantity]]*SalesData[[#This Row],[Unit Price]]*(1-SalesData[[#This Row],[Discount]])</f>
        <v>114</v>
      </c>
      <c r="P534" s="8">
        <f>SalesData[[#This Row],[Sales_Check]]-SalesData[[#This Row],[Cost]]</f>
        <v>59</v>
      </c>
      <c r="Q534" s="13">
        <f>IFERROR(SalesData[[#This Row],[Profit]]/SalesData[[#This Row],[Sales]],0)</f>
        <v>0.51754385964912286</v>
      </c>
      <c r="R534" t="str">
        <f>TEXT(SalesData[[#This Row],[Order Date]],"mmm-yyyy")</f>
        <v>Mar-2026</v>
      </c>
      <c r="S534">
        <f>YEAR(SalesData[[#This Row],[Order Date]])</f>
        <v>2026</v>
      </c>
      <c r="T534" t="str">
        <f>IF(SalesData[[#This Row],[Profit Margin]]&gt;=30%,"High",IF(SalesData[[#This Row],[Profit Margin]]&gt;=15%,"Medium","Low"))</f>
        <v>High</v>
      </c>
    </row>
    <row r="535" spans="1:20" x14ac:dyDescent="0.35">
      <c r="A535" t="s">
        <v>974</v>
      </c>
      <c r="B535" s="23" t="s">
        <v>972</v>
      </c>
      <c r="C535" t="s">
        <v>423</v>
      </c>
      <c r="D535" t="s">
        <v>54</v>
      </c>
      <c r="E535" t="s">
        <v>107</v>
      </c>
      <c r="F535" t="s">
        <v>37</v>
      </c>
      <c r="G535" t="s">
        <v>140</v>
      </c>
      <c r="H535" t="s">
        <v>125</v>
      </c>
      <c r="I535">
        <v>1</v>
      </c>
      <c r="J535" s="4">
        <v>120</v>
      </c>
      <c r="K535" s="6">
        <v>0</v>
      </c>
      <c r="L535" s="8">
        <v>120</v>
      </c>
      <c r="M535" s="8">
        <v>55</v>
      </c>
      <c r="N535" s="8">
        <v>65</v>
      </c>
      <c r="O535" s="8">
        <f>SalesData[[#This Row],[Quantity]]*SalesData[[#This Row],[Unit Price]]*(1-SalesData[[#This Row],[Discount]])</f>
        <v>120</v>
      </c>
      <c r="P535" s="8">
        <f>SalesData[[#This Row],[Sales_Check]]-SalesData[[#This Row],[Cost]]</f>
        <v>65</v>
      </c>
      <c r="Q535" s="13">
        <f>IFERROR(SalesData[[#This Row],[Profit]]/SalesData[[#This Row],[Sales]],0)</f>
        <v>0.54166666666666663</v>
      </c>
      <c r="R535" t="str">
        <f>TEXT(SalesData[[#This Row],[Order Date]],"mmm-yyyy")</f>
        <v>Mar-2026</v>
      </c>
      <c r="S535">
        <f>YEAR(SalesData[[#This Row],[Order Date]])</f>
        <v>2026</v>
      </c>
      <c r="T535" t="str">
        <f>IF(SalesData[[#This Row],[Profit Margin]]&gt;=30%,"High",IF(SalesData[[#This Row],[Profit Margin]]&gt;=15%,"Medium","Low"))</f>
        <v>High</v>
      </c>
    </row>
    <row r="536" spans="1:20" x14ac:dyDescent="0.35">
      <c r="A536" t="s">
        <v>975</v>
      </c>
      <c r="B536" s="23" t="s">
        <v>972</v>
      </c>
      <c r="C536" t="s">
        <v>452</v>
      </c>
      <c r="D536" t="s">
        <v>43</v>
      </c>
      <c r="E536" t="s">
        <v>250</v>
      </c>
      <c r="F536" t="s">
        <v>19</v>
      </c>
      <c r="G536" t="s">
        <v>56</v>
      </c>
      <c r="H536" t="s">
        <v>47</v>
      </c>
      <c r="I536">
        <v>6</v>
      </c>
      <c r="J536" s="4">
        <v>900</v>
      </c>
      <c r="K536" s="6">
        <v>0</v>
      </c>
      <c r="L536" s="8">
        <v>5400</v>
      </c>
      <c r="M536" s="8">
        <v>3120</v>
      </c>
      <c r="N536" s="8">
        <v>2280</v>
      </c>
      <c r="O536" s="8">
        <f>SalesData[[#This Row],[Quantity]]*SalesData[[#This Row],[Unit Price]]*(1-SalesData[[#This Row],[Discount]])</f>
        <v>5400</v>
      </c>
      <c r="P536" s="8">
        <f>SalesData[[#This Row],[Sales_Check]]-SalesData[[#This Row],[Cost]]</f>
        <v>2280</v>
      </c>
      <c r="Q536" s="13">
        <f>IFERROR(SalesData[[#This Row],[Profit]]/SalesData[[#This Row],[Sales]],0)</f>
        <v>0.42222222222222222</v>
      </c>
      <c r="R536" t="str">
        <f>TEXT(SalesData[[#This Row],[Order Date]],"mmm-yyyy")</f>
        <v>Mar-2026</v>
      </c>
      <c r="S536">
        <f>YEAR(SalesData[[#This Row],[Order Date]])</f>
        <v>2026</v>
      </c>
      <c r="T536" t="str">
        <f>IF(SalesData[[#This Row],[Profit Margin]]&gt;=30%,"High",IF(SalesData[[#This Row],[Profit Margin]]&gt;=15%,"Medium","Low"))</f>
        <v>High</v>
      </c>
    </row>
    <row r="537" spans="1:20" x14ac:dyDescent="0.35">
      <c r="A537" t="s">
        <v>976</v>
      </c>
      <c r="B537" s="23" t="s">
        <v>977</v>
      </c>
      <c r="C537" t="s">
        <v>242</v>
      </c>
      <c r="D537" t="s">
        <v>25</v>
      </c>
      <c r="E537" t="s">
        <v>26</v>
      </c>
      <c r="F537" t="s">
        <v>27</v>
      </c>
      <c r="G537" t="s">
        <v>85</v>
      </c>
      <c r="H537" t="s">
        <v>47</v>
      </c>
      <c r="I537">
        <v>5</v>
      </c>
      <c r="J537" s="4">
        <v>600</v>
      </c>
      <c r="K537" s="6">
        <v>0</v>
      </c>
      <c r="L537" s="8">
        <v>3000</v>
      </c>
      <c r="M537" s="8">
        <v>1650</v>
      </c>
      <c r="N537" s="8">
        <v>1350</v>
      </c>
      <c r="O537" s="8">
        <f>SalesData[[#This Row],[Quantity]]*SalesData[[#This Row],[Unit Price]]*(1-SalesData[[#This Row],[Discount]])</f>
        <v>3000</v>
      </c>
      <c r="P537" s="8">
        <f>SalesData[[#This Row],[Sales_Check]]-SalesData[[#This Row],[Cost]]</f>
        <v>1350</v>
      </c>
      <c r="Q537" s="13">
        <f>IFERROR(SalesData[[#This Row],[Profit]]/SalesData[[#This Row],[Sales]],0)</f>
        <v>0.45</v>
      </c>
      <c r="R537" t="str">
        <f>TEXT(SalesData[[#This Row],[Order Date]],"mmm-yyyy")</f>
        <v>Mar-2026</v>
      </c>
      <c r="S537">
        <f>YEAR(SalesData[[#This Row],[Order Date]])</f>
        <v>2026</v>
      </c>
      <c r="T537" t="str">
        <f>IF(SalesData[[#This Row],[Profit Margin]]&gt;=30%,"High",IF(SalesData[[#This Row],[Profit Margin]]&gt;=15%,"Medium","Low"))</f>
        <v>High</v>
      </c>
    </row>
    <row r="538" spans="1:20" x14ac:dyDescent="0.35">
      <c r="A538" t="s">
        <v>978</v>
      </c>
      <c r="B538" s="23" t="s">
        <v>977</v>
      </c>
      <c r="C538" t="s">
        <v>653</v>
      </c>
      <c r="D538" t="s">
        <v>25</v>
      </c>
      <c r="E538" t="s">
        <v>36</v>
      </c>
      <c r="F538" t="s">
        <v>37</v>
      </c>
      <c r="G538" t="s">
        <v>140</v>
      </c>
      <c r="H538" t="s">
        <v>21</v>
      </c>
      <c r="I538">
        <v>2</v>
      </c>
      <c r="J538" s="4">
        <v>700</v>
      </c>
      <c r="K538" s="6">
        <v>0</v>
      </c>
      <c r="L538" s="8">
        <v>1400</v>
      </c>
      <c r="M538" s="8">
        <v>800</v>
      </c>
      <c r="N538" s="8">
        <v>600</v>
      </c>
      <c r="O538" s="8">
        <f>SalesData[[#This Row],[Quantity]]*SalesData[[#This Row],[Unit Price]]*(1-SalesData[[#This Row],[Discount]])</f>
        <v>1400</v>
      </c>
      <c r="P538" s="8">
        <f>SalesData[[#This Row],[Sales_Check]]-SalesData[[#This Row],[Cost]]</f>
        <v>600</v>
      </c>
      <c r="Q538" s="13">
        <f>IFERROR(SalesData[[#This Row],[Profit]]/SalesData[[#This Row],[Sales]],0)</f>
        <v>0.42857142857142855</v>
      </c>
      <c r="R538" t="str">
        <f>TEXT(SalesData[[#This Row],[Order Date]],"mmm-yyyy")</f>
        <v>Mar-2026</v>
      </c>
      <c r="S538">
        <f>YEAR(SalesData[[#This Row],[Order Date]])</f>
        <v>2026</v>
      </c>
      <c r="T538" t="str">
        <f>IF(SalesData[[#This Row],[Profit Margin]]&gt;=30%,"High",IF(SalesData[[#This Row],[Profit Margin]]&gt;=15%,"Medium","Low"))</f>
        <v>High</v>
      </c>
    </row>
    <row r="539" spans="1:20" x14ac:dyDescent="0.35">
      <c r="A539" t="s">
        <v>979</v>
      </c>
      <c r="B539" s="23" t="s">
        <v>977</v>
      </c>
      <c r="C539" t="s">
        <v>703</v>
      </c>
      <c r="D539" t="s">
        <v>54</v>
      </c>
      <c r="E539" t="s">
        <v>116</v>
      </c>
      <c r="F539" t="s">
        <v>19</v>
      </c>
      <c r="G539" t="s">
        <v>215</v>
      </c>
      <c r="H539" t="s">
        <v>47</v>
      </c>
      <c r="I539">
        <v>10</v>
      </c>
      <c r="J539" s="4">
        <v>450</v>
      </c>
      <c r="K539" s="6">
        <v>0.05</v>
      </c>
      <c r="L539" s="8">
        <v>4275</v>
      </c>
      <c r="M539" s="8">
        <v>2500</v>
      </c>
      <c r="N539" s="8">
        <v>1775</v>
      </c>
      <c r="O539" s="8">
        <f>SalesData[[#This Row],[Quantity]]*SalesData[[#This Row],[Unit Price]]*(1-SalesData[[#This Row],[Discount]])</f>
        <v>4275</v>
      </c>
      <c r="P539" s="8">
        <f>SalesData[[#This Row],[Sales_Check]]-SalesData[[#This Row],[Cost]]</f>
        <v>1775</v>
      </c>
      <c r="Q539" s="13">
        <f>IFERROR(SalesData[[#This Row],[Profit]]/SalesData[[#This Row],[Sales]],0)</f>
        <v>0.41520467836257308</v>
      </c>
      <c r="R539" t="str">
        <f>TEXT(SalesData[[#This Row],[Order Date]],"mmm-yyyy")</f>
        <v>Mar-2026</v>
      </c>
      <c r="S539">
        <f>YEAR(SalesData[[#This Row],[Order Date]])</f>
        <v>2026</v>
      </c>
      <c r="T539" t="str">
        <f>IF(SalesData[[#This Row],[Profit Margin]]&gt;=30%,"High",IF(SalesData[[#This Row],[Profit Margin]]&gt;=15%,"Medium","Low"))</f>
        <v>High</v>
      </c>
    </row>
    <row r="540" spans="1:20" x14ac:dyDescent="0.35">
      <c r="A540" t="s">
        <v>980</v>
      </c>
      <c r="B540" s="23" t="s">
        <v>977</v>
      </c>
      <c r="C540" t="s">
        <v>473</v>
      </c>
      <c r="D540" t="s">
        <v>43</v>
      </c>
      <c r="E540" t="s">
        <v>62</v>
      </c>
      <c r="F540" t="s">
        <v>45</v>
      </c>
      <c r="G540" t="s">
        <v>70</v>
      </c>
      <c r="H540" t="s">
        <v>39</v>
      </c>
      <c r="I540">
        <v>4</v>
      </c>
      <c r="J540" s="4">
        <v>500</v>
      </c>
      <c r="K540" s="6">
        <v>0.1</v>
      </c>
      <c r="L540" s="8">
        <v>1800</v>
      </c>
      <c r="M540" s="8">
        <v>1120</v>
      </c>
      <c r="N540" s="8">
        <v>680</v>
      </c>
      <c r="O540" s="8">
        <f>SalesData[[#This Row],[Quantity]]*SalesData[[#This Row],[Unit Price]]*(1-SalesData[[#This Row],[Discount]])</f>
        <v>1800</v>
      </c>
      <c r="P540" s="8">
        <f>SalesData[[#This Row],[Sales_Check]]-SalesData[[#This Row],[Cost]]</f>
        <v>680</v>
      </c>
      <c r="Q540" s="13">
        <f>IFERROR(SalesData[[#This Row],[Profit]]/SalesData[[#This Row],[Sales]],0)</f>
        <v>0.37777777777777777</v>
      </c>
      <c r="R540" t="str">
        <f>TEXT(SalesData[[#This Row],[Order Date]],"mmm-yyyy")</f>
        <v>Mar-2026</v>
      </c>
      <c r="S540">
        <f>YEAR(SalesData[[#This Row],[Order Date]])</f>
        <v>2026</v>
      </c>
      <c r="T540" t="str">
        <f>IF(SalesData[[#This Row],[Profit Margin]]&gt;=30%,"High",IF(SalesData[[#This Row],[Profit Margin]]&gt;=15%,"Medium","Low"))</f>
        <v>High</v>
      </c>
    </row>
    <row r="541" spans="1:20" x14ac:dyDescent="0.35">
      <c r="A541" t="s">
        <v>981</v>
      </c>
      <c r="B541" s="23" t="s">
        <v>977</v>
      </c>
      <c r="C541" t="s">
        <v>455</v>
      </c>
      <c r="D541" t="s">
        <v>43</v>
      </c>
      <c r="E541" t="s">
        <v>143</v>
      </c>
      <c r="F541" t="s">
        <v>27</v>
      </c>
      <c r="G541" t="s">
        <v>85</v>
      </c>
      <c r="H541" t="s">
        <v>39</v>
      </c>
      <c r="I541">
        <v>1</v>
      </c>
      <c r="J541" s="4">
        <v>650</v>
      </c>
      <c r="K541" s="6">
        <v>0</v>
      </c>
      <c r="L541" s="8">
        <v>650</v>
      </c>
      <c r="M541" s="8">
        <v>350</v>
      </c>
      <c r="N541" s="8">
        <v>300</v>
      </c>
      <c r="O541" s="8">
        <f>SalesData[[#This Row],[Quantity]]*SalesData[[#This Row],[Unit Price]]*(1-SalesData[[#This Row],[Discount]])</f>
        <v>650</v>
      </c>
      <c r="P541" s="8">
        <f>SalesData[[#This Row],[Sales_Check]]-SalesData[[#This Row],[Cost]]</f>
        <v>300</v>
      </c>
      <c r="Q541" s="13">
        <f>IFERROR(SalesData[[#This Row],[Profit]]/SalesData[[#This Row],[Sales]],0)</f>
        <v>0.46153846153846156</v>
      </c>
      <c r="R541" t="str">
        <f>TEXT(SalesData[[#This Row],[Order Date]],"mmm-yyyy")</f>
        <v>Mar-2026</v>
      </c>
      <c r="S541">
        <f>YEAR(SalesData[[#This Row],[Order Date]])</f>
        <v>2026</v>
      </c>
      <c r="T541" t="str">
        <f>IF(SalesData[[#This Row],[Profit Margin]]&gt;=30%,"High",IF(SalesData[[#This Row],[Profit Margin]]&gt;=15%,"Medium","Low"))</f>
        <v>High</v>
      </c>
    </row>
    <row r="542" spans="1:20" x14ac:dyDescent="0.35">
      <c r="A542" t="s">
        <v>982</v>
      </c>
      <c r="B542" s="23" t="s">
        <v>983</v>
      </c>
      <c r="C542" t="s">
        <v>102</v>
      </c>
      <c r="D542" t="s">
        <v>43</v>
      </c>
      <c r="E542" t="s">
        <v>62</v>
      </c>
      <c r="F542" t="s">
        <v>37</v>
      </c>
      <c r="G542" t="s">
        <v>97</v>
      </c>
      <c r="H542" t="s">
        <v>21</v>
      </c>
      <c r="I542">
        <v>2</v>
      </c>
      <c r="J542" s="4">
        <v>500</v>
      </c>
      <c r="K542" s="6">
        <v>0.05</v>
      </c>
      <c r="L542" s="8">
        <v>950</v>
      </c>
      <c r="M542" s="8">
        <v>560</v>
      </c>
      <c r="N542" s="8">
        <v>390</v>
      </c>
      <c r="O542" s="8">
        <f>SalesData[[#This Row],[Quantity]]*SalesData[[#This Row],[Unit Price]]*(1-SalesData[[#This Row],[Discount]])</f>
        <v>950</v>
      </c>
      <c r="P542" s="8">
        <f>SalesData[[#This Row],[Sales_Check]]-SalesData[[#This Row],[Cost]]</f>
        <v>390</v>
      </c>
      <c r="Q542" s="13">
        <f>IFERROR(SalesData[[#This Row],[Profit]]/SalesData[[#This Row],[Sales]],0)</f>
        <v>0.41052631578947368</v>
      </c>
      <c r="R542" t="str">
        <f>TEXT(SalesData[[#This Row],[Order Date]],"mmm-yyyy")</f>
        <v>Mar-2026</v>
      </c>
      <c r="S542">
        <f>YEAR(SalesData[[#This Row],[Order Date]])</f>
        <v>2026</v>
      </c>
      <c r="T542" t="str">
        <f>IF(SalesData[[#This Row],[Profit Margin]]&gt;=30%,"High",IF(SalesData[[#This Row],[Profit Margin]]&gt;=15%,"Medium","Low"))</f>
        <v>High</v>
      </c>
    </row>
    <row r="543" spans="1:20" x14ac:dyDescent="0.35">
      <c r="A543" t="s">
        <v>984</v>
      </c>
      <c r="B543" s="23" t="s">
        <v>983</v>
      </c>
      <c r="C543" t="s">
        <v>821</v>
      </c>
      <c r="D543" t="s">
        <v>25</v>
      </c>
      <c r="E543" t="s">
        <v>80</v>
      </c>
      <c r="F543" t="s">
        <v>19</v>
      </c>
      <c r="G543" t="s">
        <v>20</v>
      </c>
      <c r="H543" t="s">
        <v>29</v>
      </c>
      <c r="I543">
        <v>2</v>
      </c>
      <c r="J543" s="4">
        <v>950</v>
      </c>
      <c r="K543" s="6">
        <v>0</v>
      </c>
      <c r="L543" s="8">
        <v>1900</v>
      </c>
      <c r="M543" s="8">
        <v>1120</v>
      </c>
      <c r="N543" s="8">
        <v>780</v>
      </c>
      <c r="O543" s="8">
        <f>SalesData[[#This Row],[Quantity]]*SalesData[[#This Row],[Unit Price]]*(1-SalesData[[#This Row],[Discount]])</f>
        <v>1900</v>
      </c>
      <c r="P543" s="8">
        <f>SalesData[[#This Row],[Sales_Check]]-SalesData[[#This Row],[Cost]]</f>
        <v>780</v>
      </c>
      <c r="Q543" s="13">
        <f>IFERROR(SalesData[[#This Row],[Profit]]/SalesData[[#This Row],[Sales]],0)</f>
        <v>0.41052631578947368</v>
      </c>
      <c r="R543" t="str">
        <f>TEXT(SalesData[[#This Row],[Order Date]],"mmm-yyyy")</f>
        <v>Mar-2026</v>
      </c>
      <c r="S543">
        <f>YEAR(SalesData[[#This Row],[Order Date]])</f>
        <v>2026</v>
      </c>
      <c r="T543" t="str">
        <f>IF(SalesData[[#This Row],[Profit Margin]]&gt;=30%,"High",IF(SalesData[[#This Row],[Profit Margin]]&gt;=15%,"Medium","Low"))</f>
        <v>High</v>
      </c>
    </row>
    <row r="544" spans="1:20" x14ac:dyDescent="0.35">
      <c r="A544" t="s">
        <v>985</v>
      </c>
      <c r="B544" s="23" t="s">
        <v>983</v>
      </c>
      <c r="C544" t="s">
        <v>189</v>
      </c>
      <c r="D544" t="s">
        <v>43</v>
      </c>
      <c r="E544" t="s">
        <v>44</v>
      </c>
      <c r="F544" t="s">
        <v>45</v>
      </c>
      <c r="G544" t="s">
        <v>104</v>
      </c>
      <c r="H544" t="s">
        <v>29</v>
      </c>
      <c r="I544">
        <v>2</v>
      </c>
      <c r="J544" s="4">
        <v>2200</v>
      </c>
      <c r="K544" s="6">
        <v>0.05</v>
      </c>
      <c r="L544" s="8">
        <v>4180</v>
      </c>
      <c r="M544" s="8">
        <v>2900</v>
      </c>
      <c r="N544" s="8">
        <v>1280</v>
      </c>
      <c r="O544" s="8">
        <f>SalesData[[#This Row],[Quantity]]*SalesData[[#This Row],[Unit Price]]*(1-SalesData[[#This Row],[Discount]])</f>
        <v>4180</v>
      </c>
      <c r="P544" s="8">
        <f>SalesData[[#This Row],[Sales_Check]]-SalesData[[#This Row],[Cost]]</f>
        <v>1280</v>
      </c>
      <c r="Q544" s="13">
        <f>IFERROR(SalesData[[#This Row],[Profit]]/SalesData[[#This Row],[Sales]],0)</f>
        <v>0.30622009569377989</v>
      </c>
      <c r="R544" t="str">
        <f>TEXT(SalesData[[#This Row],[Order Date]],"mmm-yyyy")</f>
        <v>Mar-2026</v>
      </c>
      <c r="S544">
        <f>YEAR(SalesData[[#This Row],[Order Date]])</f>
        <v>2026</v>
      </c>
      <c r="T544" t="str">
        <f>IF(SalesData[[#This Row],[Profit Margin]]&gt;=30%,"High",IF(SalesData[[#This Row],[Profit Margin]]&gt;=15%,"Medium","Low"))</f>
        <v>High</v>
      </c>
    </row>
    <row r="545" spans="1:20" x14ac:dyDescent="0.35">
      <c r="A545" t="s">
        <v>986</v>
      </c>
      <c r="B545" s="23" t="s">
        <v>987</v>
      </c>
      <c r="C545" t="s">
        <v>821</v>
      </c>
      <c r="D545" t="s">
        <v>25</v>
      </c>
      <c r="E545" t="s">
        <v>26</v>
      </c>
      <c r="F545" t="s">
        <v>19</v>
      </c>
      <c r="G545" t="s">
        <v>56</v>
      </c>
      <c r="H545" t="s">
        <v>21</v>
      </c>
      <c r="I545">
        <v>8</v>
      </c>
      <c r="J545" s="4">
        <v>600</v>
      </c>
      <c r="K545" s="6">
        <v>0</v>
      </c>
      <c r="L545" s="8">
        <v>4800</v>
      </c>
      <c r="M545" s="8">
        <v>2640</v>
      </c>
      <c r="N545" s="8">
        <v>2160</v>
      </c>
      <c r="O545" s="8">
        <f>SalesData[[#This Row],[Quantity]]*SalesData[[#This Row],[Unit Price]]*(1-SalesData[[#This Row],[Discount]])</f>
        <v>4800</v>
      </c>
      <c r="P545" s="8">
        <f>SalesData[[#This Row],[Sales_Check]]-SalesData[[#This Row],[Cost]]</f>
        <v>2160</v>
      </c>
      <c r="Q545" s="13">
        <f>IFERROR(SalesData[[#This Row],[Profit]]/SalesData[[#This Row],[Sales]],0)</f>
        <v>0.45</v>
      </c>
      <c r="R545" t="str">
        <f>TEXT(SalesData[[#This Row],[Order Date]],"mmm-yyyy")</f>
        <v>Mar-2026</v>
      </c>
      <c r="S545">
        <f>YEAR(SalesData[[#This Row],[Order Date]])</f>
        <v>2026</v>
      </c>
      <c r="T545" t="str">
        <f>IF(SalesData[[#This Row],[Profit Margin]]&gt;=30%,"High",IF(SalesData[[#This Row],[Profit Margin]]&gt;=15%,"Medium","Low"))</f>
        <v>High</v>
      </c>
    </row>
    <row r="546" spans="1:20" x14ac:dyDescent="0.35">
      <c r="A546" t="s">
        <v>988</v>
      </c>
      <c r="B546" s="23" t="s">
        <v>987</v>
      </c>
      <c r="C546" t="s">
        <v>182</v>
      </c>
      <c r="D546" t="s">
        <v>17</v>
      </c>
      <c r="E546" t="s">
        <v>50</v>
      </c>
      <c r="F546" t="s">
        <v>19</v>
      </c>
      <c r="G546" t="s">
        <v>56</v>
      </c>
      <c r="H546" t="s">
        <v>21</v>
      </c>
      <c r="I546">
        <v>9</v>
      </c>
      <c r="J546" s="4">
        <v>650</v>
      </c>
      <c r="K546" s="6">
        <v>0</v>
      </c>
      <c r="L546" s="8">
        <v>5850</v>
      </c>
      <c r="M546" s="8">
        <v>3420</v>
      </c>
      <c r="N546" s="8">
        <v>2430</v>
      </c>
      <c r="O546" s="8">
        <f>SalesData[[#This Row],[Quantity]]*SalesData[[#This Row],[Unit Price]]*(1-SalesData[[#This Row],[Discount]])</f>
        <v>5850</v>
      </c>
      <c r="P546" s="8">
        <f>SalesData[[#This Row],[Sales_Check]]-SalesData[[#This Row],[Cost]]</f>
        <v>2430</v>
      </c>
      <c r="Q546" s="13">
        <f>IFERROR(SalesData[[#This Row],[Profit]]/SalesData[[#This Row],[Sales]],0)</f>
        <v>0.41538461538461541</v>
      </c>
      <c r="R546" t="str">
        <f>TEXT(SalesData[[#This Row],[Order Date]],"mmm-yyyy")</f>
        <v>Mar-2026</v>
      </c>
      <c r="S546">
        <f>YEAR(SalesData[[#This Row],[Order Date]])</f>
        <v>2026</v>
      </c>
      <c r="T546" t="str">
        <f>IF(SalesData[[#This Row],[Profit Margin]]&gt;=30%,"High",IF(SalesData[[#This Row],[Profit Margin]]&gt;=15%,"Medium","Low"))</f>
        <v>High</v>
      </c>
    </row>
    <row r="547" spans="1:20" x14ac:dyDescent="0.35">
      <c r="A547" t="s">
        <v>989</v>
      </c>
      <c r="B547" s="23" t="s">
        <v>987</v>
      </c>
      <c r="C547" t="s">
        <v>696</v>
      </c>
      <c r="D547" t="s">
        <v>17</v>
      </c>
      <c r="E547" t="s">
        <v>32</v>
      </c>
      <c r="F547" t="s">
        <v>19</v>
      </c>
      <c r="G547" t="s">
        <v>20</v>
      </c>
      <c r="H547" t="s">
        <v>33</v>
      </c>
      <c r="I547">
        <v>2</v>
      </c>
      <c r="J547" s="4">
        <v>1500</v>
      </c>
      <c r="K547" s="6">
        <v>0</v>
      </c>
      <c r="L547" s="8">
        <v>3000</v>
      </c>
      <c r="M547" s="8">
        <v>1800</v>
      </c>
      <c r="N547" s="8">
        <v>1200</v>
      </c>
      <c r="O547" s="8">
        <f>SalesData[[#This Row],[Quantity]]*SalesData[[#This Row],[Unit Price]]*(1-SalesData[[#This Row],[Discount]])</f>
        <v>3000</v>
      </c>
      <c r="P547" s="8">
        <f>SalesData[[#This Row],[Sales_Check]]-SalesData[[#This Row],[Cost]]</f>
        <v>1200</v>
      </c>
      <c r="Q547" s="13">
        <f>IFERROR(SalesData[[#This Row],[Profit]]/SalesData[[#This Row],[Sales]],0)</f>
        <v>0.4</v>
      </c>
      <c r="R547" t="str">
        <f>TEXT(SalesData[[#This Row],[Order Date]],"mmm-yyyy")</f>
        <v>Mar-2026</v>
      </c>
      <c r="S547">
        <f>YEAR(SalesData[[#This Row],[Order Date]])</f>
        <v>2026</v>
      </c>
      <c r="T547" t="str">
        <f>IF(SalesData[[#This Row],[Profit Margin]]&gt;=30%,"High",IF(SalesData[[#This Row],[Profit Margin]]&gt;=15%,"Medium","Low"))</f>
        <v>High</v>
      </c>
    </row>
    <row r="548" spans="1:20" x14ac:dyDescent="0.35">
      <c r="A548" t="s">
        <v>990</v>
      </c>
      <c r="B548" s="23" t="s">
        <v>987</v>
      </c>
      <c r="C548" t="s">
        <v>61</v>
      </c>
      <c r="D548" t="s">
        <v>17</v>
      </c>
      <c r="E548" t="s">
        <v>50</v>
      </c>
      <c r="F548" t="s">
        <v>19</v>
      </c>
      <c r="G548" t="s">
        <v>215</v>
      </c>
      <c r="H548" t="s">
        <v>21</v>
      </c>
      <c r="I548">
        <v>2</v>
      </c>
      <c r="J548" s="4">
        <v>650</v>
      </c>
      <c r="K548" s="6">
        <v>0.1</v>
      </c>
      <c r="L548" s="8">
        <v>1170</v>
      </c>
      <c r="M548" s="8">
        <v>760</v>
      </c>
      <c r="N548" s="8">
        <v>410</v>
      </c>
      <c r="O548" s="8">
        <f>SalesData[[#This Row],[Quantity]]*SalesData[[#This Row],[Unit Price]]*(1-SalesData[[#This Row],[Discount]])</f>
        <v>1170</v>
      </c>
      <c r="P548" s="8">
        <f>SalesData[[#This Row],[Sales_Check]]-SalesData[[#This Row],[Cost]]</f>
        <v>410</v>
      </c>
      <c r="Q548" s="13">
        <f>IFERROR(SalesData[[#This Row],[Profit]]/SalesData[[#This Row],[Sales]],0)</f>
        <v>0.3504273504273504</v>
      </c>
      <c r="R548" t="str">
        <f>TEXT(SalesData[[#This Row],[Order Date]],"mmm-yyyy")</f>
        <v>Mar-2026</v>
      </c>
      <c r="S548">
        <f>YEAR(SalesData[[#This Row],[Order Date]])</f>
        <v>2026</v>
      </c>
      <c r="T548" t="str">
        <f>IF(SalesData[[#This Row],[Profit Margin]]&gt;=30%,"High",IF(SalesData[[#This Row],[Profit Margin]]&gt;=15%,"Medium","Low"))</f>
        <v>High</v>
      </c>
    </row>
    <row r="549" spans="1:20" x14ac:dyDescent="0.35">
      <c r="A549" t="s">
        <v>991</v>
      </c>
      <c r="B549" s="23" t="s">
        <v>987</v>
      </c>
      <c r="C549" t="s">
        <v>557</v>
      </c>
      <c r="D549" t="s">
        <v>17</v>
      </c>
      <c r="E549" t="s">
        <v>65</v>
      </c>
      <c r="F549" t="s">
        <v>19</v>
      </c>
      <c r="G549" t="s">
        <v>215</v>
      </c>
      <c r="H549" t="s">
        <v>33</v>
      </c>
      <c r="I549">
        <v>5</v>
      </c>
      <c r="J549" s="4">
        <v>2200</v>
      </c>
      <c r="K549" s="6">
        <v>0.05</v>
      </c>
      <c r="L549" s="8">
        <v>10450</v>
      </c>
      <c r="M549" s="8">
        <v>7000</v>
      </c>
      <c r="N549" s="8">
        <v>3450</v>
      </c>
      <c r="O549" s="8">
        <f>SalesData[[#This Row],[Quantity]]*SalesData[[#This Row],[Unit Price]]*(1-SalesData[[#This Row],[Discount]])</f>
        <v>10450</v>
      </c>
      <c r="P549" s="8">
        <f>SalesData[[#This Row],[Sales_Check]]-SalesData[[#This Row],[Cost]]</f>
        <v>3450</v>
      </c>
      <c r="Q549" s="13">
        <f>IFERROR(SalesData[[#This Row],[Profit]]/SalesData[[#This Row],[Sales]],0)</f>
        <v>0.33014354066985646</v>
      </c>
      <c r="R549" t="str">
        <f>TEXT(SalesData[[#This Row],[Order Date]],"mmm-yyyy")</f>
        <v>Mar-2026</v>
      </c>
      <c r="S549">
        <f>YEAR(SalesData[[#This Row],[Order Date]])</f>
        <v>2026</v>
      </c>
      <c r="T549" t="str">
        <f>IF(SalesData[[#This Row],[Profit Margin]]&gt;=30%,"High",IF(SalesData[[#This Row],[Profit Margin]]&gt;=15%,"Medium","Low"))</f>
        <v>High</v>
      </c>
    </row>
    <row r="550" spans="1:20" x14ac:dyDescent="0.35">
      <c r="A550" t="s">
        <v>992</v>
      </c>
      <c r="B550" s="23" t="s">
        <v>993</v>
      </c>
      <c r="C550" t="s">
        <v>24</v>
      </c>
      <c r="D550" t="s">
        <v>54</v>
      </c>
      <c r="E550" t="s">
        <v>110</v>
      </c>
      <c r="F550" t="s">
        <v>19</v>
      </c>
      <c r="G550" t="s">
        <v>20</v>
      </c>
      <c r="H550" t="s">
        <v>39</v>
      </c>
      <c r="I550">
        <v>8</v>
      </c>
      <c r="J550" s="4">
        <v>280</v>
      </c>
      <c r="K550" s="6">
        <v>0.1</v>
      </c>
      <c r="L550" s="8">
        <v>2016</v>
      </c>
      <c r="M550" s="8">
        <v>1200</v>
      </c>
      <c r="N550" s="8">
        <v>816</v>
      </c>
      <c r="O550" s="8">
        <f>SalesData[[#This Row],[Quantity]]*SalesData[[#This Row],[Unit Price]]*(1-SalesData[[#This Row],[Discount]])</f>
        <v>2016</v>
      </c>
      <c r="P550" s="8">
        <f>SalesData[[#This Row],[Sales_Check]]-SalesData[[#This Row],[Cost]]</f>
        <v>816</v>
      </c>
      <c r="Q550" s="13">
        <f>IFERROR(SalesData[[#This Row],[Profit]]/SalesData[[#This Row],[Sales]],0)</f>
        <v>0.40476190476190477</v>
      </c>
      <c r="R550" t="str">
        <f>TEXT(SalesData[[#This Row],[Order Date]],"mmm-yyyy")</f>
        <v>Mar-2026</v>
      </c>
      <c r="S550">
        <f>YEAR(SalesData[[#This Row],[Order Date]])</f>
        <v>2026</v>
      </c>
      <c r="T550" t="str">
        <f>IF(SalesData[[#This Row],[Profit Margin]]&gt;=30%,"High",IF(SalesData[[#This Row],[Profit Margin]]&gt;=15%,"Medium","Low"))</f>
        <v>High</v>
      </c>
    </row>
    <row r="551" spans="1:20" x14ac:dyDescent="0.35">
      <c r="A551" t="s">
        <v>994</v>
      </c>
      <c r="B551" s="23" t="s">
        <v>993</v>
      </c>
      <c r="C551" t="s">
        <v>528</v>
      </c>
      <c r="D551" t="s">
        <v>17</v>
      </c>
      <c r="E551" t="s">
        <v>124</v>
      </c>
      <c r="F551" t="s">
        <v>37</v>
      </c>
      <c r="G551" t="s">
        <v>140</v>
      </c>
      <c r="H551" t="s">
        <v>39</v>
      </c>
      <c r="I551">
        <v>4</v>
      </c>
      <c r="J551" s="4">
        <v>1200</v>
      </c>
      <c r="K551" s="6">
        <v>0</v>
      </c>
      <c r="L551" s="8">
        <v>4800</v>
      </c>
      <c r="M551" s="8">
        <v>2880</v>
      </c>
      <c r="N551" s="8">
        <v>1920</v>
      </c>
      <c r="O551" s="8">
        <f>SalesData[[#This Row],[Quantity]]*SalesData[[#This Row],[Unit Price]]*(1-SalesData[[#This Row],[Discount]])</f>
        <v>4800</v>
      </c>
      <c r="P551" s="8">
        <f>SalesData[[#This Row],[Sales_Check]]-SalesData[[#This Row],[Cost]]</f>
        <v>1920</v>
      </c>
      <c r="Q551" s="13">
        <f>IFERROR(SalesData[[#This Row],[Profit]]/SalesData[[#This Row],[Sales]],0)</f>
        <v>0.4</v>
      </c>
      <c r="R551" t="str">
        <f>TEXT(SalesData[[#This Row],[Order Date]],"mmm-yyyy")</f>
        <v>Mar-2026</v>
      </c>
      <c r="S551">
        <f>YEAR(SalesData[[#This Row],[Order Date]])</f>
        <v>2026</v>
      </c>
      <c r="T551" t="str">
        <f>IF(SalesData[[#This Row],[Profit Margin]]&gt;=30%,"High",IF(SalesData[[#This Row],[Profit Margin]]&gt;=15%,"Medium","Low"))</f>
        <v>High</v>
      </c>
    </row>
    <row r="552" spans="1:20" x14ac:dyDescent="0.35">
      <c r="A552" t="s">
        <v>995</v>
      </c>
      <c r="B552" s="23" t="s">
        <v>993</v>
      </c>
      <c r="C552" t="s">
        <v>264</v>
      </c>
      <c r="D552" t="s">
        <v>17</v>
      </c>
      <c r="E552" t="s">
        <v>124</v>
      </c>
      <c r="F552" t="s">
        <v>27</v>
      </c>
      <c r="G552" t="s">
        <v>85</v>
      </c>
      <c r="H552" t="s">
        <v>29</v>
      </c>
      <c r="I552">
        <v>7</v>
      </c>
      <c r="J552" s="4">
        <v>1200</v>
      </c>
      <c r="K552" s="6">
        <v>0</v>
      </c>
      <c r="L552" s="8">
        <v>8400</v>
      </c>
      <c r="M552" s="8">
        <v>5040</v>
      </c>
      <c r="N552" s="8">
        <v>3360</v>
      </c>
      <c r="O552" s="8">
        <f>SalesData[[#This Row],[Quantity]]*SalesData[[#This Row],[Unit Price]]*(1-SalesData[[#This Row],[Discount]])</f>
        <v>8400</v>
      </c>
      <c r="P552" s="8">
        <f>SalesData[[#This Row],[Sales_Check]]-SalesData[[#This Row],[Cost]]</f>
        <v>3360</v>
      </c>
      <c r="Q552" s="13">
        <f>IFERROR(SalesData[[#This Row],[Profit]]/SalesData[[#This Row],[Sales]],0)</f>
        <v>0.4</v>
      </c>
      <c r="R552" t="str">
        <f>TEXT(SalesData[[#This Row],[Order Date]],"mmm-yyyy")</f>
        <v>Mar-2026</v>
      </c>
      <c r="S552">
        <f>YEAR(SalesData[[#This Row],[Order Date]])</f>
        <v>2026</v>
      </c>
      <c r="T552" t="str">
        <f>IF(SalesData[[#This Row],[Profit Margin]]&gt;=30%,"High",IF(SalesData[[#This Row],[Profit Margin]]&gt;=15%,"Medium","Low"))</f>
        <v>High</v>
      </c>
    </row>
    <row r="553" spans="1:20" x14ac:dyDescent="0.35">
      <c r="A553" t="s">
        <v>996</v>
      </c>
      <c r="B553" s="23" t="s">
        <v>997</v>
      </c>
      <c r="C553" t="s">
        <v>543</v>
      </c>
      <c r="D553" t="s">
        <v>43</v>
      </c>
      <c r="E553" t="s">
        <v>143</v>
      </c>
      <c r="F553" t="s">
        <v>45</v>
      </c>
      <c r="G553" t="s">
        <v>70</v>
      </c>
      <c r="H553" t="s">
        <v>21</v>
      </c>
      <c r="I553">
        <v>8</v>
      </c>
      <c r="J553" s="4">
        <v>650</v>
      </c>
      <c r="K553" s="6">
        <v>0.05</v>
      </c>
      <c r="L553" s="8">
        <v>4940</v>
      </c>
      <c r="M553" s="8">
        <v>2800</v>
      </c>
      <c r="N553" s="8">
        <v>2140</v>
      </c>
      <c r="O553" s="8">
        <f>SalesData[[#This Row],[Quantity]]*SalesData[[#This Row],[Unit Price]]*(1-SalesData[[#This Row],[Discount]])</f>
        <v>4940</v>
      </c>
      <c r="P553" s="8">
        <f>SalesData[[#This Row],[Sales_Check]]-SalesData[[#This Row],[Cost]]</f>
        <v>2140</v>
      </c>
      <c r="Q553" s="13">
        <f>IFERROR(SalesData[[#This Row],[Profit]]/SalesData[[#This Row],[Sales]],0)</f>
        <v>0.4331983805668016</v>
      </c>
      <c r="R553" t="str">
        <f>TEXT(SalesData[[#This Row],[Order Date]],"mmm-yyyy")</f>
        <v>Mar-2026</v>
      </c>
      <c r="S553">
        <f>YEAR(SalesData[[#This Row],[Order Date]])</f>
        <v>2026</v>
      </c>
      <c r="T553" t="str">
        <f>IF(SalesData[[#This Row],[Profit Margin]]&gt;=30%,"High",IF(SalesData[[#This Row],[Profit Margin]]&gt;=15%,"Medium","Low"))</f>
        <v>High</v>
      </c>
    </row>
    <row r="554" spans="1:20" x14ac:dyDescent="0.35">
      <c r="A554" t="s">
        <v>998</v>
      </c>
      <c r="B554" s="23" t="s">
        <v>997</v>
      </c>
      <c r="C554" t="s">
        <v>662</v>
      </c>
      <c r="D554" t="s">
        <v>54</v>
      </c>
      <c r="E554" t="s">
        <v>110</v>
      </c>
      <c r="F554" t="s">
        <v>27</v>
      </c>
      <c r="G554" t="s">
        <v>90</v>
      </c>
      <c r="H554" t="s">
        <v>29</v>
      </c>
      <c r="I554">
        <v>4</v>
      </c>
      <c r="J554" s="4">
        <v>280</v>
      </c>
      <c r="K554" s="6">
        <v>0.05</v>
      </c>
      <c r="L554" s="8">
        <v>1064</v>
      </c>
      <c r="M554" s="8">
        <v>600</v>
      </c>
      <c r="N554" s="8">
        <v>464</v>
      </c>
      <c r="O554" s="8">
        <f>SalesData[[#This Row],[Quantity]]*SalesData[[#This Row],[Unit Price]]*(1-SalesData[[#This Row],[Discount]])</f>
        <v>1064</v>
      </c>
      <c r="P554" s="8">
        <f>SalesData[[#This Row],[Sales_Check]]-SalesData[[#This Row],[Cost]]</f>
        <v>464</v>
      </c>
      <c r="Q554" s="13">
        <f>IFERROR(SalesData[[#This Row],[Profit]]/SalesData[[#This Row],[Sales]],0)</f>
        <v>0.43609022556390975</v>
      </c>
      <c r="R554" t="str">
        <f>TEXT(SalesData[[#This Row],[Order Date]],"mmm-yyyy")</f>
        <v>Mar-2026</v>
      </c>
      <c r="S554">
        <f>YEAR(SalesData[[#This Row],[Order Date]])</f>
        <v>2026</v>
      </c>
      <c r="T554" t="str">
        <f>IF(SalesData[[#This Row],[Profit Margin]]&gt;=30%,"High",IF(SalesData[[#This Row],[Profit Margin]]&gt;=15%,"Medium","Low"))</f>
        <v>High</v>
      </c>
    </row>
    <row r="555" spans="1:20" x14ac:dyDescent="0.35">
      <c r="A555" t="s">
        <v>999</v>
      </c>
      <c r="B555" s="23" t="s">
        <v>1000</v>
      </c>
      <c r="C555" t="s">
        <v>543</v>
      </c>
      <c r="D555" t="s">
        <v>17</v>
      </c>
      <c r="E555" t="s">
        <v>124</v>
      </c>
      <c r="F555" t="s">
        <v>45</v>
      </c>
      <c r="G555" t="s">
        <v>70</v>
      </c>
      <c r="H555" t="s">
        <v>39</v>
      </c>
      <c r="I555">
        <v>7</v>
      </c>
      <c r="J555" s="4">
        <v>1200</v>
      </c>
      <c r="K555" s="6">
        <v>0.1</v>
      </c>
      <c r="L555" s="8">
        <v>7560</v>
      </c>
      <c r="M555" s="8">
        <v>5040</v>
      </c>
      <c r="N555" s="8">
        <v>2520</v>
      </c>
      <c r="O555" s="8">
        <f>SalesData[[#This Row],[Quantity]]*SalesData[[#This Row],[Unit Price]]*(1-SalesData[[#This Row],[Discount]])</f>
        <v>7560</v>
      </c>
      <c r="P555" s="8">
        <f>SalesData[[#This Row],[Sales_Check]]-SalesData[[#This Row],[Cost]]</f>
        <v>2520</v>
      </c>
      <c r="Q555" s="13">
        <f>IFERROR(SalesData[[#This Row],[Profit]]/SalesData[[#This Row],[Sales]],0)</f>
        <v>0.33333333333333331</v>
      </c>
      <c r="R555" t="str">
        <f>TEXT(SalesData[[#This Row],[Order Date]],"mmm-yyyy")</f>
        <v>Mar-2026</v>
      </c>
      <c r="S555">
        <f>YEAR(SalesData[[#This Row],[Order Date]])</f>
        <v>2026</v>
      </c>
      <c r="T555" t="str">
        <f>IF(SalesData[[#This Row],[Profit Margin]]&gt;=30%,"High",IF(SalesData[[#This Row],[Profit Margin]]&gt;=15%,"Medium","Low"))</f>
        <v>High</v>
      </c>
    </row>
    <row r="556" spans="1:20" x14ac:dyDescent="0.35">
      <c r="A556" t="s">
        <v>1001</v>
      </c>
      <c r="B556" s="23" t="s">
        <v>1000</v>
      </c>
      <c r="C556" t="s">
        <v>343</v>
      </c>
      <c r="D556" t="s">
        <v>17</v>
      </c>
      <c r="E556" t="s">
        <v>32</v>
      </c>
      <c r="F556" t="s">
        <v>37</v>
      </c>
      <c r="G556" t="s">
        <v>73</v>
      </c>
      <c r="H556" t="s">
        <v>29</v>
      </c>
      <c r="I556">
        <v>8</v>
      </c>
      <c r="J556" s="4">
        <v>1500</v>
      </c>
      <c r="K556" s="6">
        <v>0</v>
      </c>
      <c r="L556" s="8">
        <v>12000</v>
      </c>
      <c r="M556" s="8">
        <v>7200</v>
      </c>
      <c r="N556" s="8">
        <v>4800</v>
      </c>
      <c r="O556" s="8">
        <f>SalesData[[#This Row],[Quantity]]*SalesData[[#This Row],[Unit Price]]*(1-SalesData[[#This Row],[Discount]])</f>
        <v>12000</v>
      </c>
      <c r="P556" s="8">
        <f>SalesData[[#This Row],[Sales_Check]]-SalesData[[#This Row],[Cost]]</f>
        <v>4800</v>
      </c>
      <c r="Q556" s="13">
        <f>IFERROR(SalesData[[#This Row],[Profit]]/SalesData[[#This Row],[Sales]],0)</f>
        <v>0.4</v>
      </c>
      <c r="R556" t="str">
        <f>TEXT(SalesData[[#This Row],[Order Date]],"mmm-yyyy")</f>
        <v>Mar-2026</v>
      </c>
      <c r="S556">
        <f>YEAR(SalesData[[#This Row],[Order Date]])</f>
        <v>2026</v>
      </c>
      <c r="T556" t="str">
        <f>IF(SalesData[[#This Row],[Profit Margin]]&gt;=30%,"High",IF(SalesData[[#This Row],[Profit Margin]]&gt;=15%,"Medium","Low"))</f>
        <v>High</v>
      </c>
    </row>
    <row r="557" spans="1:20" x14ac:dyDescent="0.35">
      <c r="A557" t="s">
        <v>1002</v>
      </c>
      <c r="B557" s="23" t="s">
        <v>1003</v>
      </c>
      <c r="C557" t="s">
        <v>211</v>
      </c>
      <c r="D557" t="s">
        <v>25</v>
      </c>
      <c r="E557" t="s">
        <v>36</v>
      </c>
      <c r="F557" t="s">
        <v>27</v>
      </c>
      <c r="G557" t="s">
        <v>85</v>
      </c>
      <c r="H557" t="s">
        <v>21</v>
      </c>
      <c r="I557">
        <v>7</v>
      </c>
      <c r="J557" s="4">
        <v>700</v>
      </c>
      <c r="K557" s="6">
        <v>0.1</v>
      </c>
      <c r="L557" s="8">
        <v>4410</v>
      </c>
      <c r="M557" s="8">
        <v>2800</v>
      </c>
      <c r="N557" s="8">
        <v>1610</v>
      </c>
      <c r="O557" s="8">
        <f>SalesData[[#This Row],[Quantity]]*SalesData[[#This Row],[Unit Price]]*(1-SalesData[[#This Row],[Discount]])</f>
        <v>4410</v>
      </c>
      <c r="P557" s="8">
        <f>SalesData[[#This Row],[Sales_Check]]-SalesData[[#This Row],[Cost]]</f>
        <v>1610</v>
      </c>
      <c r="Q557" s="13">
        <f>IFERROR(SalesData[[#This Row],[Profit]]/SalesData[[#This Row],[Sales]],0)</f>
        <v>0.36507936507936506</v>
      </c>
      <c r="R557" t="str">
        <f>TEXT(SalesData[[#This Row],[Order Date]],"mmm-yyyy")</f>
        <v>Mar-2026</v>
      </c>
      <c r="S557">
        <f>YEAR(SalesData[[#This Row],[Order Date]])</f>
        <v>2026</v>
      </c>
      <c r="T557" t="str">
        <f>IF(SalesData[[#This Row],[Profit Margin]]&gt;=30%,"High",IF(SalesData[[#This Row],[Profit Margin]]&gt;=15%,"Medium","Low"))</f>
        <v>High</v>
      </c>
    </row>
    <row r="558" spans="1:20" x14ac:dyDescent="0.35">
      <c r="A558" t="s">
        <v>1004</v>
      </c>
      <c r="B558" s="23" t="s">
        <v>1003</v>
      </c>
      <c r="C558" t="s">
        <v>1005</v>
      </c>
      <c r="D558" t="s">
        <v>54</v>
      </c>
      <c r="E558" t="s">
        <v>110</v>
      </c>
      <c r="F558" t="s">
        <v>45</v>
      </c>
      <c r="G558" t="s">
        <v>104</v>
      </c>
      <c r="H558" t="s">
        <v>47</v>
      </c>
      <c r="I558">
        <v>10</v>
      </c>
      <c r="J558" s="4">
        <v>280</v>
      </c>
      <c r="K558" s="6">
        <v>0</v>
      </c>
      <c r="L558" s="8">
        <v>2800</v>
      </c>
      <c r="M558" s="8">
        <v>1500</v>
      </c>
      <c r="N558" s="8">
        <v>1300</v>
      </c>
      <c r="O558" s="8">
        <f>SalesData[[#This Row],[Quantity]]*SalesData[[#This Row],[Unit Price]]*(1-SalesData[[#This Row],[Discount]])</f>
        <v>2800</v>
      </c>
      <c r="P558" s="8">
        <f>SalesData[[#This Row],[Sales_Check]]-SalesData[[#This Row],[Cost]]</f>
        <v>1300</v>
      </c>
      <c r="Q558" s="13">
        <f>IFERROR(SalesData[[#This Row],[Profit]]/SalesData[[#This Row],[Sales]],0)</f>
        <v>0.4642857142857143</v>
      </c>
      <c r="R558" t="str">
        <f>TEXT(SalesData[[#This Row],[Order Date]],"mmm-yyyy")</f>
        <v>Mar-2026</v>
      </c>
      <c r="S558">
        <f>YEAR(SalesData[[#This Row],[Order Date]])</f>
        <v>2026</v>
      </c>
      <c r="T558" t="str">
        <f>IF(SalesData[[#This Row],[Profit Margin]]&gt;=30%,"High",IF(SalesData[[#This Row],[Profit Margin]]&gt;=15%,"Medium","Low"))</f>
        <v>High</v>
      </c>
    </row>
    <row r="559" spans="1:20" x14ac:dyDescent="0.35">
      <c r="A559" t="s">
        <v>1006</v>
      </c>
      <c r="B559" s="23" t="s">
        <v>1003</v>
      </c>
      <c r="C559" t="s">
        <v>528</v>
      </c>
      <c r="D559" t="s">
        <v>43</v>
      </c>
      <c r="E559" t="s">
        <v>143</v>
      </c>
      <c r="F559" t="s">
        <v>45</v>
      </c>
      <c r="G559" t="s">
        <v>46</v>
      </c>
      <c r="H559" t="s">
        <v>21</v>
      </c>
      <c r="I559">
        <v>6</v>
      </c>
      <c r="J559" s="4">
        <v>650</v>
      </c>
      <c r="K559" s="6">
        <v>0</v>
      </c>
      <c r="L559" s="8">
        <v>3900</v>
      </c>
      <c r="M559" s="8">
        <v>2100</v>
      </c>
      <c r="N559" s="8">
        <v>1800</v>
      </c>
      <c r="O559" s="8">
        <f>SalesData[[#This Row],[Quantity]]*SalesData[[#This Row],[Unit Price]]*(1-SalesData[[#This Row],[Discount]])</f>
        <v>3900</v>
      </c>
      <c r="P559" s="8">
        <f>SalesData[[#This Row],[Sales_Check]]-SalesData[[#This Row],[Cost]]</f>
        <v>1800</v>
      </c>
      <c r="Q559" s="13">
        <f>IFERROR(SalesData[[#This Row],[Profit]]/SalesData[[#This Row],[Sales]],0)</f>
        <v>0.46153846153846156</v>
      </c>
      <c r="R559" t="str">
        <f>TEXT(SalesData[[#This Row],[Order Date]],"mmm-yyyy")</f>
        <v>Mar-2026</v>
      </c>
      <c r="S559">
        <f>YEAR(SalesData[[#This Row],[Order Date]])</f>
        <v>2026</v>
      </c>
      <c r="T559" t="str">
        <f>IF(SalesData[[#This Row],[Profit Margin]]&gt;=30%,"High",IF(SalesData[[#This Row],[Profit Margin]]&gt;=15%,"Medium","Low"))</f>
        <v>High</v>
      </c>
    </row>
    <row r="560" spans="1:20" x14ac:dyDescent="0.35">
      <c r="A560" t="s">
        <v>1007</v>
      </c>
      <c r="B560" s="23" t="s">
        <v>1008</v>
      </c>
      <c r="C560" t="s">
        <v>232</v>
      </c>
      <c r="D560" t="s">
        <v>25</v>
      </c>
      <c r="E560" t="s">
        <v>69</v>
      </c>
      <c r="F560" t="s">
        <v>19</v>
      </c>
      <c r="G560" t="s">
        <v>20</v>
      </c>
      <c r="H560" t="s">
        <v>39</v>
      </c>
      <c r="I560">
        <v>4</v>
      </c>
      <c r="J560" s="4">
        <v>350</v>
      </c>
      <c r="K560" s="6">
        <v>0</v>
      </c>
      <c r="L560" s="8">
        <v>1400</v>
      </c>
      <c r="M560" s="8">
        <v>720</v>
      </c>
      <c r="N560" s="8">
        <v>680</v>
      </c>
      <c r="O560" s="8">
        <f>SalesData[[#This Row],[Quantity]]*SalesData[[#This Row],[Unit Price]]*(1-SalesData[[#This Row],[Discount]])</f>
        <v>1400</v>
      </c>
      <c r="P560" s="8">
        <f>SalesData[[#This Row],[Sales_Check]]-SalesData[[#This Row],[Cost]]</f>
        <v>680</v>
      </c>
      <c r="Q560" s="13">
        <f>IFERROR(SalesData[[#This Row],[Profit]]/SalesData[[#This Row],[Sales]],0)</f>
        <v>0.48571428571428571</v>
      </c>
      <c r="R560" t="str">
        <f>TEXT(SalesData[[#This Row],[Order Date]],"mmm-yyyy")</f>
        <v>Mar-2026</v>
      </c>
      <c r="S560">
        <f>YEAR(SalesData[[#This Row],[Order Date]])</f>
        <v>2026</v>
      </c>
      <c r="T560" t="str">
        <f>IF(SalesData[[#This Row],[Profit Margin]]&gt;=30%,"High",IF(SalesData[[#This Row],[Profit Margin]]&gt;=15%,"Medium","Low"))</f>
        <v>High</v>
      </c>
    </row>
    <row r="561" spans="1:20" x14ac:dyDescent="0.35">
      <c r="A561" t="s">
        <v>1009</v>
      </c>
      <c r="B561" s="23" t="s">
        <v>1008</v>
      </c>
      <c r="C561" t="s">
        <v>691</v>
      </c>
      <c r="D561" t="s">
        <v>25</v>
      </c>
      <c r="E561" t="s">
        <v>36</v>
      </c>
      <c r="F561" t="s">
        <v>19</v>
      </c>
      <c r="G561" t="s">
        <v>56</v>
      </c>
      <c r="H561" t="s">
        <v>125</v>
      </c>
      <c r="I561">
        <v>3</v>
      </c>
      <c r="J561" s="4">
        <v>700</v>
      </c>
      <c r="K561" s="6">
        <v>0.05</v>
      </c>
      <c r="L561" s="8">
        <v>1995</v>
      </c>
      <c r="M561" s="8">
        <v>1200</v>
      </c>
      <c r="N561" s="8">
        <v>795</v>
      </c>
      <c r="O561" s="8">
        <f>SalesData[[#This Row],[Quantity]]*SalesData[[#This Row],[Unit Price]]*(1-SalesData[[#This Row],[Discount]])</f>
        <v>1995</v>
      </c>
      <c r="P561" s="8">
        <f>SalesData[[#This Row],[Sales_Check]]-SalesData[[#This Row],[Cost]]</f>
        <v>795</v>
      </c>
      <c r="Q561" s="13">
        <f>IFERROR(SalesData[[#This Row],[Profit]]/SalesData[[#This Row],[Sales]],0)</f>
        <v>0.39849624060150374</v>
      </c>
      <c r="R561" t="str">
        <f>TEXT(SalesData[[#This Row],[Order Date]],"mmm-yyyy")</f>
        <v>Mar-2026</v>
      </c>
      <c r="S561">
        <f>YEAR(SalesData[[#This Row],[Order Date]])</f>
        <v>2026</v>
      </c>
      <c r="T561" t="str">
        <f>IF(SalesData[[#This Row],[Profit Margin]]&gt;=30%,"High",IF(SalesData[[#This Row],[Profit Margin]]&gt;=15%,"Medium","Low"))</f>
        <v>High</v>
      </c>
    </row>
    <row r="562" spans="1:20" x14ac:dyDescent="0.35">
      <c r="A562" t="s">
        <v>1010</v>
      </c>
      <c r="B562" s="23" t="s">
        <v>1008</v>
      </c>
      <c r="C562" t="s">
        <v>949</v>
      </c>
      <c r="D562" t="s">
        <v>25</v>
      </c>
      <c r="E562" t="s">
        <v>89</v>
      </c>
      <c r="F562" t="s">
        <v>45</v>
      </c>
      <c r="G562" t="s">
        <v>104</v>
      </c>
      <c r="H562" t="s">
        <v>125</v>
      </c>
      <c r="I562">
        <v>5</v>
      </c>
      <c r="J562" s="4">
        <v>550</v>
      </c>
      <c r="K562" s="6">
        <v>0.05</v>
      </c>
      <c r="L562" s="8">
        <v>2612.5</v>
      </c>
      <c r="M562" s="8">
        <v>1500</v>
      </c>
      <c r="N562" s="8">
        <v>1112.5</v>
      </c>
      <c r="O562" s="8">
        <f>SalesData[[#This Row],[Quantity]]*SalesData[[#This Row],[Unit Price]]*(1-SalesData[[#This Row],[Discount]])</f>
        <v>2612.5</v>
      </c>
      <c r="P562" s="8">
        <f>SalesData[[#This Row],[Sales_Check]]-SalesData[[#This Row],[Cost]]</f>
        <v>1112.5</v>
      </c>
      <c r="Q562" s="13">
        <f>IFERROR(SalesData[[#This Row],[Profit]]/SalesData[[#This Row],[Sales]],0)</f>
        <v>0.42583732057416268</v>
      </c>
      <c r="R562" t="str">
        <f>TEXT(SalesData[[#This Row],[Order Date]],"mmm-yyyy")</f>
        <v>Mar-2026</v>
      </c>
      <c r="S562">
        <f>YEAR(SalesData[[#This Row],[Order Date]])</f>
        <v>2026</v>
      </c>
      <c r="T562" t="str">
        <f>IF(SalesData[[#This Row],[Profit Margin]]&gt;=30%,"High",IF(SalesData[[#This Row],[Profit Margin]]&gt;=15%,"Medium","Low"))</f>
        <v>High</v>
      </c>
    </row>
    <row r="563" spans="1:20" x14ac:dyDescent="0.35">
      <c r="A563" t="s">
        <v>1011</v>
      </c>
      <c r="B563" s="23" t="s">
        <v>1008</v>
      </c>
      <c r="C563" t="s">
        <v>412</v>
      </c>
      <c r="D563" t="s">
        <v>25</v>
      </c>
      <c r="E563" t="s">
        <v>36</v>
      </c>
      <c r="F563" t="s">
        <v>45</v>
      </c>
      <c r="G563" t="s">
        <v>46</v>
      </c>
      <c r="H563" t="s">
        <v>39</v>
      </c>
      <c r="I563">
        <v>9</v>
      </c>
      <c r="J563" s="4">
        <v>700</v>
      </c>
      <c r="K563" s="6">
        <v>0</v>
      </c>
      <c r="L563" s="8">
        <v>6300</v>
      </c>
      <c r="M563" s="8">
        <v>3600</v>
      </c>
      <c r="N563" s="8">
        <v>2700</v>
      </c>
      <c r="O563" s="8">
        <f>SalesData[[#This Row],[Quantity]]*SalesData[[#This Row],[Unit Price]]*(1-SalesData[[#This Row],[Discount]])</f>
        <v>6300</v>
      </c>
      <c r="P563" s="8">
        <f>SalesData[[#This Row],[Sales_Check]]-SalesData[[#This Row],[Cost]]</f>
        <v>2700</v>
      </c>
      <c r="Q563" s="13">
        <f>IFERROR(SalesData[[#This Row],[Profit]]/SalesData[[#This Row],[Sales]],0)</f>
        <v>0.42857142857142855</v>
      </c>
      <c r="R563" t="str">
        <f>TEXT(SalesData[[#This Row],[Order Date]],"mmm-yyyy")</f>
        <v>Mar-2026</v>
      </c>
      <c r="S563">
        <f>YEAR(SalesData[[#This Row],[Order Date]])</f>
        <v>2026</v>
      </c>
      <c r="T563" t="str">
        <f>IF(SalesData[[#This Row],[Profit Margin]]&gt;=30%,"High",IF(SalesData[[#This Row],[Profit Margin]]&gt;=15%,"Medium","Low"))</f>
        <v>High</v>
      </c>
    </row>
    <row r="564" spans="1:20" x14ac:dyDescent="0.35">
      <c r="A564" t="s">
        <v>1012</v>
      </c>
      <c r="B564" s="23" t="s">
        <v>1008</v>
      </c>
      <c r="C564" t="s">
        <v>1013</v>
      </c>
      <c r="D564" t="s">
        <v>17</v>
      </c>
      <c r="E564" t="s">
        <v>32</v>
      </c>
      <c r="F564" t="s">
        <v>27</v>
      </c>
      <c r="G564" t="s">
        <v>28</v>
      </c>
      <c r="H564" t="s">
        <v>29</v>
      </c>
      <c r="I564">
        <v>9</v>
      </c>
      <c r="J564" s="4">
        <v>1500</v>
      </c>
      <c r="K564" s="6">
        <v>0</v>
      </c>
      <c r="L564" s="8">
        <v>13500</v>
      </c>
      <c r="M564" s="8">
        <v>8100</v>
      </c>
      <c r="N564" s="8">
        <v>5400</v>
      </c>
      <c r="O564" s="8">
        <f>SalesData[[#This Row],[Quantity]]*SalesData[[#This Row],[Unit Price]]*(1-SalesData[[#This Row],[Discount]])</f>
        <v>13500</v>
      </c>
      <c r="P564" s="8">
        <f>SalesData[[#This Row],[Sales_Check]]-SalesData[[#This Row],[Cost]]</f>
        <v>5400</v>
      </c>
      <c r="Q564" s="13">
        <f>IFERROR(SalesData[[#This Row],[Profit]]/SalesData[[#This Row],[Sales]],0)</f>
        <v>0.4</v>
      </c>
      <c r="R564" t="str">
        <f>TEXT(SalesData[[#This Row],[Order Date]],"mmm-yyyy")</f>
        <v>Mar-2026</v>
      </c>
      <c r="S564">
        <f>YEAR(SalesData[[#This Row],[Order Date]])</f>
        <v>2026</v>
      </c>
      <c r="T564" t="str">
        <f>IF(SalesData[[#This Row],[Profit Margin]]&gt;=30%,"High",IF(SalesData[[#This Row],[Profit Margin]]&gt;=15%,"Medium","Low"))</f>
        <v>High</v>
      </c>
    </row>
    <row r="565" spans="1:20" x14ac:dyDescent="0.35">
      <c r="A565" t="s">
        <v>1014</v>
      </c>
      <c r="B565" s="23" t="s">
        <v>1015</v>
      </c>
      <c r="C565" t="s">
        <v>343</v>
      </c>
      <c r="D565" t="s">
        <v>43</v>
      </c>
      <c r="E565" t="s">
        <v>143</v>
      </c>
      <c r="F565" t="s">
        <v>37</v>
      </c>
      <c r="G565" t="s">
        <v>97</v>
      </c>
      <c r="H565" t="s">
        <v>125</v>
      </c>
      <c r="I565">
        <v>2</v>
      </c>
      <c r="J565" s="4">
        <v>650</v>
      </c>
      <c r="K565" s="6">
        <v>0.05</v>
      </c>
      <c r="L565" s="8">
        <v>1235</v>
      </c>
      <c r="M565" s="8">
        <v>700</v>
      </c>
      <c r="N565" s="8">
        <v>535</v>
      </c>
      <c r="O565" s="8">
        <f>SalesData[[#This Row],[Quantity]]*SalesData[[#This Row],[Unit Price]]*(1-SalesData[[#This Row],[Discount]])</f>
        <v>1235</v>
      </c>
      <c r="P565" s="8">
        <f>SalesData[[#This Row],[Sales_Check]]-SalesData[[#This Row],[Cost]]</f>
        <v>535</v>
      </c>
      <c r="Q565" s="13">
        <f>IFERROR(SalesData[[#This Row],[Profit]]/SalesData[[#This Row],[Sales]],0)</f>
        <v>0.4331983805668016</v>
      </c>
      <c r="R565" t="str">
        <f>TEXT(SalesData[[#This Row],[Order Date]],"mmm-yyyy")</f>
        <v>Mar-2026</v>
      </c>
      <c r="S565">
        <f>YEAR(SalesData[[#This Row],[Order Date]])</f>
        <v>2026</v>
      </c>
      <c r="T565" t="str">
        <f>IF(SalesData[[#This Row],[Profit Margin]]&gt;=30%,"High",IF(SalesData[[#This Row],[Profit Margin]]&gt;=15%,"Medium","Low"))</f>
        <v>High</v>
      </c>
    </row>
    <row r="566" spans="1:20" x14ac:dyDescent="0.35">
      <c r="A566" t="s">
        <v>1016</v>
      </c>
      <c r="B566" s="23" t="s">
        <v>1017</v>
      </c>
      <c r="C566" t="s">
        <v>637</v>
      </c>
      <c r="D566" t="s">
        <v>25</v>
      </c>
      <c r="E566" t="s">
        <v>69</v>
      </c>
      <c r="F566" t="s">
        <v>27</v>
      </c>
      <c r="G566" t="s">
        <v>90</v>
      </c>
      <c r="H566" t="s">
        <v>33</v>
      </c>
      <c r="I566">
        <v>5</v>
      </c>
      <c r="J566" s="4">
        <v>350</v>
      </c>
      <c r="K566" s="6">
        <v>0</v>
      </c>
      <c r="L566" s="8">
        <v>1750</v>
      </c>
      <c r="M566" s="8">
        <v>900</v>
      </c>
      <c r="N566" s="8">
        <v>850</v>
      </c>
      <c r="O566" s="8">
        <f>SalesData[[#This Row],[Quantity]]*SalesData[[#This Row],[Unit Price]]*(1-SalesData[[#This Row],[Discount]])</f>
        <v>1750</v>
      </c>
      <c r="P566" s="8">
        <f>SalesData[[#This Row],[Sales_Check]]-SalesData[[#This Row],[Cost]]</f>
        <v>850</v>
      </c>
      <c r="Q566" s="13">
        <f>IFERROR(SalesData[[#This Row],[Profit]]/SalesData[[#This Row],[Sales]],0)</f>
        <v>0.48571428571428571</v>
      </c>
      <c r="R566" t="str">
        <f>TEXT(SalesData[[#This Row],[Order Date]],"mmm-yyyy")</f>
        <v>Apr-2026</v>
      </c>
      <c r="S566">
        <f>YEAR(SalesData[[#This Row],[Order Date]])</f>
        <v>2026</v>
      </c>
      <c r="T566" t="str">
        <f>IF(SalesData[[#This Row],[Profit Margin]]&gt;=30%,"High",IF(SalesData[[#This Row],[Profit Margin]]&gt;=15%,"Medium","Low"))</f>
        <v>High</v>
      </c>
    </row>
    <row r="567" spans="1:20" x14ac:dyDescent="0.35">
      <c r="A567" t="s">
        <v>1018</v>
      </c>
      <c r="B567" s="23" t="s">
        <v>1017</v>
      </c>
      <c r="C567" t="s">
        <v>252</v>
      </c>
      <c r="D567" t="s">
        <v>54</v>
      </c>
      <c r="E567" t="s">
        <v>55</v>
      </c>
      <c r="F567" t="s">
        <v>45</v>
      </c>
      <c r="G567" t="s">
        <v>46</v>
      </c>
      <c r="H567" t="s">
        <v>39</v>
      </c>
      <c r="I567">
        <v>4</v>
      </c>
      <c r="J567" s="4">
        <v>180</v>
      </c>
      <c r="K567" s="6">
        <v>0</v>
      </c>
      <c r="L567" s="8">
        <v>720</v>
      </c>
      <c r="M567" s="8">
        <v>360</v>
      </c>
      <c r="N567" s="8">
        <v>360</v>
      </c>
      <c r="O567" s="8">
        <f>SalesData[[#This Row],[Quantity]]*SalesData[[#This Row],[Unit Price]]*(1-SalesData[[#This Row],[Discount]])</f>
        <v>720</v>
      </c>
      <c r="P567" s="8">
        <f>SalesData[[#This Row],[Sales_Check]]-SalesData[[#This Row],[Cost]]</f>
        <v>360</v>
      </c>
      <c r="Q567" s="13">
        <f>IFERROR(SalesData[[#This Row],[Profit]]/SalesData[[#This Row],[Sales]],0)</f>
        <v>0.5</v>
      </c>
      <c r="R567" t="str">
        <f>TEXT(SalesData[[#This Row],[Order Date]],"mmm-yyyy")</f>
        <v>Apr-2026</v>
      </c>
      <c r="S567">
        <f>YEAR(SalesData[[#This Row],[Order Date]])</f>
        <v>2026</v>
      </c>
      <c r="T567" t="str">
        <f>IF(SalesData[[#This Row],[Profit Margin]]&gt;=30%,"High",IF(SalesData[[#This Row],[Profit Margin]]&gt;=15%,"Medium","Low"))</f>
        <v>High</v>
      </c>
    </row>
    <row r="568" spans="1:20" x14ac:dyDescent="0.35">
      <c r="A568" t="s">
        <v>1019</v>
      </c>
      <c r="B568" s="23" t="s">
        <v>1017</v>
      </c>
      <c r="C568" t="s">
        <v>88</v>
      </c>
      <c r="D568" t="s">
        <v>43</v>
      </c>
      <c r="E568" t="s">
        <v>44</v>
      </c>
      <c r="F568" t="s">
        <v>37</v>
      </c>
      <c r="G568" t="s">
        <v>97</v>
      </c>
      <c r="H568" t="s">
        <v>39</v>
      </c>
      <c r="I568">
        <v>2</v>
      </c>
      <c r="J568" s="4">
        <v>2200</v>
      </c>
      <c r="K568" s="6">
        <v>0</v>
      </c>
      <c r="L568" s="8">
        <v>4400</v>
      </c>
      <c r="M568" s="8">
        <v>2900</v>
      </c>
      <c r="N568" s="8">
        <v>1500</v>
      </c>
      <c r="O568" s="8">
        <f>SalesData[[#This Row],[Quantity]]*SalesData[[#This Row],[Unit Price]]*(1-SalesData[[#This Row],[Discount]])</f>
        <v>4400</v>
      </c>
      <c r="P568" s="8">
        <f>SalesData[[#This Row],[Sales_Check]]-SalesData[[#This Row],[Cost]]</f>
        <v>1500</v>
      </c>
      <c r="Q568" s="13">
        <f>IFERROR(SalesData[[#This Row],[Profit]]/SalesData[[#This Row],[Sales]],0)</f>
        <v>0.34090909090909088</v>
      </c>
      <c r="R568" t="str">
        <f>TEXT(SalesData[[#This Row],[Order Date]],"mmm-yyyy")</f>
        <v>Apr-2026</v>
      </c>
      <c r="S568">
        <f>YEAR(SalesData[[#This Row],[Order Date]])</f>
        <v>2026</v>
      </c>
      <c r="T568" t="str">
        <f>IF(SalesData[[#This Row],[Profit Margin]]&gt;=30%,"High",IF(SalesData[[#This Row],[Profit Margin]]&gt;=15%,"Medium","Low"))</f>
        <v>High</v>
      </c>
    </row>
    <row r="569" spans="1:20" x14ac:dyDescent="0.35">
      <c r="A569" t="s">
        <v>1020</v>
      </c>
      <c r="B569" s="23" t="s">
        <v>1021</v>
      </c>
      <c r="C569" t="s">
        <v>615</v>
      </c>
      <c r="D569" t="s">
        <v>54</v>
      </c>
      <c r="E569" t="s">
        <v>103</v>
      </c>
      <c r="F569" t="s">
        <v>19</v>
      </c>
      <c r="G569" t="s">
        <v>20</v>
      </c>
      <c r="H569" t="s">
        <v>39</v>
      </c>
      <c r="I569">
        <v>5</v>
      </c>
      <c r="J569" s="4">
        <v>150</v>
      </c>
      <c r="K569" s="6">
        <v>0.1</v>
      </c>
      <c r="L569" s="8">
        <v>675</v>
      </c>
      <c r="M569" s="8">
        <v>375</v>
      </c>
      <c r="N569" s="8">
        <v>300</v>
      </c>
      <c r="O569" s="8">
        <f>SalesData[[#This Row],[Quantity]]*SalesData[[#This Row],[Unit Price]]*(1-SalesData[[#This Row],[Discount]])</f>
        <v>675</v>
      </c>
      <c r="P569" s="8">
        <f>SalesData[[#This Row],[Sales_Check]]-SalesData[[#This Row],[Cost]]</f>
        <v>300</v>
      </c>
      <c r="Q569" s="13">
        <f>IFERROR(SalesData[[#This Row],[Profit]]/SalesData[[#This Row],[Sales]],0)</f>
        <v>0.44444444444444442</v>
      </c>
      <c r="R569" t="str">
        <f>TEXT(SalesData[[#This Row],[Order Date]],"mmm-yyyy")</f>
        <v>Apr-2026</v>
      </c>
      <c r="S569">
        <f>YEAR(SalesData[[#This Row],[Order Date]])</f>
        <v>2026</v>
      </c>
      <c r="T569" t="str">
        <f>IF(SalesData[[#This Row],[Profit Margin]]&gt;=30%,"High",IF(SalesData[[#This Row],[Profit Margin]]&gt;=15%,"Medium","Low"))</f>
        <v>High</v>
      </c>
    </row>
    <row r="570" spans="1:20" x14ac:dyDescent="0.35">
      <c r="A570" t="s">
        <v>1022</v>
      </c>
      <c r="B570" s="23" t="s">
        <v>1021</v>
      </c>
      <c r="C570" t="s">
        <v>220</v>
      </c>
      <c r="D570" t="s">
        <v>43</v>
      </c>
      <c r="E570" t="s">
        <v>62</v>
      </c>
      <c r="F570" t="s">
        <v>27</v>
      </c>
      <c r="G570" t="s">
        <v>51</v>
      </c>
      <c r="H570" t="s">
        <v>29</v>
      </c>
      <c r="I570">
        <v>9</v>
      </c>
      <c r="J570" s="4">
        <v>500</v>
      </c>
      <c r="K570" s="6">
        <v>0.05</v>
      </c>
      <c r="L570" s="8">
        <v>4275</v>
      </c>
      <c r="M570" s="8">
        <v>2520</v>
      </c>
      <c r="N570" s="8">
        <v>1755</v>
      </c>
      <c r="O570" s="8">
        <f>SalesData[[#This Row],[Quantity]]*SalesData[[#This Row],[Unit Price]]*(1-SalesData[[#This Row],[Discount]])</f>
        <v>4275</v>
      </c>
      <c r="P570" s="8">
        <f>SalesData[[#This Row],[Sales_Check]]-SalesData[[#This Row],[Cost]]</f>
        <v>1755</v>
      </c>
      <c r="Q570" s="13">
        <f>IFERROR(SalesData[[#This Row],[Profit]]/SalesData[[#This Row],[Sales]],0)</f>
        <v>0.41052631578947368</v>
      </c>
      <c r="R570" t="str">
        <f>TEXT(SalesData[[#This Row],[Order Date]],"mmm-yyyy")</f>
        <v>Apr-2026</v>
      </c>
      <c r="S570">
        <f>YEAR(SalesData[[#This Row],[Order Date]])</f>
        <v>2026</v>
      </c>
      <c r="T570" t="str">
        <f>IF(SalesData[[#This Row],[Profit Margin]]&gt;=30%,"High",IF(SalesData[[#This Row],[Profit Margin]]&gt;=15%,"Medium","Low"))</f>
        <v>High</v>
      </c>
    </row>
    <row r="571" spans="1:20" x14ac:dyDescent="0.35">
      <c r="A571" t="s">
        <v>1023</v>
      </c>
      <c r="B571" s="23" t="s">
        <v>1021</v>
      </c>
      <c r="C571" t="s">
        <v>109</v>
      </c>
      <c r="D571" t="s">
        <v>54</v>
      </c>
      <c r="E571" t="s">
        <v>103</v>
      </c>
      <c r="F571" t="s">
        <v>27</v>
      </c>
      <c r="G571" t="s">
        <v>90</v>
      </c>
      <c r="H571" t="s">
        <v>33</v>
      </c>
      <c r="I571">
        <v>8</v>
      </c>
      <c r="J571" s="4">
        <v>150</v>
      </c>
      <c r="K571" s="6">
        <v>0</v>
      </c>
      <c r="L571" s="8">
        <v>1200</v>
      </c>
      <c r="M571" s="8">
        <v>600</v>
      </c>
      <c r="N571" s="8">
        <v>600</v>
      </c>
      <c r="O571" s="8">
        <f>SalesData[[#This Row],[Quantity]]*SalesData[[#This Row],[Unit Price]]*(1-SalesData[[#This Row],[Discount]])</f>
        <v>1200</v>
      </c>
      <c r="P571" s="8">
        <f>SalesData[[#This Row],[Sales_Check]]-SalesData[[#This Row],[Cost]]</f>
        <v>600</v>
      </c>
      <c r="Q571" s="13">
        <f>IFERROR(SalesData[[#This Row],[Profit]]/SalesData[[#This Row],[Sales]],0)</f>
        <v>0.5</v>
      </c>
      <c r="R571" t="str">
        <f>TEXT(SalesData[[#This Row],[Order Date]],"mmm-yyyy")</f>
        <v>Apr-2026</v>
      </c>
      <c r="S571">
        <f>YEAR(SalesData[[#This Row],[Order Date]])</f>
        <v>2026</v>
      </c>
      <c r="T571" t="str">
        <f>IF(SalesData[[#This Row],[Profit Margin]]&gt;=30%,"High",IF(SalesData[[#This Row],[Profit Margin]]&gt;=15%,"Medium","Low"))</f>
        <v>High</v>
      </c>
    </row>
    <row r="572" spans="1:20" x14ac:dyDescent="0.35">
      <c r="A572" t="s">
        <v>1024</v>
      </c>
      <c r="B572" s="23" t="s">
        <v>1021</v>
      </c>
      <c r="C572" t="s">
        <v>591</v>
      </c>
      <c r="D572" t="s">
        <v>43</v>
      </c>
      <c r="E572" t="s">
        <v>44</v>
      </c>
      <c r="F572" t="s">
        <v>37</v>
      </c>
      <c r="G572" t="s">
        <v>38</v>
      </c>
      <c r="H572" t="s">
        <v>39</v>
      </c>
      <c r="I572">
        <v>8</v>
      </c>
      <c r="J572" s="4">
        <v>2200</v>
      </c>
      <c r="K572" s="6">
        <v>0</v>
      </c>
      <c r="L572" s="8">
        <v>17600</v>
      </c>
      <c r="M572" s="8">
        <v>11600</v>
      </c>
      <c r="N572" s="8">
        <v>6000</v>
      </c>
      <c r="O572" s="8">
        <f>SalesData[[#This Row],[Quantity]]*SalesData[[#This Row],[Unit Price]]*(1-SalesData[[#This Row],[Discount]])</f>
        <v>17600</v>
      </c>
      <c r="P572" s="8">
        <f>SalesData[[#This Row],[Sales_Check]]-SalesData[[#This Row],[Cost]]</f>
        <v>6000</v>
      </c>
      <c r="Q572" s="13">
        <f>IFERROR(SalesData[[#This Row],[Profit]]/SalesData[[#This Row],[Sales]],0)</f>
        <v>0.34090909090909088</v>
      </c>
      <c r="R572" t="str">
        <f>TEXT(SalesData[[#This Row],[Order Date]],"mmm-yyyy")</f>
        <v>Apr-2026</v>
      </c>
      <c r="S572">
        <f>YEAR(SalesData[[#This Row],[Order Date]])</f>
        <v>2026</v>
      </c>
      <c r="T572" t="str">
        <f>IF(SalesData[[#This Row],[Profit Margin]]&gt;=30%,"High",IF(SalesData[[#This Row],[Profit Margin]]&gt;=15%,"Medium","Low"))</f>
        <v>High</v>
      </c>
    </row>
    <row r="573" spans="1:20" x14ac:dyDescent="0.35">
      <c r="A573" t="s">
        <v>1025</v>
      </c>
      <c r="B573" s="23" t="s">
        <v>1021</v>
      </c>
      <c r="C573" t="s">
        <v>713</v>
      </c>
      <c r="D573" t="s">
        <v>54</v>
      </c>
      <c r="E573" t="s">
        <v>107</v>
      </c>
      <c r="F573" t="s">
        <v>27</v>
      </c>
      <c r="G573" t="s">
        <v>28</v>
      </c>
      <c r="H573" t="s">
        <v>29</v>
      </c>
      <c r="I573">
        <v>4</v>
      </c>
      <c r="J573" s="4">
        <v>120</v>
      </c>
      <c r="K573" s="6">
        <v>0</v>
      </c>
      <c r="L573" s="8">
        <v>480</v>
      </c>
      <c r="M573" s="8">
        <v>220</v>
      </c>
      <c r="N573" s="8">
        <v>260</v>
      </c>
      <c r="O573" s="8">
        <f>SalesData[[#This Row],[Quantity]]*SalesData[[#This Row],[Unit Price]]*(1-SalesData[[#This Row],[Discount]])</f>
        <v>480</v>
      </c>
      <c r="P573" s="8">
        <f>SalesData[[#This Row],[Sales_Check]]-SalesData[[#This Row],[Cost]]</f>
        <v>260</v>
      </c>
      <c r="Q573" s="13">
        <f>IFERROR(SalesData[[#This Row],[Profit]]/SalesData[[#This Row],[Sales]],0)</f>
        <v>0.54166666666666663</v>
      </c>
      <c r="R573" t="str">
        <f>TEXT(SalesData[[#This Row],[Order Date]],"mmm-yyyy")</f>
        <v>Apr-2026</v>
      </c>
      <c r="S573">
        <f>YEAR(SalesData[[#This Row],[Order Date]])</f>
        <v>2026</v>
      </c>
      <c r="T573" t="str">
        <f>IF(SalesData[[#This Row],[Profit Margin]]&gt;=30%,"High",IF(SalesData[[#This Row],[Profit Margin]]&gt;=15%,"Medium","Low"))</f>
        <v>High</v>
      </c>
    </row>
    <row r="574" spans="1:20" x14ac:dyDescent="0.35">
      <c r="A574" t="s">
        <v>1026</v>
      </c>
      <c r="B574" s="23" t="s">
        <v>1027</v>
      </c>
      <c r="C574" t="s">
        <v>252</v>
      </c>
      <c r="D574" t="s">
        <v>54</v>
      </c>
      <c r="E574" t="s">
        <v>110</v>
      </c>
      <c r="F574" t="s">
        <v>45</v>
      </c>
      <c r="G574" t="s">
        <v>122</v>
      </c>
      <c r="H574" t="s">
        <v>33</v>
      </c>
      <c r="I574">
        <v>6</v>
      </c>
      <c r="J574" s="4">
        <v>280</v>
      </c>
      <c r="K574" s="6">
        <v>0.05</v>
      </c>
      <c r="L574" s="8">
        <v>1596</v>
      </c>
      <c r="M574" s="8">
        <v>900</v>
      </c>
      <c r="N574" s="8">
        <v>696</v>
      </c>
      <c r="O574" s="8">
        <f>SalesData[[#This Row],[Quantity]]*SalesData[[#This Row],[Unit Price]]*(1-SalesData[[#This Row],[Discount]])</f>
        <v>1596</v>
      </c>
      <c r="P574" s="8">
        <f>SalesData[[#This Row],[Sales_Check]]-SalesData[[#This Row],[Cost]]</f>
        <v>696</v>
      </c>
      <c r="Q574" s="13">
        <f>IFERROR(SalesData[[#This Row],[Profit]]/SalesData[[#This Row],[Sales]],0)</f>
        <v>0.43609022556390975</v>
      </c>
      <c r="R574" t="str">
        <f>TEXT(SalesData[[#This Row],[Order Date]],"mmm-yyyy")</f>
        <v>Apr-2026</v>
      </c>
      <c r="S574">
        <f>YEAR(SalesData[[#This Row],[Order Date]])</f>
        <v>2026</v>
      </c>
      <c r="T574" t="str">
        <f>IF(SalesData[[#This Row],[Profit Margin]]&gt;=30%,"High",IF(SalesData[[#This Row],[Profit Margin]]&gt;=15%,"Medium","Low"))</f>
        <v>High</v>
      </c>
    </row>
    <row r="575" spans="1:20" x14ac:dyDescent="0.35">
      <c r="A575" t="s">
        <v>1028</v>
      </c>
      <c r="B575" s="23" t="s">
        <v>1027</v>
      </c>
      <c r="C575" t="s">
        <v>861</v>
      </c>
      <c r="D575" t="s">
        <v>54</v>
      </c>
      <c r="E575" t="s">
        <v>103</v>
      </c>
      <c r="F575" t="s">
        <v>37</v>
      </c>
      <c r="G575" t="s">
        <v>38</v>
      </c>
      <c r="H575" t="s">
        <v>125</v>
      </c>
      <c r="I575">
        <v>6</v>
      </c>
      <c r="J575" s="4">
        <v>150</v>
      </c>
      <c r="K575" s="6">
        <v>0.05</v>
      </c>
      <c r="L575" s="8">
        <v>855</v>
      </c>
      <c r="M575" s="8">
        <v>450</v>
      </c>
      <c r="N575" s="8">
        <v>405</v>
      </c>
      <c r="O575" s="8">
        <f>SalesData[[#This Row],[Quantity]]*SalesData[[#This Row],[Unit Price]]*(1-SalesData[[#This Row],[Discount]])</f>
        <v>855</v>
      </c>
      <c r="P575" s="8">
        <f>SalesData[[#This Row],[Sales_Check]]-SalesData[[#This Row],[Cost]]</f>
        <v>405</v>
      </c>
      <c r="Q575" s="13">
        <f>IFERROR(SalesData[[#This Row],[Profit]]/SalesData[[#This Row],[Sales]],0)</f>
        <v>0.47368421052631576</v>
      </c>
      <c r="R575" t="str">
        <f>TEXT(SalesData[[#This Row],[Order Date]],"mmm-yyyy")</f>
        <v>Apr-2026</v>
      </c>
      <c r="S575">
        <f>YEAR(SalesData[[#This Row],[Order Date]])</f>
        <v>2026</v>
      </c>
      <c r="T575" t="str">
        <f>IF(SalesData[[#This Row],[Profit Margin]]&gt;=30%,"High",IF(SalesData[[#This Row],[Profit Margin]]&gt;=15%,"Medium","Low"))</f>
        <v>High</v>
      </c>
    </row>
    <row r="576" spans="1:20" x14ac:dyDescent="0.35">
      <c r="A576" t="s">
        <v>1029</v>
      </c>
      <c r="B576" s="23" t="s">
        <v>1027</v>
      </c>
      <c r="C576" t="s">
        <v>316</v>
      </c>
      <c r="D576" t="s">
        <v>43</v>
      </c>
      <c r="E576" t="s">
        <v>169</v>
      </c>
      <c r="F576" t="s">
        <v>45</v>
      </c>
      <c r="G576" t="s">
        <v>46</v>
      </c>
      <c r="H576" t="s">
        <v>125</v>
      </c>
      <c r="I576">
        <v>4</v>
      </c>
      <c r="J576" s="4">
        <v>350</v>
      </c>
      <c r="K576" s="6">
        <v>0</v>
      </c>
      <c r="L576" s="8">
        <v>1400</v>
      </c>
      <c r="M576" s="8">
        <v>680</v>
      </c>
      <c r="N576" s="8">
        <v>720</v>
      </c>
      <c r="O576" s="8">
        <f>SalesData[[#This Row],[Quantity]]*SalesData[[#This Row],[Unit Price]]*(1-SalesData[[#This Row],[Discount]])</f>
        <v>1400</v>
      </c>
      <c r="P576" s="8">
        <f>SalesData[[#This Row],[Sales_Check]]-SalesData[[#This Row],[Cost]]</f>
        <v>720</v>
      </c>
      <c r="Q576" s="13">
        <f>IFERROR(SalesData[[#This Row],[Profit]]/SalesData[[#This Row],[Sales]],0)</f>
        <v>0.51428571428571423</v>
      </c>
      <c r="R576" t="str">
        <f>TEXT(SalesData[[#This Row],[Order Date]],"mmm-yyyy")</f>
        <v>Apr-2026</v>
      </c>
      <c r="S576">
        <f>YEAR(SalesData[[#This Row],[Order Date]])</f>
        <v>2026</v>
      </c>
      <c r="T576" t="str">
        <f>IF(SalesData[[#This Row],[Profit Margin]]&gt;=30%,"High",IF(SalesData[[#This Row],[Profit Margin]]&gt;=15%,"Medium","Low"))</f>
        <v>High</v>
      </c>
    </row>
    <row r="577" spans="1:20" x14ac:dyDescent="0.35">
      <c r="A577" t="s">
        <v>1030</v>
      </c>
      <c r="B577" s="23" t="s">
        <v>1027</v>
      </c>
      <c r="C577" t="s">
        <v>352</v>
      </c>
      <c r="D577" t="s">
        <v>25</v>
      </c>
      <c r="E577" t="s">
        <v>26</v>
      </c>
      <c r="F577" t="s">
        <v>37</v>
      </c>
      <c r="G577" t="s">
        <v>38</v>
      </c>
      <c r="H577" t="s">
        <v>47</v>
      </c>
      <c r="I577">
        <v>9</v>
      </c>
      <c r="J577" s="4">
        <v>600</v>
      </c>
      <c r="K577" s="6">
        <v>0.05</v>
      </c>
      <c r="L577" s="8">
        <v>5130</v>
      </c>
      <c r="M577" s="8">
        <v>2970</v>
      </c>
      <c r="N577" s="8">
        <v>2160</v>
      </c>
      <c r="O577" s="8">
        <f>SalesData[[#This Row],[Quantity]]*SalesData[[#This Row],[Unit Price]]*(1-SalesData[[#This Row],[Discount]])</f>
        <v>5130</v>
      </c>
      <c r="P577" s="8">
        <f>SalesData[[#This Row],[Sales_Check]]-SalesData[[#This Row],[Cost]]</f>
        <v>2160</v>
      </c>
      <c r="Q577" s="13">
        <f>IFERROR(SalesData[[#This Row],[Profit]]/SalesData[[#This Row],[Sales]],0)</f>
        <v>0.42105263157894735</v>
      </c>
      <c r="R577" t="str">
        <f>TEXT(SalesData[[#This Row],[Order Date]],"mmm-yyyy")</f>
        <v>Apr-2026</v>
      </c>
      <c r="S577">
        <f>YEAR(SalesData[[#This Row],[Order Date]])</f>
        <v>2026</v>
      </c>
      <c r="T577" t="str">
        <f>IF(SalesData[[#This Row],[Profit Margin]]&gt;=30%,"High",IF(SalesData[[#This Row],[Profit Margin]]&gt;=15%,"Medium","Low"))</f>
        <v>High</v>
      </c>
    </row>
    <row r="578" spans="1:20" x14ac:dyDescent="0.35">
      <c r="A578" t="s">
        <v>1031</v>
      </c>
      <c r="B578" s="23" t="s">
        <v>1032</v>
      </c>
      <c r="C578" t="s">
        <v>670</v>
      </c>
      <c r="D578" t="s">
        <v>25</v>
      </c>
      <c r="E578" t="s">
        <v>69</v>
      </c>
      <c r="F578" t="s">
        <v>37</v>
      </c>
      <c r="G578" t="s">
        <v>140</v>
      </c>
      <c r="H578" t="s">
        <v>39</v>
      </c>
      <c r="I578">
        <v>7</v>
      </c>
      <c r="J578" s="4">
        <v>350</v>
      </c>
      <c r="K578" s="6">
        <v>0</v>
      </c>
      <c r="L578" s="8">
        <v>2450</v>
      </c>
      <c r="M578" s="8">
        <v>1260</v>
      </c>
      <c r="N578" s="8">
        <v>1190</v>
      </c>
      <c r="O578" s="8">
        <f>SalesData[[#This Row],[Quantity]]*SalesData[[#This Row],[Unit Price]]*(1-SalesData[[#This Row],[Discount]])</f>
        <v>2450</v>
      </c>
      <c r="P578" s="8">
        <f>SalesData[[#This Row],[Sales_Check]]-SalesData[[#This Row],[Cost]]</f>
        <v>1190</v>
      </c>
      <c r="Q578" s="13">
        <f>IFERROR(SalesData[[#This Row],[Profit]]/SalesData[[#This Row],[Sales]],0)</f>
        <v>0.48571428571428571</v>
      </c>
      <c r="R578" t="str">
        <f>TEXT(SalesData[[#This Row],[Order Date]],"mmm-yyyy")</f>
        <v>Apr-2026</v>
      </c>
      <c r="S578">
        <f>YEAR(SalesData[[#This Row],[Order Date]])</f>
        <v>2026</v>
      </c>
      <c r="T578" t="str">
        <f>IF(SalesData[[#This Row],[Profit Margin]]&gt;=30%,"High",IF(SalesData[[#This Row],[Profit Margin]]&gt;=15%,"Medium","Low"))</f>
        <v>High</v>
      </c>
    </row>
    <row r="579" spans="1:20" x14ac:dyDescent="0.35">
      <c r="A579" t="s">
        <v>1033</v>
      </c>
      <c r="B579" s="23" t="s">
        <v>1032</v>
      </c>
      <c r="C579" t="s">
        <v>649</v>
      </c>
      <c r="D579" t="s">
        <v>43</v>
      </c>
      <c r="E579" t="s">
        <v>62</v>
      </c>
      <c r="F579" t="s">
        <v>37</v>
      </c>
      <c r="G579" t="s">
        <v>97</v>
      </c>
      <c r="H579" t="s">
        <v>47</v>
      </c>
      <c r="I579">
        <v>5</v>
      </c>
      <c r="J579" s="4">
        <v>500</v>
      </c>
      <c r="K579" s="6">
        <v>0</v>
      </c>
      <c r="L579" s="8">
        <v>2500</v>
      </c>
      <c r="M579" s="8">
        <v>1400</v>
      </c>
      <c r="N579" s="8">
        <v>1100</v>
      </c>
      <c r="O579" s="8">
        <f>SalesData[[#This Row],[Quantity]]*SalesData[[#This Row],[Unit Price]]*(1-SalesData[[#This Row],[Discount]])</f>
        <v>2500</v>
      </c>
      <c r="P579" s="8">
        <f>SalesData[[#This Row],[Sales_Check]]-SalesData[[#This Row],[Cost]]</f>
        <v>1100</v>
      </c>
      <c r="Q579" s="13">
        <f>IFERROR(SalesData[[#This Row],[Profit]]/SalesData[[#This Row],[Sales]],0)</f>
        <v>0.44</v>
      </c>
      <c r="R579" t="str">
        <f>TEXT(SalesData[[#This Row],[Order Date]],"mmm-yyyy")</f>
        <v>Apr-2026</v>
      </c>
      <c r="S579">
        <f>YEAR(SalesData[[#This Row],[Order Date]])</f>
        <v>2026</v>
      </c>
      <c r="T579" t="str">
        <f>IF(SalesData[[#This Row],[Profit Margin]]&gt;=30%,"High",IF(SalesData[[#This Row],[Profit Margin]]&gt;=15%,"Medium","Low"))</f>
        <v>High</v>
      </c>
    </row>
    <row r="580" spans="1:20" x14ac:dyDescent="0.35">
      <c r="A580" t="s">
        <v>1034</v>
      </c>
      <c r="B580" s="23" t="s">
        <v>1035</v>
      </c>
      <c r="C580" t="s">
        <v>835</v>
      </c>
      <c r="D580" t="s">
        <v>54</v>
      </c>
      <c r="E580" t="s">
        <v>116</v>
      </c>
      <c r="F580" t="s">
        <v>27</v>
      </c>
      <c r="G580" t="s">
        <v>28</v>
      </c>
      <c r="H580" t="s">
        <v>33</v>
      </c>
      <c r="I580">
        <v>6</v>
      </c>
      <c r="J580" s="4">
        <v>450</v>
      </c>
      <c r="K580" s="6">
        <v>0</v>
      </c>
      <c r="L580" s="8">
        <v>2700</v>
      </c>
      <c r="M580" s="8">
        <v>1500</v>
      </c>
      <c r="N580" s="8">
        <v>1200</v>
      </c>
      <c r="O580" s="8">
        <f>SalesData[[#This Row],[Quantity]]*SalesData[[#This Row],[Unit Price]]*(1-SalesData[[#This Row],[Discount]])</f>
        <v>2700</v>
      </c>
      <c r="P580" s="8">
        <f>SalesData[[#This Row],[Sales_Check]]-SalesData[[#This Row],[Cost]]</f>
        <v>1200</v>
      </c>
      <c r="Q580" s="13">
        <f>IFERROR(SalesData[[#This Row],[Profit]]/SalesData[[#This Row],[Sales]],0)</f>
        <v>0.44444444444444442</v>
      </c>
      <c r="R580" t="str">
        <f>TEXT(SalesData[[#This Row],[Order Date]],"mmm-yyyy")</f>
        <v>Apr-2026</v>
      </c>
      <c r="S580">
        <f>YEAR(SalesData[[#This Row],[Order Date]])</f>
        <v>2026</v>
      </c>
      <c r="T580" t="str">
        <f>IF(SalesData[[#This Row],[Profit Margin]]&gt;=30%,"High",IF(SalesData[[#This Row],[Profit Margin]]&gt;=15%,"Medium","Low"))</f>
        <v>High</v>
      </c>
    </row>
    <row r="581" spans="1:20" x14ac:dyDescent="0.35">
      <c r="A581" t="s">
        <v>1036</v>
      </c>
      <c r="B581" s="23" t="s">
        <v>1037</v>
      </c>
      <c r="C581" t="s">
        <v>242</v>
      </c>
      <c r="D581" t="s">
        <v>25</v>
      </c>
      <c r="E581" t="s">
        <v>69</v>
      </c>
      <c r="F581" t="s">
        <v>37</v>
      </c>
      <c r="G581" t="s">
        <v>73</v>
      </c>
      <c r="H581" t="s">
        <v>47</v>
      </c>
      <c r="I581">
        <v>5</v>
      </c>
      <c r="J581" s="4">
        <v>350</v>
      </c>
      <c r="K581" s="6">
        <v>0.05</v>
      </c>
      <c r="L581" s="8">
        <v>1662.5</v>
      </c>
      <c r="M581" s="8">
        <v>900</v>
      </c>
      <c r="N581" s="8">
        <v>762.5</v>
      </c>
      <c r="O581" s="8">
        <f>SalesData[[#This Row],[Quantity]]*SalesData[[#This Row],[Unit Price]]*(1-SalesData[[#This Row],[Discount]])</f>
        <v>1662.5</v>
      </c>
      <c r="P581" s="8">
        <f>SalesData[[#This Row],[Sales_Check]]-SalesData[[#This Row],[Cost]]</f>
        <v>762.5</v>
      </c>
      <c r="Q581" s="13">
        <f>IFERROR(SalesData[[#This Row],[Profit]]/SalesData[[#This Row],[Sales]],0)</f>
        <v>0.45864661654135336</v>
      </c>
      <c r="R581" t="str">
        <f>TEXT(SalesData[[#This Row],[Order Date]],"mmm-yyyy")</f>
        <v>Apr-2026</v>
      </c>
      <c r="S581">
        <f>YEAR(SalesData[[#This Row],[Order Date]])</f>
        <v>2026</v>
      </c>
      <c r="T581" t="str">
        <f>IF(SalesData[[#This Row],[Profit Margin]]&gt;=30%,"High",IF(SalesData[[#This Row],[Profit Margin]]&gt;=15%,"Medium","Low"))</f>
        <v>High</v>
      </c>
    </row>
    <row r="582" spans="1:20" x14ac:dyDescent="0.35">
      <c r="A582" t="s">
        <v>1038</v>
      </c>
      <c r="B582" s="23" t="s">
        <v>1037</v>
      </c>
      <c r="C582" t="s">
        <v>355</v>
      </c>
      <c r="D582" t="s">
        <v>17</v>
      </c>
      <c r="E582" t="s">
        <v>32</v>
      </c>
      <c r="F582" t="s">
        <v>27</v>
      </c>
      <c r="G582" t="s">
        <v>28</v>
      </c>
      <c r="H582" t="s">
        <v>47</v>
      </c>
      <c r="I582">
        <v>4</v>
      </c>
      <c r="J582" s="4">
        <v>1500</v>
      </c>
      <c r="K582" s="6">
        <v>0.05</v>
      </c>
      <c r="L582" s="8">
        <v>5700</v>
      </c>
      <c r="M582" s="8">
        <v>3600</v>
      </c>
      <c r="N582" s="8">
        <v>2100</v>
      </c>
      <c r="O582" s="8">
        <f>SalesData[[#This Row],[Quantity]]*SalesData[[#This Row],[Unit Price]]*(1-SalesData[[#This Row],[Discount]])</f>
        <v>5700</v>
      </c>
      <c r="P582" s="8">
        <f>SalesData[[#This Row],[Sales_Check]]-SalesData[[#This Row],[Cost]]</f>
        <v>2100</v>
      </c>
      <c r="Q582" s="13">
        <f>IFERROR(SalesData[[#This Row],[Profit]]/SalesData[[#This Row],[Sales]],0)</f>
        <v>0.36842105263157893</v>
      </c>
      <c r="R582" t="str">
        <f>TEXT(SalesData[[#This Row],[Order Date]],"mmm-yyyy")</f>
        <v>Apr-2026</v>
      </c>
      <c r="S582">
        <f>YEAR(SalesData[[#This Row],[Order Date]])</f>
        <v>2026</v>
      </c>
      <c r="T582" t="str">
        <f>IF(SalesData[[#This Row],[Profit Margin]]&gt;=30%,"High",IF(SalesData[[#This Row],[Profit Margin]]&gt;=15%,"Medium","Low"))</f>
        <v>High</v>
      </c>
    </row>
    <row r="583" spans="1:20" x14ac:dyDescent="0.35">
      <c r="A583" t="s">
        <v>1039</v>
      </c>
      <c r="B583" s="23" t="s">
        <v>1040</v>
      </c>
      <c r="C583" t="s">
        <v>1013</v>
      </c>
      <c r="D583" t="s">
        <v>17</v>
      </c>
      <c r="E583" t="s">
        <v>32</v>
      </c>
      <c r="F583" t="s">
        <v>37</v>
      </c>
      <c r="G583" t="s">
        <v>73</v>
      </c>
      <c r="H583" t="s">
        <v>125</v>
      </c>
      <c r="I583">
        <v>5</v>
      </c>
      <c r="J583" s="4">
        <v>1500</v>
      </c>
      <c r="K583" s="6">
        <v>0</v>
      </c>
      <c r="L583" s="8">
        <v>7500</v>
      </c>
      <c r="M583" s="8">
        <v>4500</v>
      </c>
      <c r="N583" s="8">
        <v>3000</v>
      </c>
      <c r="O583" s="8">
        <f>SalesData[[#This Row],[Quantity]]*SalesData[[#This Row],[Unit Price]]*(1-SalesData[[#This Row],[Discount]])</f>
        <v>7500</v>
      </c>
      <c r="P583" s="8">
        <f>SalesData[[#This Row],[Sales_Check]]-SalesData[[#This Row],[Cost]]</f>
        <v>3000</v>
      </c>
      <c r="Q583" s="13">
        <f>IFERROR(SalesData[[#This Row],[Profit]]/SalesData[[#This Row],[Sales]],0)</f>
        <v>0.4</v>
      </c>
      <c r="R583" t="str">
        <f>TEXT(SalesData[[#This Row],[Order Date]],"mmm-yyyy")</f>
        <v>Apr-2026</v>
      </c>
      <c r="S583">
        <f>YEAR(SalesData[[#This Row],[Order Date]])</f>
        <v>2026</v>
      </c>
      <c r="T583" t="str">
        <f>IF(SalesData[[#This Row],[Profit Margin]]&gt;=30%,"High",IF(SalesData[[#This Row],[Profit Margin]]&gt;=15%,"Medium","Low"))</f>
        <v>High</v>
      </c>
    </row>
    <row r="584" spans="1:20" x14ac:dyDescent="0.35">
      <c r="A584" t="s">
        <v>1041</v>
      </c>
      <c r="B584" s="23" t="s">
        <v>1040</v>
      </c>
      <c r="C584" t="s">
        <v>96</v>
      </c>
      <c r="D584" t="s">
        <v>17</v>
      </c>
      <c r="E584" t="s">
        <v>124</v>
      </c>
      <c r="F584" t="s">
        <v>37</v>
      </c>
      <c r="G584" t="s">
        <v>97</v>
      </c>
      <c r="H584" t="s">
        <v>39</v>
      </c>
      <c r="I584">
        <v>6</v>
      </c>
      <c r="J584" s="4">
        <v>1200</v>
      </c>
      <c r="K584" s="6">
        <v>0.05</v>
      </c>
      <c r="L584" s="8">
        <v>6840</v>
      </c>
      <c r="M584" s="8">
        <v>4320</v>
      </c>
      <c r="N584" s="8">
        <v>2520</v>
      </c>
      <c r="O584" s="8">
        <f>SalesData[[#This Row],[Quantity]]*SalesData[[#This Row],[Unit Price]]*(1-SalesData[[#This Row],[Discount]])</f>
        <v>6840</v>
      </c>
      <c r="P584" s="8">
        <f>SalesData[[#This Row],[Sales_Check]]-SalesData[[#This Row],[Cost]]</f>
        <v>2520</v>
      </c>
      <c r="Q584" s="13">
        <f>IFERROR(SalesData[[#This Row],[Profit]]/SalesData[[#This Row],[Sales]],0)</f>
        <v>0.36842105263157893</v>
      </c>
      <c r="R584" t="str">
        <f>TEXT(SalesData[[#This Row],[Order Date]],"mmm-yyyy")</f>
        <v>Apr-2026</v>
      </c>
      <c r="S584">
        <f>YEAR(SalesData[[#This Row],[Order Date]])</f>
        <v>2026</v>
      </c>
      <c r="T584" t="str">
        <f>IF(SalesData[[#This Row],[Profit Margin]]&gt;=30%,"High",IF(SalesData[[#This Row],[Profit Margin]]&gt;=15%,"Medium","Low"))</f>
        <v>High</v>
      </c>
    </row>
    <row r="585" spans="1:20" x14ac:dyDescent="0.35">
      <c r="A585" t="s">
        <v>1042</v>
      </c>
      <c r="B585" s="23" t="s">
        <v>1040</v>
      </c>
      <c r="C585" t="s">
        <v>72</v>
      </c>
      <c r="D585" t="s">
        <v>25</v>
      </c>
      <c r="E585" t="s">
        <v>36</v>
      </c>
      <c r="F585" t="s">
        <v>19</v>
      </c>
      <c r="G585" t="s">
        <v>113</v>
      </c>
      <c r="H585" t="s">
        <v>33</v>
      </c>
      <c r="I585">
        <v>6</v>
      </c>
      <c r="J585" s="4">
        <v>700</v>
      </c>
      <c r="K585" s="6">
        <v>0.05</v>
      </c>
      <c r="L585" s="8">
        <v>3990</v>
      </c>
      <c r="M585" s="8">
        <v>2400</v>
      </c>
      <c r="N585" s="8">
        <v>1590</v>
      </c>
      <c r="O585" s="8">
        <f>SalesData[[#This Row],[Quantity]]*SalesData[[#This Row],[Unit Price]]*(1-SalesData[[#This Row],[Discount]])</f>
        <v>3990</v>
      </c>
      <c r="P585" s="8">
        <f>SalesData[[#This Row],[Sales_Check]]-SalesData[[#This Row],[Cost]]</f>
        <v>1590</v>
      </c>
      <c r="Q585" s="13">
        <f>IFERROR(SalesData[[#This Row],[Profit]]/SalesData[[#This Row],[Sales]],0)</f>
        <v>0.39849624060150374</v>
      </c>
      <c r="R585" t="str">
        <f>TEXT(SalesData[[#This Row],[Order Date]],"mmm-yyyy")</f>
        <v>Apr-2026</v>
      </c>
      <c r="S585">
        <f>YEAR(SalesData[[#This Row],[Order Date]])</f>
        <v>2026</v>
      </c>
      <c r="T585" t="str">
        <f>IF(SalesData[[#This Row],[Profit Margin]]&gt;=30%,"High",IF(SalesData[[#This Row],[Profit Margin]]&gt;=15%,"Medium","Low"))</f>
        <v>High</v>
      </c>
    </row>
    <row r="586" spans="1:20" x14ac:dyDescent="0.35">
      <c r="A586" t="s">
        <v>1043</v>
      </c>
      <c r="B586" s="23" t="s">
        <v>1044</v>
      </c>
      <c r="C586" t="s">
        <v>185</v>
      </c>
      <c r="D586" t="s">
        <v>17</v>
      </c>
      <c r="E586" t="s">
        <v>32</v>
      </c>
      <c r="F586" t="s">
        <v>27</v>
      </c>
      <c r="G586" t="s">
        <v>51</v>
      </c>
      <c r="H586" t="s">
        <v>21</v>
      </c>
      <c r="I586">
        <v>6</v>
      </c>
      <c r="J586" s="4">
        <v>1500</v>
      </c>
      <c r="K586" s="6">
        <v>0</v>
      </c>
      <c r="L586" s="8">
        <v>9000</v>
      </c>
      <c r="M586" s="8">
        <v>5400</v>
      </c>
      <c r="N586" s="8">
        <v>3600</v>
      </c>
      <c r="O586" s="8">
        <f>SalesData[[#This Row],[Quantity]]*SalesData[[#This Row],[Unit Price]]*(1-SalesData[[#This Row],[Discount]])</f>
        <v>9000</v>
      </c>
      <c r="P586" s="8">
        <f>SalesData[[#This Row],[Sales_Check]]-SalesData[[#This Row],[Cost]]</f>
        <v>3600</v>
      </c>
      <c r="Q586" s="13">
        <f>IFERROR(SalesData[[#This Row],[Profit]]/SalesData[[#This Row],[Sales]],0)</f>
        <v>0.4</v>
      </c>
      <c r="R586" t="str">
        <f>TEXT(SalesData[[#This Row],[Order Date]],"mmm-yyyy")</f>
        <v>Apr-2026</v>
      </c>
      <c r="S586">
        <f>YEAR(SalesData[[#This Row],[Order Date]])</f>
        <v>2026</v>
      </c>
      <c r="T586" t="str">
        <f>IF(SalesData[[#This Row],[Profit Margin]]&gt;=30%,"High",IF(SalesData[[#This Row],[Profit Margin]]&gt;=15%,"Medium","Low"))</f>
        <v>High</v>
      </c>
    </row>
    <row r="587" spans="1:20" x14ac:dyDescent="0.35">
      <c r="A587" t="s">
        <v>1045</v>
      </c>
      <c r="B587" s="23" t="s">
        <v>1044</v>
      </c>
      <c r="C587" t="s">
        <v>24</v>
      </c>
      <c r="D587" t="s">
        <v>54</v>
      </c>
      <c r="E587" t="s">
        <v>116</v>
      </c>
      <c r="F587" t="s">
        <v>45</v>
      </c>
      <c r="G587" t="s">
        <v>122</v>
      </c>
      <c r="H587" t="s">
        <v>125</v>
      </c>
      <c r="I587">
        <v>8</v>
      </c>
      <c r="J587" s="4">
        <v>450</v>
      </c>
      <c r="K587" s="6">
        <v>0.05</v>
      </c>
      <c r="L587" s="8">
        <v>3420</v>
      </c>
      <c r="M587" s="8">
        <v>2000</v>
      </c>
      <c r="N587" s="8">
        <v>1420</v>
      </c>
      <c r="O587" s="8">
        <f>SalesData[[#This Row],[Quantity]]*SalesData[[#This Row],[Unit Price]]*(1-SalesData[[#This Row],[Discount]])</f>
        <v>3420</v>
      </c>
      <c r="P587" s="8">
        <f>SalesData[[#This Row],[Sales_Check]]-SalesData[[#This Row],[Cost]]</f>
        <v>1420</v>
      </c>
      <c r="Q587" s="13">
        <f>IFERROR(SalesData[[#This Row],[Profit]]/SalesData[[#This Row],[Sales]],0)</f>
        <v>0.41520467836257308</v>
      </c>
      <c r="R587" t="str">
        <f>TEXT(SalesData[[#This Row],[Order Date]],"mmm-yyyy")</f>
        <v>Apr-2026</v>
      </c>
      <c r="S587">
        <f>YEAR(SalesData[[#This Row],[Order Date]])</f>
        <v>2026</v>
      </c>
      <c r="T587" t="str">
        <f>IF(SalesData[[#This Row],[Profit Margin]]&gt;=30%,"High",IF(SalesData[[#This Row],[Profit Margin]]&gt;=15%,"Medium","Low"))</f>
        <v>High</v>
      </c>
    </row>
    <row r="588" spans="1:20" x14ac:dyDescent="0.35">
      <c r="A588" t="s">
        <v>1046</v>
      </c>
      <c r="B588" s="23" t="s">
        <v>1044</v>
      </c>
      <c r="C588" t="s">
        <v>325</v>
      </c>
      <c r="D588" t="s">
        <v>25</v>
      </c>
      <c r="E588" t="s">
        <v>36</v>
      </c>
      <c r="F588" t="s">
        <v>27</v>
      </c>
      <c r="G588" t="s">
        <v>90</v>
      </c>
      <c r="H588" t="s">
        <v>29</v>
      </c>
      <c r="I588">
        <v>9</v>
      </c>
      <c r="J588" s="4">
        <v>700</v>
      </c>
      <c r="K588" s="6">
        <v>0</v>
      </c>
      <c r="L588" s="8">
        <v>6300</v>
      </c>
      <c r="M588" s="8">
        <v>3600</v>
      </c>
      <c r="N588" s="8">
        <v>2700</v>
      </c>
      <c r="O588" s="8">
        <f>SalesData[[#This Row],[Quantity]]*SalesData[[#This Row],[Unit Price]]*(1-SalesData[[#This Row],[Discount]])</f>
        <v>6300</v>
      </c>
      <c r="P588" s="8">
        <f>SalesData[[#This Row],[Sales_Check]]-SalesData[[#This Row],[Cost]]</f>
        <v>2700</v>
      </c>
      <c r="Q588" s="13">
        <f>IFERROR(SalesData[[#This Row],[Profit]]/SalesData[[#This Row],[Sales]],0)</f>
        <v>0.42857142857142855</v>
      </c>
      <c r="R588" t="str">
        <f>TEXT(SalesData[[#This Row],[Order Date]],"mmm-yyyy")</f>
        <v>Apr-2026</v>
      </c>
      <c r="S588">
        <f>YEAR(SalesData[[#This Row],[Order Date]])</f>
        <v>2026</v>
      </c>
      <c r="T588" t="str">
        <f>IF(SalesData[[#This Row],[Profit Margin]]&gt;=30%,"High",IF(SalesData[[#This Row],[Profit Margin]]&gt;=15%,"Medium","Low"))</f>
        <v>High</v>
      </c>
    </row>
    <row r="589" spans="1:20" x14ac:dyDescent="0.35">
      <c r="A589" t="s">
        <v>1047</v>
      </c>
      <c r="B589" s="23" t="s">
        <v>1044</v>
      </c>
      <c r="C589" t="s">
        <v>275</v>
      </c>
      <c r="D589" t="s">
        <v>17</v>
      </c>
      <c r="E589" t="s">
        <v>65</v>
      </c>
      <c r="F589" t="s">
        <v>37</v>
      </c>
      <c r="G589" t="s">
        <v>73</v>
      </c>
      <c r="H589" t="s">
        <v>33</v>
      </c>
      <c r="I589">
        <v>2</v>
      </c>
      <c r="J589" s="4">
        <v>2200</v>
      </c>
      <c r="K589" s="6">
        <v>0</v>
      </c>
      <c r="L589" s="8">
        <v>4400</v>
      </c>
      <c r="M589" s="8">
        <v>2800</v>
      </c>
      <c r="N589" s="8">
        <v>1600</v>
      </c>
      <c r="O589" s="8">
        <f>SalesData[[#This Row],[Quantity]]*SalesData[[#This Row],[Unit Price]]*(1-SalesData[[#This Row],[Discount]])</f>
        <v>4400</v>
      </c>
      <c r="P589" s="8">
        <f>SalesData[[#This Row],[Sales_Check]]-SalesData[[#This Row],[Cost]]</f>
        <v>1600</v>
      </c>
      <c r="Q589" s="13">
        <f>IFERROR(SalesData[[#This Row],[Profit]]/SalesData[[#This Row],[Sales]],0)</f>
        <v>0.36363636363636365</v>
      </c>
      <c r="R589" t="str">
        <f>TEXT(SalesData[[#This Row],[Order Date]],"mmm-yyyy")</f>
        <v>Apr-2026</v>
      </c>
      <c r="S589">
        <f>YEAR(SalesData[[#This Row],[Order Date]])</f>
        <v>2026</v>
      </c>
      <c r="T589" t="str">
        <f>IF(SalesData[[#This Row],[Profit Margin]]&gt;=30%,"High",IF(SalesData[[#This Row],[Profit Margin]]&gt;=15%,"Medium","Low"))</f>
        <v>High</v>
      </c>
    </row>
    <row r="590" spans="1:20" x14ac:dyDescent="0.35">
      <c r="A590" t="s">
        <v>1048</v>
      </c>
      <c r="B590" s="23" t="s">
        <v>1049</v>
      </c>
      <c r="C590" t="s">
        <v>217</v>
      </c>
      <c r="D590" t="s">
        <v>25</v>
      </c>
      <c r="E590" t="s">
        <v>69</v>
      </c>
      <c r="F590" t="s">
        <v>27</v>
      </c>
      <c r="G590" t="s">
        <v>90</v>
      </c>
      <c r="H590" t="s">
        <v>47</v>
      </c>
      <c r="I590">
        <v>2</v>
      </c>
      <c r="J590" s="4">
        <v>350</v>
      </c>
      <c r="K590" s="6">
        <v>0</v>
      </c>
      <c r="L590" s="8">
        <v>700</v>
      </c>
      <c r="M590" s="8">
        <v>360</v>
      </c>
      <c r="N590" s="8">
        <v>340</v>
      </c>
      <c r="O590" s="8">
        <f>SalesData[[#This Row],[Quantity]]*SalesData[[#This Row],[Unit Price]]*(1-SalesData[[#This Row],[Discount]])</f>
        <v>700</v>
      </c>
      <c r="P590" s="8">
        <f>SalesData[[#This Row],[Sales_Check]]-SalesData[[#This Row],[Cost]]</f>
        <v>340</v>
      </c>
      <c r="Q590" s="13">
        <f>IFERROR(SalesData[[#This Row],[Profit]]/SalesData[[#This Row],[Sales]],0)</f>
        <v>0.48571428571428571</v>
      </c>
      <c r="R590" t="str">
        <f>TEXT(SalesData[[#This Row],[Order Date]],"mmm-yyyy")</f>
        <v>Apr-2026</v>
      </c>
      <c r="S590">
        <f>YEAR(SalesData[[#This Row],[Order Date]])</f>
        <v>2026</v>
      </c>
      <c r="T590" t="str">
        <f>IF(SalesData[[#This Row],[Profit Margin]]&gt;=30%,"High",IF(SalesData[[#This Row],[Profit Margin]]&gt;=15%,"Medium","Low"))</f>
        <v>High</v>
      </c>
    </row>
    <row r="591" spans="1:20" x14ac:dyDescent="0.35">
      <c r="A591" t="s">
        <v>1050</v>
      </c>
      <c r="B591" s="23" t="s">
        <v>1049</v>
      </c>
      <c r="C591" t="s">
        <v>109</v>
      </c>
      <c r="D591" t="s">
        <v>43</v>
      </c>
      <c r="E591" t="s">
        <v>169</v>
      </c>
      <c r="F591" t="s">
        <v>19</v>
      </c>
      <c r="G591" t="s">
        <v>215</v>
      </c>
      <c r="H591" t="s">
        <v>29</v>
      </c>
      <c r="I591">
        <v>1</v>
      </c>
      <c r="J591" s="4">
        <v>350</v>
      </c>
      <c r="K591" s="6">
        <v>0</v>
      </c>
      <c r="L591" s="8">
        <v>350</v>
      </c>
      <c r="M591" s="8">
        <v>170</v>
      </c>
      <c r="N591" s="8">
        <v>180</v>
      </c>
      <c r="O591" s="8">
        <f>SalesData[[#This Row],[Quantity]]*SalesData[[#This Row],[Unit Price]]*(1-SalesData[[#This Row],[Discount]])</f>
        <v>350</v>
      </c>
      <c r="P591" s="8">
        <f>SalesData[[#This Row],[Sales_Check]]-SalesData[[#This Row],[Cost]]</f>
        <v>180</v>
      </c>
      <c r="Q591" s="13">
        <f>IFERROR(SalesData[[#This Row],[Profit]]/SalesData[[#This Row],[Sales]],0)</f>
        <v>0.51428571428571423</v>
      </c>
      <c r="R591" t="str">
        <f>TEXT(SalesData[[#This Row],[Order Date]],"mmm-yyyy")</f>
        <v>Apr-2026</v>
      </c>
      <c r="S591">
        <f>YEAR(SalesData[[#This Row],[Order Date]])</f>
        <v>2026</v>
      </c>
      <c r="T591" t="str">
        <f>IF(SalesData[[#This Row],[Profit Margin]]&gt;=30%,"High",IF(SalesData[[#This Row],[Profit Margin]]&gt;=15%,"Medium","Low"))</f>
        <v>High</v>
      </c>
    </row>
    <row r="592" spans="1:20" x14ac:dyDescent="0.35">
      <c r="A592" t="s">
        <v>1051</v>
      </c>
      <c r="B592" s="23" t="s">
        <v>1049</v>
      </c>
      <c r="C592" t="s">
        <v>222</v>
      </c>
      <c r="D592" t="s">
        <v>17</v>
      </c>
      <c r="E592" t="s">
        <v>124</v>
      </c>
      <c r="F592" t="s">
        <v>45</v>
      </c>
      <c r="G592" t="s">
        <v>46</v>
      </c>
      <c r="H592" t="s">
        <v>21</v>
      </c>
      <c r="I592">
        <v>2</v>
      </c>
      <c r="J592" s="4">
        <v>1200</v>
      </c>
      <c r="K592" s="6">
        <v>0.05</v>
      </c>
      <c r="L592" s="8">
        <v>2280</v>
      </c>
      <c r="M592" s="8">
        <v>1440</v>
      </c>
      <c r="N592" s="8">
        <v>840</v>
      </c>
      <c r="O592" s="8">
        <f>SalesData[[#This Row],[Quantity]]*SalesData[[#This Row],[Unit Price]]*(1-SalesData[[#This Row],[Discount]])</f>
        <v>2280</v>
      </c>
      <c r="P592" s="8">
        <f>SalesData[[#This Row],[Sales_Check]]-SalesData[[#This Row],[Cost]]</f>
        <v>840</v>
      </c>
      <c r="Q592" s="13">
        <f>IFERROR(SalesData[[#This Row],[Profit]]/SalesData[[#This Row],[Sales]],0)</f>
        <v>0.36842105263157893</v>
      </c>
      <c r="R592" t="str">
        <f>TEXT(SalesData[[#This Row],[Order Date]],"mmm-yyyy")</f>
        <v>Apr-2026</v>
      </c>
      <c r="S592">
        <f>YEAR(SalesData[[#This Row],[Order Date]])</f>
        <v>2026</v>
      </c>
      <c r="T592" t="str">
        <f>IF(SalesData[[#This Row],[Profit Margin]]&gt;=30%,"High",IF(SalesData[[#This Row],[Profit Margin]]&gt;=15%,"Medium","Low"))</f>
        <v>High</v>
      </c>
    </row>
    <row r="593" spans="1:20" x14ac:dyDescent="0.35">
      <c r="A593" t="s">
        <v>1052</v>
      </c>
      <c r="B593" s="23" t="s">
        <v>1053</v>
      </c>
      <c r="C593" t="s">
        <v>173</v>
      </c>
      <c r="D593" t="s">
        <v>54</v>
      </c>
      <c r="E593" t="s">
        <v>116</v>
      </c>
      <c r="F593" t="s">
        <v>19</v>
      </c>
      <c r="G593" t="s">
        <v>20</v>
      </c>
      <c r="H593" t="s">
        <v>47</v>
      </c>
      <c r="I593">
        <v>1</v>
      </c>
      <c r="J593" s="4">
        <v>450</v>
      </c>
      <c r="K593" s="6">
        <v>0.05</v>
      </c>
      <c r="L593" s="8">
        <v>427.5</v>
      </c>
      <c r="M593" s="8">
        <v>250</v>
      </c>
      <c r="N593" s="8">
        <v>177.5</v>
      </c>
      <c r="O593" s="8">
        <f>SalesData[[#This Row],[Quantity]]*SalesData[[#This Row],[Unit Price]]*(1-SalesData[[#This Row],[Discount]])</f>
        <v>427.5</v>
      </c>
      <c r="P593" s="8">
        <f>SalesData[[#This Row],[Sales_Check]]-SalesData[[#This Row],[Cost]]</f>
        <v>177.5</v>
      </c>
      <c r="Q593" s="13">
        <f>IFERROR(SalesData[[#This Row],[Profit]]/SalesData[[#This Row],[Sales]],0)</f>
        <v>0.41520467836257308</v>
      </c>
      <c r="R593" t="str">
        <f>TEXT(SalesData[[#This Row],[Order Date]],"mmm-yyyy")</f>
        <v>Apr-2026</v>
      </c>
      <c r="S593">
        <f>YEAR(SalesData[[#This Row],[Order Date]])</f>
        <v>2026</v>
      </c>
      <c r="T593" t="str">
        <f>IF(SalesData[[#This Row],[Profit Margin]]&gt;=30%,"High",IF(SalesData[[#This Row],[Profit Margin]]&gt;=15%,"Medium","Low"))</f>
        <v>High</v>
      </c>
    </row>
    <row r="594" spans="1:20" x14ac:dyDescent="0.35">
      <c r="A594" t="s">
        <v>1054</v>
      </c>
      <c r="B594" s="23" t="s">
        <v>1055</v>
      </c>
      <c r="C594" t="s">
        <v>448</v>
      </c>
      <c r="D594" t="s">
        <v>17</v>
      </c>
      <c r="E594" t="s">
        <v>18</v>
      </c>
      <c r="F594" t="s">
        <v>27</v>
      </c>
      <c r="G594" t="s">
        <v>51</v>
      </c>
      <c r="H594" t="s">
        <v>33</v>
      </c>
      <c r="I594">
        <v>4</v>
      </c>
      <c r="J594" s="4">
        <v>1800</v>
      </c>
      <c r="K594" s="6">
        <v>0.05</v>
      </c>
      <c r="L594" s="8">
        <v>6840</v>
      </c>
      <c r="M594" s="8">
        <v>4400</v>
      </c>
      <c r="N594" s="8">
        <v>2440</v>
      </c>
      <c r="O594" s="8">
        <f>SalesData[[#This Row],[Quantity]]*SalesData[[#This Row],[Unit Price]]*(1-SalesData[[#This Row],[Discount]])</f>
        <v>6840</v>
      </c>
      <c r="P594" s="8">
        <f>SalesData[[#This Row],[Sales_Check]]-SalesData[[#This Row],[Cost]]</f>
        <v>2440</v>
      </c>
      <c r="Q594" s="13">
        <f>IFERROR(SalesData[[#This Row],[Profit]]/SalesData[[#This Row],[Sales]],0)</f>
        <v>0.35672514619883039</v>
      </c>
      <c r="R594" t="str">
        <f>TEXT(SalesData[[#This Row],[Order Date]],"mmm-yyyy")</f>
        <v>Apr-2026</v>
      </c>
      <c r="S594">
        <f>YEAR(SalesData[[#This Row],[Order Date]])</f>
        <v>2026</v>
      </c>
      <c r="T594" t="str">
        <f>IF(SalesData[[#This Row],[Profit Margin]]&gt;=30%,"High",IF(SalesData[[#This Row],[Profit Margin]]&gt;=15%,"Medium","Low"))</f>
        <v>High</v>
      </c>
    </row>
    <row r="595" spans="1:20" x14ac:dyDescent="0.35">
      <c r="A595" t="s">
        <v>1056</v>
      </c>
      <c r="B595" s="23" t="s">
        <v>1055</v>
      </c>
      <c r="C595" t="s">
        <v>598</v>
      </c>
      <c r="D595" t="s">
        <v>54</v>
      </c>
      <c r="E595" t="s">
        <v>110</v>
      </c>
      <c r="F595" t="s">
        <v>19</v>
      </c>
      <c r="G595" t="s">
        <v>113</v>
      </c>
      <c r="H595" t="s">
        <v>33</v>
      </c>
      <c r="I595">
        <v>10</v>
      </c>
      <c r="J595" s="4">
        <v>280</v>
      </c>
      <c r="K595" s="6">
        <v>0.1</v>
      </c>
      <c r="L595" s="8">
        <v>2520</v>
      </c>
      <c r="M595" s="8">
        <v>1500</v>
      </c>
      <c r="N595" s="8">
        <v>1020</v>
      </c>
      <c r="O595" s="8">
        <f>SalesData[[#This Row],[Quantity]]*SalesData[[#This Row],[Unit Price]]*(1-SalesData[[#This Row],[Discount]])</f>
        <v>2520</v>
      </c>
      <c r="P595" s="8">
        <f>SalesData[[#This Row],[Sales_Check]]-SalesData[[#This Row],[Cost]]</f>
        <v>1020</v>
      </c>
      <c r="Q595" s="13">
        <f>IFERROR(SalesData[[#This Row],[Profit]]/SalesData[[#This Row],[Sales]],0)</f>
        <v>0.40476190476190477</v>
      </c>
      <c r="R595" t="str">
        <f>TEXT(SalesData[[#This Row],[Order Date]],"mmm-yyyy")</f>
        <v>Apr-2026</v>
      </c>
      <c r="S595">
        <f>YEAR(SalesData[[#This Row],[Order Date]])</f>
        <v>2026</v>
      </c>
      <c r="T595" t="str">
        <f>IF(SalesData[[#This Row],[Profit Margin]]&gt;=30%,"High",IF(SalesData[[#This Row],[Profit Margin]]&gt;=15%,"Medium","Low"))</f>
        <v>High</v>
      </c>
    </row>
    <row r="596" spans="1:20" x14ac:dyDescent="0.35">
      <c r="A596" t="s">
        <v>1057</v>
      </c>
      <c r="B596" s="23" t="s">
        <v>1055</v>
      </c>
      <c r="C596" t="s">
        <v>129</v>
      </c>
      <c r="D596" t="s">
        <v>25</v>
      </c>
      <c r="E596" t="s">
        <v>69</v>
      </c>
      <c r="F596" t="s">
        <v>19</v>
      </c>
      <c r="G596" t="s">
        <v>215</v>
      </c>
      <c r="H596" t="s">
        <v>29</v>
      </c>
      <c r="I596">
        <v>1</v>
      </c>
      <c r="J596" s="4">
        <v>350</v>
      </c>
      <c r="K596" s="6">
        <v>0.1</v>
      </c>
      <c r="L596" s="8">
        <v>315</v>
      </c>
      <c r="M596" s="8">
        <v>180</v>
      </c>
      <c r="N596" s="8">
        <v>135</v>
      </c>
      <c r="O596" s="8">
        <f>SalesData[[#This Row],[Quantity]]*SalesData[[#This Row],[Unit Price]]*(1-SalesData[[#This Row],[Discount]])</f>
        <v>315</v>
      </c>
      <c r="P596" s="8">
        <f>SalesData[[#This Row],[Sales_Check]]-SalesData[[#This Row],[Cost]]</f>
        <v>135</v>
      </c>
      <c r="Q596" s="13">
        <f>IFERROR(SalesData[[#This Row],[Profit]]/SalesData[[#This Row],[Sales]],0)</f>
        <v>0.42857142857142855</v>
      </c>
      <c r="R596" t="str">
        <f>TEXT(SalesData[[#This Row],[Order Date]],"mmm-yyyy")</f>
        <v>Apr-2026</v>
      </c>
      <c r="S596">
        <f>YEAR(SalesData[[#This Row],[Order Date]])</f>
        <v>2026</v>
      </c>
      <c r="T596" t="str">
        <f>IF(SalesData[[#This Row],[Profit Margin]]&gt;=30%,"High",IF(SalesData[[#This Row],[Profit Margin]]&gt;=15%,"Medium","Low"))</f>
        <v>High</v>
      </c>
    </row>
    <row r="597" spans="1:20" x14ac:dyDescent="0.35">
      <c r="A597" t="s">
        <v>1058</v>
      </c>
      <c r="B597" s="23" t="s">
        <v>1059</v>
      </c>
      <c r="C597" t="s">
        <v>335</v>
      </c>
      <c r="D597" t="s">
        <v>54</v>
      </c>
      <c r="E597" t="s">
        <v>55</v>
      </c>
      <c r="F597" t="s">
        <v>45</v>
      </c>
      <c r="G597" t="s">
        <v>104</v>
      </c>
      <c r="H597" t="s">
        <v>47</v>
      </c>
      <c r="I597">
        <v>6</v>
      </c>
      <c r="J597" s="4">
        <v>180</v>
      </c>
      <c r="K597" s="6">
        <v>0</v>
      </c>
      <c r="L597" s="8">
        <v>1080</v>
      </c>
      <c r="M597" s="8">
        <v>540</v>
      </c>
      <c r="N597" s="8">
        <v>540</v>
      </c>
      <c r="O597" s="8">
        <f>SalesData[[#This Row],[Quantity]]*SalesData[[#This Row],[Unit Price]]*(1-SalesData[[#This Row],[Discount]])</f>
        <v>1080</v>
      </c>
      <c r="P597" s="8">
        <f>SalesData[[#This Row],[Sales_Check]]-SalesData[[#This Row],[Cost]]</f>
        <v>540</v>
      </c>
      <c r="Q597" s="13">
        <f>IFERROR(SalesData[[#This Row],[Profit]]/SalesData[[#This Row],[Sales]],0)</f>
        <v>0.5</v>
      </c>
      <c r="R597" t="str">
        <f>TEXT(SalesData[[#This Row],[Order Date]],"mmm-yyyy")</f>
        <v>Apr-2026</v>
      </c>
      <c r="S597">
        <f>YEAR(SalesData[[#This Row],[Order Date]])</f>
        <v>2026</v>
      </c>
      <c r="T597" t="str">
        <f>IF(SalesData[[#This Row],[Profit Margin]]&gt;=30%,"High",IF(SalesData[[#This Row],[Profit Margin]]&gt;=15%,"Medium","Low"))</f>
        <v>High</v>
      </c>
    </row>
    <row r="598" spans="1:20" x14ac:dyDescent="0.35">
      <c r="A598" t="s">
        <v>1060</v>
      </c>
      <c r="B598" s="23" t="s">
        <v>1059</v>
      </c>
      <c r="C598" t="s">
        <v>196</v>
      </c>
      <c r="D598" t="s">
        <v>43</v>
      </c>
      <c r="E598" t="s">
        <v>250</v>
      </c>
      <c r="F598" t="s">
        <v>27</v>
      </c>
      <c r="G598" t="s">
        <v>28</v>
      </c>
      <c r="H598" t="s">
        <v>29</v>
      </c>
      <c r="I598">
        <v>5</v>
      </c>
      <c r="J598" s="4">
        <v>900</v>
      </c>
      <c r="K598" s="6">
        <v>0</v>
      </c>
      <c r="L598" s="8">
        <v>4500</v>
      </c>
      <c r="M598" s="8">
        <v>2600</v>
      </c>
      <c r="N598" s="8">
        <v>1900</v>
      </c>
      <c r="O598" s="8">
        <f>SalesData[[#This Row],[Quantity]]*SalesData[[#This Row],[Unit Price]]*(1-SalesData[[#This Row],[Discount]])</f>
        <v>4500</v>
      </c>
      <c r="P598" s="8">
        <f>SalesData[[#This Row],[Sales_Check]]-SalesData[[#This Row],[Cost]]</f>
        <v>1900</v>
      </c>
      <c r="Q598" s="13">
        <f>IFERROR(SalesData[[#This Row],[Profit]]/SalesData[[#This Row],[Sales]],0)</f>
        <v>0.42222222222222222</v>
      </c>
      <c r="R598" t="str">
        <f>TEXT(SalesData[[#This Row],[Order Date]],"mmm-yyyy")</f>
        <v>Apr-2026</v>
      </c>
      <c r="S598">
        <f>YEAR(SalesData[[#This Row],[Order Date]])</f>
        <v>2026</v>
      </c>
      <c r="T598" t="str">
        <f>IF(SalesData[[#This Row],[Profit Margin]]&gt;=30%,"High",IF(SalesData[[#This Row],[Profit Margin]]&gt;=15%,"Medium","Low"))</f>
        <v>High</v>
      </c>
    </row>
    <row r="599" spans="1:20" x14ac:dyDescent="0.35">
      <c r="A599" t="s">
        <v>1061</v>
      </c>
      <c r="B599" s="23" t="s">
        <v>1062</v>
      </c>
      <c r="C599" t="s">
        <v>261</v>
      </c>
      <c r="D599" t="s">
        <v>54</v>
      </c>
      <c r="E599" t="s">
        <v>55</v>
      </c>
      <c r="F599" t="s">
        <v>27</v>
      </c>
      <c r="G599" t="s">
        <v>51</v>
      </c>
      <c r="H599" t="s">
        <v>39</v>
      </c>
      <c r="I599">
        <v>1</v>
      </c>
      <c r="J599" s="4">
        <v>180</v>
      </c>
      <c r="K599" s="6">
        <v>0.05</v>
      </c>
      <c r="L599" s="8">
        <v>171</v>
      </c>
      <c r="M599" s="8">
        <v>90</v>
      </c>
      <c r="N599" s="8">
        <v>81</v>
      </c>
      <c r="O599" s="8">
        <f>SalesData[[#This Row],[Quantity]]*SalesData[[#This Row],[Unit Price]]*(1-SalesData[[#This Row],[Discount]])</f>
        <v>171</v>
      </c>
      <c r="P599" s="8">
        <f>SalesData[[#This Row],[Sales_Check]]-SalesData[[#This Row],[Cost]]</f>
        <v>81</v>
      </c>
      <c r="Q599" s="13">
        <f>IFERROR(SalesData[[#This Row],[Profit]]/SalesData[[#This Row],[Sales]],0)</f>
        <v>0.47368421052631576</v>
      </c>
      <c r="R599" t="str">
        <f>TEXT(SalesData[[#This Row],[Order Date]],"mmm-yyyy")</f>
        <v>Apr-2026</v>
      </c>
      <c r="S599">
        <f>YEAR(SalesData[[#This Row],[Order Date]])</f>
        <v>2026</v>
      </c>
      <c r="T599" t="str">
        <f>IF(SalesData[[#This Row],[Profit Margin]]&gt;=30%,"High",IF(SalesData[[#This Row],[Profit Margin]]&gt;=15%,"Medium","Low"))</f>
        <v>High</v>
      </c>
    </row>
    <row r="600" spans="1:20" x14ac:dyDescent="0.35">
      <c r="A600" t="s">
        <v>1063</v>
      </c>
      <c r="B600" s="23" t="s">
        <v>1062</v>
      </c>
      <c r="C600" t="s">
        <v>42</v>
      </c>
      <c r="D600" t="s">
        <v>43</v>
      </c>
      <c r="E600" t="s">
        <v>62</v>
      </c>
      <c r="F600" t="s">
        <v>37</v>
      </c>
      <c r="G600" t="s">
        <v>140</v>
      </c>
      <c r="H600" t="s">
        <v>47</v>
      </c>
      <c r="I600">
        <v>7</v>
      </c>
      <c r="J600" s="4">
        <v>500</v>
      </c>
      <c r="K600" s="6">
        <v>0.15</v>
      </c>
      <c r="L600" s="8">
        <v>2975</v>
      </c>
      <c r="M600" s="8">
        <v>1960</v>
      </c>
      <c r="N600" s="8">
        <v>1015</v>
      </c>
      <c r="O600" s="8">
        <f>SalesData[[#This Row],[Quantity]]*SalesData[[#This Row],[Unit Price]]*(1-SalesData[[#This Row],[Discount]])</f>
        <v>2975</v>
      </c>
      <c r="P600" s="8">
        <f>SalesData[[#This Row],[Sales_Check]]-SalesData[[#This Row],[Cost]]</f>
        <v>1015</v>
      </c>
      <c r="Q600" s="13">
        <f>IFERROR(SalesData[[#This Row],[Profit]]/SalesData[[#This Row],[Sales]],0)</f>
        <v>0.3411764705882353</v>
      </c>
      <c r="R600" t="str">
        <f>TEXT(SalesData[[#This Row],[Order Date]],"mmm-yyyy")</f>
        <v>Apr-2026</v>
      </c>
      <c r="S600">
        <f>YEAR(SalesData[[#This Row],[Order Date]])</f>
        <v>2026</v>
      </c>
      <c r="T600" t="str">
        <f>IF(SalesData[[#This Row],[Profit Margin]]&gt;=30%,"High",IF(SalesData[[#This Row],[Profit Margin]]&gt;=15%,"Medium","Low"))</f>
        <v>High</v>
      </c>
    </row>
    <row r="601" spans="1:20" x14ac:dyDescent="0.35">
      <c r="A601" t="s">
        <v>1064</v>
      </c>
      <c r="B601" s="23" t="s">
        <v>1065</v>
      </c>
      <c r="C601" t="s">
        <v>93</v>
      </c>
      <c r="D601" t="s">
        <v>43</v>
      </c>
      <c r="E601" t="s">
        <v>169</v>
      </c>
      <c r="F601" t="s">
        <v>19</v>
      </c>
      <c r="G601" t="s">
        <v>20</v>
      </c>
      <c r="H601" t="s">
        <v>21</v>
      </c>
      <c r="I601">
        <v>7</v>
      </c>
      <c r="J601" s="4">
        <v>350</v>
      </c>
      <c r="K601" s="6">
        <v>0</v>
      </c>
      <c r="L601" s="8">
        <v>2450</v>
      </c>
      <c r="M601" s="8">
        <v>1190</v>
      </c>
      <c r="N601" s="8">
        <v>1260</v>
      </c>
      <c r="O601" s="8">
        <f>SalesData[[#This Row],[Quantity]]*SalesData[[#This Row],[Unit Price]]*(1-SalesData[[#This Row],[Discount]])</f>
        <v>2450</v>
      </c>
      <c r="P601" s="8">
        <f>SalesData[[#This Row],[Sales_Check]]-SalesData[[#This Row],[Cost]]</f>
        <v>1260</v>
      </c>
      <c r="Q601" s="13">
        <f>IFERROR(SalesData[[#This Row],[Profit]]/SalesData[[#This Row],[Sales]],0)</f>
        <v>0.51428571428571423</v>
      </c>
      <c r="R601" t="str">
        <f>TEXT(SalesData[[#This Row],[Order Date]],"mmm-yyyy")</f>
        <v>Apr-2026</v>
      </c>
      <c r="S601">
        <f>YEAR(SalesData[[#This Row],[Order Date]])</f>
        <v>2026</v>
      </c>
      <c r="T601" t="str">
        <f>IF(SalesData[[#This Row],[Profit Margin]]&gt;=30%,"High",IF(SalesData[[#This Row],[Profit Margin]]&gt;=15%,"Medium","Low"))</f>
        <v>High</v>
      </c>
    </row>
    <row r="602" spans="1:20" x14ac:dyDescent="0.35">
      <c r="A602" t="s">
        <v>1066</v>
      </c>
      <c r="B602" s="23" t="s">
        <v>1065</v>
      </c>
      <c r="C602" t="s">
        <v>664</v>
      </c>
      <c r="D602" t="s">
        <v>54</v>
      </c>
      <c r="E602" t="s">
        <v>103</v>
      </c>
      <c r="F602" t="s">
        <v>45</v>
      </c>
      <c r="G602" t="s">
        <v>104</v>
      </c>
      <c r="H602" t="s">
        <v>21</v>
      </c>
      <c r="I602">
        <v>10</v>
      </c>
      <c r="J602" s="4">
        <v>150</v>
      </c>
      <c r="K602" s="6">
        <v>0</v>
      </c>
      <c r="L602" s="8">
        <v>1500</v>
      </c>
      <c r="M602" s="8">
        <v>750</v>
      </c>
      <c r="N602" s="8">
        <v>750</v>
      </c>
      <c r="O602" s="8">
        <f>SalesData[[#This Row],[Quantity]]*SalesData[[#This Row],[Unit Price]]*(1-SalesData[[#This Row],[Discount]])</f>
        <v>1500</v>
      </c>
      <c r="P602" s="8">
        <f>SalesData[[#This Row],[Sales_Check]]-SalesData[[#This Row],[Cost]]</f>
        <v>750</v>
      </c>
      <c r="Q602" s="13">
        <f>IFERROR(SalesData[[#This Row],[Profit]]/SalesData[[#This Row],[Sales]],0)</f>
        <v>0.5</v>
      </c>
      <c r="R602" t="str">
        <f>TEXT(SalesData[[#This Row],[Order Date]],"mmm-yyyy")</f>
        <v>Apr-2026</v>
      </c>
      <c r="S602">
        <f>YEAR(SalesData[[#This Row],[Order Date]])</f>
        <v>2026</v>
      </c>
      <c r="T602" t="str">
        <f>IF(SalesData[[#This Row],[Profit Margin]]&gt;=30%,"High",IF(SalesData[[#This Row],[Profit Margin]]&gt;=15%,"Medium","Low"))</f>
        <v>High</v>
      </c>
    </row>
    <row r="603" spans="1:20" x14ac:dyDescent="0.35">
      <c r="A603" t="s">
        <v>1067</v>
      </c>
      <c r="B603" s="23" t="s">
        <v>1065</v>
      </c>
      <c r="C603" t="s">
        <v>112</v>
      </c>
      <c r="D603" t="s">
        <v>25</v>
      </c>
      <c r="E603" t="s">
        <v>26</v>
      </c>
      <c r="F603" t="s">
        <v>27</v>
      </c>
      <c r="G603" t="s">
        <v>90</v>
      </c>
      <c r="H603" t="s">
        <v>33</v>
      </c>
      <c r="I603">
        <v>5</v>
      </c>
      <c r="J603" s="4">
        <v>600</v>
      </c>
      <c r="K603" s="6">
        <v>0.15</v>
      </c>
      <c r="L603" s="8">
        <v>2550</v>
      </c>
      <c r="M603" s="8">
        <v>1650</v>
      </c>
      <c r="N603" s="8">
        <v>900</v>
      </c>
      <c r="O603" s="8">
        <f>SalesData[[#This Row],[Quantity]]*SalesData[[#This Row],[Unit Price]]*(1-SalesData[[#This Row],[Discount]])</f>
        <v>2550</v>
      </c>
      <c r="P603" s="8">
        <f>SalesData[[#This Row],[Sales_Check]]-SalesData[[#This Row],[Cost]]</f>
        <v>900</v>
      </c>
      <c r="Q603" s="13">
        <f>IFERROR(SalesData[[#This Row],[Profit]]/SalesData[[#This Row],[Sales]],0)</f>
        <v>0.35294117647058826</v>
      </c>
      <c r="R603" t="str">
        <f>TEXT(SalesData[[#This Row],[Order Date]],"mmm-yyyy")</f>
        <v>Apr-2026</v>
      </c>
      <c r="S603">
        <f>YEAR(SalesData[[#This Row],[Order Date]])</f>
        <v>2026</v>
      </c>
      <c r="T603" t="str">
        <f>IF(SalesData[[#This Row],[Profit Margin]]&gt;=30%,"High",IF(SalesData[[#This Row],[Profit Margin]]&gt;=15%,"Medium","Low"))</f>
        <v>High</v>
      </c>
    </row>
    <row r="604" spans="1:20" x14ac:dyDescent="0.35">
      <c r="A604" t="s">
        <v>1068</v>
      </c>
      <c r="B604" s="23" t="s">
        <v>1065</v>
      </c>
      <c r="C604" t="s">
        <v>427</v>
      </c>
      <c r="D604" t="s">
        <v>54</v>
      </c>
      <c r="E604" t="s">
        <v>55</v>
      </c>
      <c r="F604" t="s">
        <v>19</v>
      </c>
      <c r="G604" t="s">
        <v>113</v>
      </c>
      <c r="H604" t="s">
        <v>125</v>
      </c>
      <c r="I604">
        <v>5</v>
      </c>
      <c r="J604" s="4">
        <v>180</v>
      </c>
      <c r="K604" s="6">
        <v>0</v>
      </c>
      <c r="L604" s="8">
        <v>900</v>
      </c>
      <c r="M604" s="8">
        <v>450</v>
      </c>
      <c r="N604" s="8">
        <v>450</v>
      </c>
      <c r="O604" s="8">
        <f>SalesData[[#This Row],[Quantity]]*SalesData[[#This Row],[Unit Price]]*(1-SalesData[[#This Row],[Discount]])</f>
        <v>900</v>
      </c>
      <c r="P604" s="8">
        <f>SalesData[[#This Row],[Sales_Check]]-SalesData[[#This Row],[Cost]]</f>
        <v>450</v>
      </c>
      <c r="Q604" s="13">
        <f>IFERROR(SalesData[[#This Row],[Profit]]/SalesData[[#This Row],[Sales]],0)</f>
        <v>0.5</v>
      </c>
      <c r="R604" t="str">
        <f>TEXT(SalesData[[#This Row],[Order Date]],"mmm-yyyy")</f>
        <v>Apr-2026</v>
      </c>
      <c r="S604">
        <f>YEAR(SalesData[[#This Row],[Order Date]])</f>
        <v>2026</v>
      </c>
      <c r="T604" t="str">
        <f>IF(SalesData[[#This Row],[Profit Margin]]&gt;=30%,"High",IF(SalesData[[#This Row],[Profit Margin]]&gt;=15%,"Medium","Low"))</f>
        <v>High</v>
      </c>
    </row>
    <row r="605" spans="1:20" x14ac:dyDescent="0.35">
      <c r="A605" t="s">
        <v>1069</v>
      </c>
      <c r="B605" s="23" t="s">
        <v>1070</v>
      </c>
      <c r="C605" t="s">
        <v>791</v>
      </c>
      <c r="D605" t="s">
        <v>54</v>
      </c>
      <c r="E605" t="s">
        <v>107</v>
      </c>
      <c r="F605" t="s">
        <v>45</v>
      </c>
      <c r="G605" t="s">
        <v>104</v>
      </c>
      <c r="H605" t="s">
        <v>125</v>
      </c>
      <c r="I605">
        <v>8</v>
      </c>
      <c r="J605" s="4">
        <v>120</v>
      </c>
      <c r="K605" s="6">
        <v>0.1</v>
      </c>
      <c r="L605" s="8">
        <v>864</v>
      </c>
      <c r="M605" s="8">
        <v>440</v>
      </c>
      <c r="N605" s="8">
        <v>424</v>
      </c>
      <c r="O605" s="8">
        <f>SalesData[[#This Row],[Quantity]]*SalesData[[#This Row],[Unit Price]]*(1-SalesData[[#This Row],[Discount]])</f>
        <v>864</v>
      </c>
      <c r="P605" s="8">
        <f>SalesData[[#This Row],[Sales_Check]]-SalesData[[#This Row],[Cost]]</f>
        <v>424</v>
      </c>
      <c r="Q605" s="13">
        <f>IFERROR(SalesData[[#This Row],[Profit]]/SalesData[[#This Row],[Sales]],0)</f>
        <v>0.49074074074074076</v>
      </c>
      <c r="R605" t="str">
        <f>TEXT(SalesData[[#This Row],[Order Date]],"mmm-yyyy")</f>
        <v>Apr-2026</v>
      </c>
      <c r="S605">
        <f>YEAR(SalesData[[#This Row],[Order Date]])</f>
        <v>2026</v>
      </c>
      <c r="T605" t="str">
        <f>IF(SalesData[[#This Row],[Profit Margin]]&gt;=30%,"High",IF(SalesData[[#This Row],[Profit Margin]]&gt;=15%,"Medium","Low"))</f>
        <v>High</v>
      </c>
    </row>
    <row r="606" spans="1:20" x14ac:dyDescent="0.35">
      <c r="A606" t="s">
        <v>1071</v>
      </c>
      <c r="B606" s="23" t="s">
        <v>1070</v>
      </c>
      <c r="C606" t="s">
        <v>267</v>
      </c>
      <c r="D606" t="s">
        <v>17</v>
      </c>
      <c r="E606" t="s">
        <v>18</v>
      </c>
      <c r="F606" t="s">
        <v>27</v>
      </c>
      <c r="G606" t="s">
        <v>51</v>
      </c>
      <c r="H606" t="s">
        <v>21</v>
      </c>
      <c r="I606">
        <v>1</v>
      </c>
      <c r="J606" s="4">
        <v>1800</v>
      </c>
      <c r="K606" s="6">
        <v>0</v>
      </c>
      <c r="L606" s="8">
        <v>1800</v>
      </c>
      <c r="M606" s="8">
        <v>1100</v>
      </c>
      <c r="N606" s="8">
        <v>700</v>
      </c>
      <c r="O606" s="8">
        <f>SalesData[[#This Row],[Quantity]]*SalesData[[#This Row],[Unit Price]]*(1-SalesData[[#This Row],[Discount]])</f>
        <v>1800</v>
      </c>
      <c r="P606" s="8">
        <f>SalesData[[#This Row],[Sales_Check]]-SalesData[[#This Row],[Cost]]</f>
        <v>700</v>
      </c>
      <c r="Q606" s="13">
        <f>IFERROR(SalesData[[#This Row],[Profit]]/SalesData[[#This Row],[Sales]],0)</f>
        <v>0.3888888888888889</v>
      </c>
      <c r="R606" t="str">
        <f>TEXT(SalesData[[#This Row],[Order Date]],"mmm-yyyy")</f>
        <v>Apr-2026</v>
      </c>
      <c r="S606">
        <f>YEAR(SalesData[[#This Row],[Order Date]])</f>
        <v>2026</v>
      </c>
      <c r="T606" t="str">
        <f>IF(SalesData[[#This Row],[Profit Margin]]&gt;=30%,"High",IF(SalesData[[#This Row],[Profit Margin]]&gt;=15%,"Medium","Low"))</f>
        <v>High</v>
      </c>
    </row>
    <row r="607" spans="1:20" x14ac:dyDescent="0.35">
      <c r="A607" t="s">
        <v>1072</v>
      </c>
      <c r="B607" s="23" t="s">
        <v>1070</v>
      </c>
      <c r="C607" t="s">
        <v>802</v>
      </c>
      <c r="D607" t="s">
        <v>43</v>
      </c>
      <c r="E607" t="s">
        <v>143</v>
      </c>
      <c r="F607" t="s">
        <v>45</v>
      </c>
      <c r="G607" t="s">
        <v>46</v>
      </c>
      <c r="H607" t="s">
        <v>21</v>
      </c>
      <c r="I607">
        <v>5</v>
      </c>
      <c r="J607" s="4">
        <v>650</v>
      </c>
      <c r="K607" s="6">
        <v>0.05</v>
      </c>
      <c r="L607" s="8">
        <v>3087.5</v>
      </c>
      <c r="M607" s="8">
        <v>1750</v>
      </c>
      <c r="N607" s="8">
        <v>1337.5</v>
      </c>
      <c r="O607" s="8">
        <f>SalesData[[#This Row],[Quantity]]*SalesData[[#This Row],[Unit Price]]*(1-SalesData[[#This Row],[Discount]])</f>
        <v>3087.5</v>
      </c>
      <c r="P607" s="8">
        <f>SalesData[[#This Row],[Sales_Check]]-SalesData[[#This Row],[Cost]]</f>
        <v>1337.5</v>
      </c>
      <c r="Q607" s="13">
        <f>IFERROR(SalesData[[#This Row],[Profit]]/SalesData[[#This Row],[Sales]],0)</f>
        <v>0.4331983805668016</v>
      </c>
      <c r="R607" t="str">
        <f>TEXT(SalesData[[#This Row],[Order Date]],"mmm-yyyy")</f>
        <v>Apr-2026</v>
      </c>
      <c r="S607">
        <f>YEAR(SalesData[[#This Row],[Order Date]])</f>
        <v>2026</v>
      </c>
      <c r="T607" t="str">
        <f>IF(SalesData[[#This Row],[Profit Margin]]&gt;=30%,"High",IF(SalesData[[#This Row],[Profit Margin]]&gt;=15%,"Medium","Low"))</f>
        <v>High</v>
      </c>
    </row>
    <row r="608" spans="1:20" x14ac:dyDescent="0.35">
      <c r="A608" t="s">
        <v>1073</v>
      </c>
      <c r="B608" s="23" t="s">
        <v>1074</v>
      </c>
      <c r="C608" t="s">
        <v>134</v>
      </c>
      <c r="D608" t="s">
        <v>17</v>
      </c>
      <c r="E608" t="s">
        <v>32</v>
      </c>
      <c r="F608" t="s">
        <v>27</v>
      </c>
      <c r="G608" t="s">
        <v>28</v>
      </c>
      <c r="H608" t="s">
        <v>39</v>
      </c>
      <c r="I608">
        <v>5</v>
      </c>
      <c r="J608" s="4">
        <v>1500</v>
      </c>
      <c r="K608" s="6">
        <v>0.15</v>
      </c>
      <c r="L608" s="8">
        <v>6375</v>
      </c>
      <c r="M608" s="8">
        <v>4500</v>
      </c>
      <c r="N608" s="8">
        <v>1875</v>
      </c>
      <c r="O608" s="8">
        <f>SalesData[[#This Row],[Quantity]]*SalesData[[#This Row],[Unit Price]]*(1-SalesData[[#This Row],[Discount]])</f>
        <v>6375</v>
      </c>
      <c r="P608" s="8">
        <f>SalesData[[#This Row],[Sales_Check]]-SalesData[[#This Row],[Cost]]</f>
        <v>1875</v>
      </c>
      <c r="Q608" s="13">
        <f>IFERROR(SalesData[[#This Row],[Profit]]/SalesData[[#This Row],[Sales]],0)</f>
        <v>0.29411764705882354</v>
      </c>
      <c r="R608" t="str">
        <f>TEXT(SalesData[[#This Row],[Order Date]],"mmm-yyyy")</f>
        <v>Apr-2026</v>
      </c>
      <c r="S608">
        <f>YEAR(SalesData[[#This Row],[Order Date]])</f>
        <v>2026</v>
      </c>
      <c r="T608" t="str">
        <f>IF(SalesData[[#This Row],[Profit Margin]]&gt;=30%,"High",IF(SalesData[[#This Row],[Profit Margin]]&gt;=15%,"Medium","Low"))</f>
        <v>Medium</v>
      </c>
    </row>
    <row r="609" spans="1:20" x14ac:dyDescent="0.35">
      <c r="A609" t="s">
        <v>1075</v>
      </c>
      <c r="B609" s="23" t="s">
        <v>1074</v>
      </c>
      <c r="C609" t="s">
        <v>267</v>
      </c>
      <c r="D609" t="s">
        <v>43</v>
      </c>
      <c r="E609" t="s">
        <v>143</v>
      </c>
      <c r="F609" t="s">
        <v>45</v>
      </c>
      <c r="G609" t="s">
        <v>122</v>
      </c>
      <c r="H609" t="s">
        <v>39</v>
      </c>
      <c r="I609">
        <v>8</v>
      </c>
      <c r="J609" s="4">
        <v>650</v>
      </c>
      <c r="K609" s="6">
        <v>0.05</v>
      </c>
      <c r="L609" s="8">
        <v>4940</v>
      </c>
      <c r="M609" s="8">
        <v>2800</v>
      </c>
      <c r="N609" s="8">
        <v>2140</v>
      </c>
      <c r="O609" s="8">
        <f>SalesData[[#This Row],[Quantity]]*SalesData[[#This Row],[Unit Price]]*(1-SalesData[[#This Row],[Discount]])</f>
        <v>4940</v>
      </c>
      <c r="P609" s="8">
        <f>SalesData[[#This Row],[Sales_Check]]-SalesData[[#This Row],[Cost]]</f>
        <v>2140</v>
      </c>
      <c r="Q609" s="13">
        <f>IFERROR(SalesData[[#This Row],[Profit]]/SalesData[[#This Row],[Sales]],0)</f>
        <v>0.4331983805668016</v>
      </c>
      <c r="R609" t="str">
        <f>TEXT(SalesData[[#This Row],[Order Date]],"mmm-yyyy")</f>
        <v>Apr-2026</v>
      </c>
      <c r="S609">
        <f>YEAR(SalesData[[#This Row],[Order Date]])</f>
        <v>2026</v>
      </c>
      <c r="T609" t="str">
        <f>IF(SalesData[[#This Row],[Profit Margin]]&gt;=30%,"High",IF(SalesData[[#This Row],[Profit Margin]]&gt;=15%,"Medium","Low"))</f>
        <v>High</v>
      </c>
    </row>
    <row r="610" spans="1:20" x14ac:dyDescent="0.35">
      <c r="A610" t="s">
        <v>1076</v>
      </c>
      <c r="B610" s="23" t="s">
        <v>1074</v>
      </c>
      <c r="C610" t="s">
        <v>82</v>
      </c>
      <c r="D610" t="s">
        <v>25</v>
      </c>
      <c r="E610" t="s">
        <v>89</v>
      </c>
      <c r="F610" t="s">
        <v>37</v>
      </c>
      <c r="G610" t="s">
        <v>73</v>
      </c>
      <c r="H610" t="s">
        <v>39</v>
      </c>
      <c r="I610">
        <v>2</v>
      </c>
      <c r="J610" s="4">
        <v>550</v>
      </c>
      <c r="K610" s="6">
        <v>0</v>
      </c>
      <c r="L610" s="8">
        <v>1100</v>
      </c>
      <c r="M610" s="8">
        <v>600</v>
      </c>
      <c r="N610" s="8">
        <v>500</v>
      </c>
      <c r="O610" s="8">
        <f>SalesData[[#This Row],[Quantity]]*SalesData[[#This Row],[Unit Price]]*(1-SalesData[[#This Row],[Discount]])</f>
        <v>1100</v>
      </c>
      <c r="P610" s="8">
        <f>SalesData[[#This Row],[Sales_Check]]-SalesData[[#This Row],[Cost]]</f>
        <v>500</v>
      </c>
      <c r="Q610" s="13">
        <f>IFERROR(SalesData[[#This Row],[Profit]]/SalesData[[#This Row],[Sales]],0)</f>
        <v>0.45454545454545453</v>
      </c>
      <c r="R610" t="str">
        <f>TEXT(SalesData[[#This Row],[Order Date]],"mmm-yyyy")</f>
        <v>Apr-2026</v>
      </c>
      <c r="S610">
        <f>YEAR(SalesData[[#This Row],[Order Date]])</f>
        <v>2026</v>
      </c>
      <c r="T610" t="str">
        <f>IF(SalesData[[#This Row],[Profit Margin]]&gt;=30%,"High",IF(SalesData[[#This Row],[Profit Margin]]&gt;=15%,"Medium","Low"))</f>
        <v>High</v>
      </c>
    </row>
    <row r="611" spans="1:20" x14ac:dyDescent="0.35">
      <c r="A611" t="s">
        <v>1077</v>
      </c>
      <c r="B611" s="23" t="s">
        <v>1078</v>
      </c>
      <c r="C611" t="s">
        <v>830</v>
      </c>
      <c r="D611" t="s">
        <v>43</v>
      </c>
      <c r="E611" t="s">
        <v>169</v>
      </c>
      <c r="F611" t="s">
        <v>27</v>
      </c>
      <c r="G611" t="s">
        <v>51</v>
      </c>
      <c r="H611" t="s">
        <v>33</v>
      </c>
      <c r="I611">
        <v>7</v>
      </c>
      <c r="J611" s="4">
        <v>350</v>
      </c>
      <c r="K611" s="6">
        <v>0.15</v>
      </c>
      <c r="L611" s="8">
        <v>2082.5</v>
      </c>
      <c r="M611" s="8">
        <v>1190</v>
      </c>
      <c r="N611" s="8">
        <v>892.5</v>
      </c>
      <c r="O611" s="8">
        <f>SalesData[[#This Row],[Quantity]]*SalesData[[#This Row],[Unit Price]]*(1-SalesData[[#This Row],[Discount]])</f>
        <v>2082.5</v>
      </c>
      <c r="P611" s="8">
        <f>SalesData[[#This Row],[Sales_Check]]-SalesData[[#This Row],[Cost]]</f>
        <v>892.5</v>
      </c>
      <c r="Q611" s="13">
        <f>IFERROR(SalesData[[#This Row],[Profit]]/SalesData[[#This Row],[Sales]],0)</f>
        <v>0.42857142857142855</v>
      </c>
      <c r="R611" t="str">
        <f>TEXT(SalesData[[#This Row],[Order Date]],"mmm-yyyy")</f>
        <v>Apr-2026</v>
      </c>
      <c r="S611">
        <f>YEAR(SalesData[[#This Row],[Order Date]])</f>
        <v>2026</v>
      </c>
      <c r="T611" t="str">
        <f>IF(SalesData[[#This Row],[Profit Margin]]&gt;=30%,"High",IF(SalesData[[#This Row],[Profit Margin]]&gt;=15%,"Medium","Low"))</f>
        <v>High</v>
      </c>
    </row>
    <row r="612" spans="1:20" x14ac:dyDescent="0.35">
      <c r="A612" t="s">
        <v>1079</v>
      </c>
      <c r="B612" s="23" t="s">
        <v>1080</v>
      </c>
      <c r="C612" t="s">
        <v>1081</v>
      </c>
      <c r="D612" t="s">
        <v>43</v>
      </c>
      <c r="E612" t="s">
        <v>62</v>
      </c>
      <c r="F612" t="s">
        <v>27</v>
      </c>
      <c r="G612" t="s">
        <v>28</v>
      </c>
      <c r="H612" t="s">
        <v>47</v>
      </c>
      <c r="I612">
        <v>6</v>
      </c>
      <c r="J612" s="4">
        <v>500</v>
      </c>
      <c r="K612" s="6">
        <v>0</v>
      </c>
      <c r="L612" s="8">
        <v>3000</v>
      </c>
      <c r="M612" s="8">
        <v>1680</v>
      </c>
      <c r="N612" s="8">
        <v>1320</v>
      </c>
      <c r="O612" s="8">
        <f>SalesData[[#This Row],[Quantity]]*SalesData[[#This Row],[Unit Price]]*(1-SalesData[[#This Row],[Discount]])</f>
        <v>3000</v>
      </c>
      <c r="P612" s="8">
        <f>SalesData[[#This Row],[Sales_Check]]-SalesData[[#This Row],[Cost]]</f>
        <v>1320</v>
      </c>
      <c r="Q612" s="13">
        <f>IFERROR(SalesData[[#This Row],[Profit]]/SalesData[[#This Row],[Sales]],0)</f>
        <v>0.44</v>
      </c>
      <c r="R612" t="str">
        <f>TEXT(SalesData[[#This Row],[Order Date]],"mmm-yyyy")</f>
        <v>Apr-2026</v>
      </c>
      <c r="S612">
        <f>YEAR(SalesData[[#This Row],[Order Date]])</f>
        <v>2026</v>
      </c>
      <c r="T612" t="str">
        <f>IF(SalesData[[#This Row],[Profit Margin]]&gt;=30%,"High",IF(SalesData[[#This Row],[Profit Margin]]&gt;=15%,"Medium","Low"))</f>
        <v>High</v>
      </c>
    </row>
    <row r="613" spans="1:20" x14ac:dyDescent="0.35">
      <c r="A613" t="s">
        <v>1082</v>
      </c>
      <c r="B613" s="23" t="s">
        <v>1080</v>
      </c>
      <c r="C613" t="s">
        <v>234</v>
      </c>
      <c r="D613" t="s">
        <v>43</v>
      </c>
      <c r="E613" t="s">
        <v>169</v>
      </c>
      <c r="F613" t="s">
        <v>37</v>
      </c>
      <c r="G613" t="s">
        <v>140</v>
      </c>
      <c r="H613" t="s">
        <v>125</v>
      </c>
      <c r="I613">
        <v>1</v>
      </c>
      <c r="J613" s="4">
        <v>350</v>
      </c>
      <c r="K613" s="6">
        <v>0.05</v>
      </c>
      <c r="L613" s="8">
        <v>332.5</v>
      </c>
      <c r="M613" s="8">
        <v>170</v>
      </c>
      <c r="N613" s="8">
        <v>162.5</v>
      </c>
      <c r="O613" s="8">
        <f>SalesData[[#This Row],[Quantity]]*SalesData[[#This Row],[Unit Price]]*(1-SalesData[[#This Row],[Discount]])</f>
        <v>332.5</v>
      </c>
      <c r="P613" s="8">
        <f>SalesData[[#This Row],[Sales_Check]]-SalesData[[#This Row],[Cost]]</f>
        <v>162.5</v>
      </c>
      <c r="Q613" s="13">
        <f>IFERROR(SalesData[[#This Row],[Profit]]/SalesData[[#This Row],[Sales]],0)</f>
        <v>0.48872180451127817</v>
      </c>
      <c r="R613" t="str">
        <f>TEXT(SalesData[[#This Row],[Order Date]],"mmm-yyyy")</f>
        <v>Apr-2026</v>
      </c>
      <c r="S613">
        <f>YEAR(SalesData[[#This Row],[Order Date]])</f>
        <v>2026</v>
      </c>
      <c r="T613" t="str">
        <f>IF(SalesData[[#This Row],[Profit Margin]]&gt;=30%,"High",IF(SalesData[[#This Row],[Profit Margin]]&gt;=15%,"Medium","Low"))</f>
        <v>High</v>
      </c>
    </row>
    <row r="614" spans="1:20" x14ac:dyDescent="0.35">
      <c r="A614" t="s">
        <v>1083</v>
      </c>
      <c r="B614" s="23" t="s">
        <v>1080</v>
      </c>
      <c r="C614" t="s">
        <v>364</v>
      </c>
      <c r="D614" t="s">
        <v>54</v>
      </c>
      <c r="E614" t="s">
        <v>116</v>
      </c>
      <c r="F614" t="s">
        <v>45</v>
      </c>
      <c r="G614" t="s">
        <v>70</v>
      </c>
      <c r="H614" t="s">
        <v>39</v>
      </c>
      <c r="I614">
        <v>9</v>
      </c>
      <c r="J614" s="4">
        <v>450</v>
      </c>
      <c r="K614" s="6">
        <v>0.05</v>
      </c>
      <c r="L614" s="8">
        <v>3847.5</v>
      </c>
      <c r="M614" s="8">
        <v>2250</v>
      </c>
      <c r="N614" s="8">
        <v>1597.5</v>
      </c>
      <c r="O614" s="8">
        <f>SalesData[[#This Row],[Quantity]]*SalesData[[#This Row],[Unit Price]]*(1-SalesData[[#This Row],[Discount]])</f>
        <v>3847.5</v>
      </c>
      <c r="P614" s="8">
        <f>SalesData[[#This Row],[Sales_Check]]-SalesData[[#This Row],[Cost]]</f>
        <v>1597.5</v>
      </c>
      <c r="Q614" s="13">
        <f>IFERROR(SalesData[[#This Row],[Profit]]/SalesData[[#This Row],[Sales]],0)</f>
        <v>0.41520467836257308</v>
      </c>
      <c r="R614" t="str">
        <f>TEXT(SalesData[[#This Row],[Order Date]],"mmm-yyyy")</f>
        <v>Apr-2026</v>
      </c>
      <c r="S614">
        <f>YEAR(SalesData[[#This Row],[Order Date]])</f>
        <v>2026</v>
      </c>
      <c r="T614" t="str">
        <f>IF(SalesData[[#This Row],[Profit Margin]]&gt;=30%,"High",IF(SalesData[[#This Row],[Profit Margin]]&gt;=15%,"Medium","Low"))</f>
        <v>High</v>
      </c>
    </row>
    <row r="615" spans="1:20" x14ac:dyDescent="0.35">
      <c r="A615" t="s">
        <v>1084</v>
      </c>
      <c r="B615" s="23" t="s">
        <v>1085</v>
      </c>
      <c r="C615" t="s">
        <v>102</v>
      </c>
      <c r="D615" t="s">
        <v>17</v>
      </c>
      <c r="E615" t="s">
        <v>65</v>
      </c>
      <c r="F615" t="s">
        <v>45</v>
      </c>
      <c r="G615" t="s">
        <v>70</v>
      </c>
      <c r="H615" t="s">
        <v>29</v>
      </c>
      <c r="I615">
        <v>6</v>
      </c>
      <c r="J615" s="4">
        <v>2200</v>
      </c>
      <c r="K615" s="6">
        <v>0</v>
      </c>
      <c r="L615" s="8">
        <v>13200</v>
      </c>
      <c r="M615" s="8">
        <v>8400</v>
      </c>
      <c r="N615" s="8">
        <v>4800</v>
      </c>
      <c r="O615" s="8">
        <f>SalesData[[#This Row],[Quantity]]*SalesData[[#This Row],[Unit Price]]*(1-SalesData[[#This Row],[Discount]])</f>
        <v>13200</v>
      </c>
      <c r="P615" s="8">
        <f>SalesData[[#This Row],[Sales_Check]]-SalesData[[#This Row],[Cost]]</f>
        <v>4800</v>
      </c>
      <c r="Q615" s="13">
        <f>IFERROR(SalesData[[#This Row],[Profit]]/SalesData[[#This Row],[Sales]],0)</f>
        <v>0.36363636363636365</v>
      </c>
      <c r="R615" t="str">
        <f>TEXT(SalesData[[#This Row],[Order Date]],"mmm-yyyy")</f>
        <v>Apr-2026</v>
      </c>
      <c r="S615">
        <f>YEAR(SalesData[[#This Row],[Order Date]])</f>
        <v>2026</v>
      </c>
      <c r="T615" t="str">
        <f>IF(SalesData[[#This Row],[Profit Margin]]&gt;=30%,"High",IF(SalesData[[#This Row],[Profit Margin]]&gt;=15%,"Medium","Low"))</f>
        <v>High</v>
      </c>
    </row>
    <row r="616" spans="1:20" x14ac:dyDescent="0.35">
      <c r="A616" t="s">
        <v>1086</v>
      </c>
      <c r="B616" s="23" t="s">
        <v>1085</v>
      </c>
      <c r="C616" t="s">
        <v>1013</v>
      </c>
      <c r="D616" t="s">
        <v>54</v>
      </c>
      <c r="E616" t="s">
        <v>55</v>
      </c>
      <c r="F616" t="s">
        <v>19</v>
      </c>
      <c r="G616" t="s">
        <v>20</v>
      </c>
      <c r="H616" t="s">
        <v>39</v>
      </c>
      <c r="I616">
        <v>4</v>
      </c>
      <c r="J616" s="4">
        <v>180</v>
      </c>
      <c r="K616" s="6">
        <v>0</v>
      </c>
      <c r="L616" s="8">
        <v>720</v>
      </c>
      <c r="M616" s="8">
        <v>360</v>
      </c>
      <c r="N616" s="8">
        <v>360</v>
      </c>
      <c r="O616" s="8">
        <f>SalesData[[#This Row],[Quantity]]*SalesData[[#This Row],[Unit Price]]*(1-SalesData[[#This Row],[Discount]])</f>
        <v>720</v>
      </c>
      <c r="P616" s="8">
        <f>SalesData[[#This Row],[Sales_Check]]-SalesData[[#This Row],[Cost]]</f>
        <v>360</v>
      </c>
      <c r="Q616" s="13">
        <f>IFERROR(SalesData[[#This Row],[Profit]]/SalesData[[#This Row],[Sales]],0)</f>
        <v>0.5</v>
      </c>
      <c r="R616" t="str">
        <f>TEXT(SalesData[[#This Row],[Order Date]],"mmm-yyyy")</f>
        <v>Apr-2026</v>
      </c>
      <c r="S616">
        <f>YEAR(SalesData[[#This Row],[Order Date]])</f>
        <v>2026</v>
      </c>
      <c r="T616" t="str">
        <f>IF(SalesData[[#This Row],[Profit Margin]]&gt;=30%,"High",IF(SalesData[[#This Row],[Profit Margin]]&gt;=15%,"Medium","Low"))</f>
        <v>High</v>
      </c>
    </row>
    <row r="617" spans="1:20" x14ac:dyDescent="0.35">
      <c r="A617" t="s">
        <v>1087</v>
      </c>
      <c r="B617" s="23" t="s">
        <v>1088</v>
      </c>
      <c r="C617" t="s">
        <v>88</v>
      </c>
      <c r="D617" t="s">
        <v>25</v>
      </c>
      <c r="E617" t="s">
        <v>69</v>
      </c>
      <c r="F617" t="s">
        <v>27</v>
      </c>
      <c r="G617" t="s">
        <v>51</v>
      </c>
      <c r="H617" t="s">
        <v>47</v>
      </c>
      <c r="I617">
        <v>6</v>
      </c>
      <c r="J617" s="4">
        <v>350</v>
      </c>
      <c r="K617" s="6">
        <v>0</v>
      </c>
      <c r="L617" s="8">
        <v>2100</v>
      </c>
      <c r="M617" s="8">
        <v>1080</v>
      </c>
      <c r="N617" s="8">
        <v>1020</v>
      </c>
      <c r="O617" s="8">
        <f>SalesData[[#This Row],[Quantity]]*SalesData[[#This Row],[Unit Price]]*(1-SalesData[[#This Row],[Discount]])</f>
        <v>2100</v>
      </c>
      <c r="P617" s="8">
        <f>SalesData[[#This Row],[Sales_Check]]-SalesData[[#This Row],[Cost]]</f>
        <v>1020</v>
      </c>
      <c r="Q617" s="13">
        <f>IFERROR(SalesData[[#This Row],[Profit]]/SalesData[[#This Row],[Sales]],0)</f>
        <v>0.48571428571428571</v>
      </c>
      <c r="R617" t="str">
        <f>TEXT(SalesData[[#This Row],[Order Date]],"mmm-yyyy")</f>
        <v>Apr-2026</v>
      </c>
      <c r="S617">
        <f>YEAR(SalesData[[#This Row],[Order Date]])</f>
        <v>2026</v>
      </c>
      <c r="T617" t="str">
        <f>IF(SalesData[[#This Row],[Profit Margin]]&gt;=30%,"High",IF(SalesData[[#This Row],[Profit Margin]]&gt;=15%,"Medium","Low"))</f>
        <v>High</v>
      </c>
    </row>
    <row r="618" spans="1:20" x14ac:dyDescent="0.35">
      <c r="A618" t="s">
        <v>1089</v>
      </c>
      <c r="B618" s="23" t="s">
        <v>1088</v>
      </c>
      <c r="C618" t="s">
        <v>670</v>
      </c>
      <c r="D618" t="s">
        <v>43</v>
      </c>
      <c r="E618" t="s">
        <v>62</v>
      </c>
      <c r="F618" t="s">
        <v>45</v>
      </c>
      <c r="G618" t="s">
        <v>104</v>
      </c>
      <c r="H618" t="s">
        <v>125</v>
      </c>
      <c r="I618">
        <v>6</v>
      </c>
      <c r="J618" s="4">
        <v>500</v>
      </c>
      <c r="K618" s="6">
        <v>0</v>
      </c>
      <c r="L618" s="8">
        <v>3000</v>
      </c>
      <c r="M618" s="8">
        <v>1680</v>
      </c>
      <c r="N618" s="8">
        <v>1320</v>
      </c>
      <c r="O618" s="8">
        <f>SalesData[[#This Row],[Quantity]]*SalesData[[#This Row],[Unit Price]]*(1-SalesData[[#This Row],[Discount]])</f>
        <v>3000</v>
      </c>
      <c r="P618" s="8">
        <f>SalesData[[#This Row],[Sales_Check]]-SalesData[[#This Row],[Cost]]</f>
        <v>1320</v>
      </c>
      <c r="Q618" s="13">
        <f>IFERROR(SalesData[[#This Row],[Profit]]/SalesData[[#This Row],[Sales]],0)</f>
        <v>0.44</v>
      </c>
      <c r="R618" t="str">
        <f>TEXT(SalesData[[#This Row],[Order Date]],"mmm-yyyy")</f>
        <v>Apr-2026</v>
      </c>
      <c r="S618">
        <f>YEAR(SalesData[[#This Row],[Order Date]])</f>
        <v>2026</v>
      </c>
      <c r="T618" t="str">
        <f>IF(SalesData[[#This Row],[Profit Margin]]&gt;=30%,"High",IF(SalesData[[#This Row],[Profit Margin]]&gt;=15%,"Medium","Low"))</f>
        <v>High</v>
      </c>
    </row>
    <row r="619" spans="1:20" x14ac:dyDescent="0.35">
      <c r="A619" t="s">
        <v>1090</v>
      </c>
      <c r="B619" s="23" t="s">
        <v>1088</v>
      </c>
      <c r="C619" t="s">
        <v>178</v>
      </c>
      <c r="D619" t="s">
        <v>54</v>
      </c>
      <c r="E619" t="s">
        <v>110</v>
      </c>
      <c r="F619" t="s">
        <v>37</v>
      </c>
      <c r="G619" t="s">
        <v>140</v>
      </c>
      <c r="H619" t="s">
        <v>39</v>
      </c>
      <c r="I619">
        <v>3</v>
      </c>
      <c r="J619" s="4">
        <v>280</v>
      </c>
      <c r="K619" s="6">
        <v>0.05</v>
      </c>
      <c r="L619" s="8">
        <v>798</v>
      </c>
      <c r="M619" s="8">
        <v>450</v>
      </c>
      <c r="N619" s="8">
        <v>348</v>
      </c>
      <c r="O619" s="8">
        <f>SalesData[[#This Row],[Quantity]]*SalesData[[#This Row],[Unit Price]]*(1-SalesData[[#This Row],[Discount]])</f>
        <v>798</v>
      </c>
      <c r="P619" s="8">
        <f>SalesData[[#This Row],[Sales_Check]]-SalesData[[#This Row],[Cost]]</f>
        <v>348</v>
      </c>
      <c r="Q619" s="13">
        <f>IFERROR(SalesData[[#This Row],[Profit]]/SalesData[[#This Row],[Sales]],0)</f>
        <v>0.43609022556390975</v>
      </c>
      <c r="R619" t="str">
        <f>TEXT(SalesData[[#This Row],[Order Date]],"mmm-yyyy")</f>
        <v>Apr-2026</v>
      </c>
      <c r="S619">
        <f>YEAR(SalesData[[#This Row],[Order Date]])</f>
        <v>2026</v>
      </c>
      <c r="T619" t="str">
        <f>IF(SalesData[[#This Row],[Profit Margin]]&gt;=30%,"High",IF(SalesData[[#This Row],[Profit Margin]]&gt;=15%,"Medium","Low"))</f>
        <v>High</v>
      </c>
    </row>
    <row r="620" spans="1:20" x14ac:dyDescent="0.35">
      <c r="A620" t="s">
        <v>1091</v>
      </c>
      <c r="B620" s="23" t="s">
        <v>1088</v>
      </c>
      <c r="C620" t="s">
        <v>234</v>
      </c>
      <c r="D620" t="s">
        <v>25</v>
      </c>
      <c r="E620" t="s">
        <v>26</v>
      </c>
      <c r="F620" t="s">
        <v>45</v>
      </c>
      <c r="G620" t="s">
        <v>70</v>
      </c>
      <c r="H620" t="s">
        <v>39</v>
      </c>
      <c r="I620">
        <v>4</v>
      </c>
      <c r="J620" s="4">
        <v>600</v>
      </c>
      <c r="K620" s="6">
        <v>0</v>
      </c>
      <c r="L620" s="8">
        <v>2400</v>
      </c>
      <c r="M620" s="8">
        <v>1320</v>
      </c>
      <c r="N620" s="8">
        <v>1080</v>
      </c>
      <c r="O620" s="8">
        <f>SalesData[[#This Row],[Quantity]]*SalesData[[#This Row],[Unit Price]]*(1-SalesData[[#This Row],[Discount]])</f>
        <v>2400</v>
      </c>
      <c r="P620" s="8">
        <f>SalesData[[#This Row],[Sales_Check]]-SalesData[[#This Row],[Cost]]</f>
        <v>1080</v>
      </c>
      <c r="Q620" s="13">
        <f>IFERROR(SalesData[[#This Row],[Profit]]/SalesData[[#This Row],[Sales]],0)</f>
        <v>0.45</v>
      </c>
      <c r="R620" t="str">
        <f>TEXT(SalesData[[#This Row],[Order Date]],"mmm-yyyy")</f>
        <v>Apr-2026</v>
      </c>
      <c r="S620">
        <f>YEAR(SalesData[[#This Row],[Order Date]])</f>
        <v>2026</v>
      </c>
      <c r="T620" t="str">
        <f>IF(SalesData[[#This Row],[Profit Margin]]&gt;=30%,"High",IF(SalesData[[#This Row],[Profit Margin]]&gt;=15%,"Medium","Low"))</f>
        <v>High</v>
      </c>
    </row>
    <row r="621" spans="1:20" x14ac:dyDescent="0.35">
      <c r="A621" t="s">
        <v>1092</v>
      </c>
      <c r="B621" s="23" t="s">
        <v>1093</v>
      </c>
      <c r="C621" t="s">
        <v>158</v>
      </c>
      <c r="D621" t="s">
        <v>54</v>
      </c>
      <c r="E621" t="s">
        <v>110</v>
      </c>
      <c r="F621" t="s">
        <v>27</v>
      </c>
      <c r="G621" t="s">
        <v>28</v>
      </c>
      <c r="H621" t="s">
        <v>33</v>
      </c>
      <c r="I621">
        <v>6</v>
      </c>
      <c r="J621" s="4">
        <v>280</v>
      </c>
      <c r="K621" s="6">
        <v>0.1</v>
      </c>
      <c r="L621" s="8">
        <v>1512</v>
      </c>
      <c r="M621" s="8">
        <v>900</v>
      </c>
      <c r="N621" s="8">
        <v>612</v>
      </c>
      <c r="O621" s="8">
        <f>SalesData[[#This Row],[Quantity]]*SalesData[[#This Row],[Unit Price]]*(1-SalesData[[#This Row],[Discount]])</f>
        <v>1512</v>
      </c>
      <c r="P621" s="8">
        <f>SalesData[[#This Row],[Sales_Check]]-SalesData[[#This Row],[Cost]]</f>
        <v>612</v>
      </c>
      <c r="Q621" s="13">
        <f>IFERROR(SalesData[[#This Row],[Profit]]/SalesData[[#This Row],[Sales]],0)</f>
        <v>0.40476190476190477</v>
      </c>
      <c r="R621" t="str">
        <f>TEXT(SalesData[[#This Row],[Order Date]],"mmm-yyyy")</f>
        <v>Apr-2026</v>
      </c>
      <c r="S621">
        <f>YEAR(SalesData[[#This Row],[Order Date]])</f>
        <v>2026</v>
      </c>
      <c r="T621" t="str">
        <f>IF(SalesData[[#This Row],[Profit Margin]]&gt;=30%,"High",IF(SalesData[[#This Row],[Profit Margin]]&gt;=15%,"Medium","Low"))</f>
        <v>High</v>
      </c>
    </row>
    <row r="622" spans="1:20" x14ac:dyDescent="0.35">
      <c r="A622" t="s">
        <v>1094</v>
      </c>
      <c r="B622" s="23" t="s">
        <v>1093</v>
      </c>
      <c r="C622" t="s">
        <v>412</v>
      </c>
      <c r="D622" t="s">
        <v>54</v>
      </c>
      <c r="E622" t="s">
        <v>107</v>
      </c>
      <c r="F622" t="s">
        <v>37</v>
      </c>
      <c r="G622" t="s">
        <v>140</v>
      </c>
      <c r="H622" t="s">
        <v>125</v>
      </c>
      <c r="I622">
        <v>4</v>
      </c>
      <c r="J622" s="4">
        <v>120</v>
      </c>
      <c r="K622" s="6">
        <v>0</v>
      </c>
      <c r="L622" s="8">
        <v>480</v>
      </c>
      <c r="M622" s="8">
        <v>220</v>
      </c>
      <c r="N622" s="8">
        <v>260</v>
      </c>
      <c r="O622" s="8">
        <f>SalesData[[#This Row],[Quantity]]*SalesData[[#This Row],[Unit Price]]*(1-SalesData[[#This Row],[Discount]])</f>
        <v>480</v>
      </c>
      <c r="P622" s="8">
        <f>SalesData[[#This Row],[Sales_Check]]-SalesData[[#This Row],[Cost]]</f>
        <v>260</v>
      </c>
      <c r="Q622" s="13">
        <f>IFERROR(SalesData[[#This Row],[Profit]]/SalesData[[#This Row],[Sales]],0)</f>
        <v>0.54166666666666663</v>
      </c>
      <c r="R622" t="str">
        <f>TEXT(SalesData[[#This Row],[Order Date]],"mmm-yyyy")</f>
        <v>Apr-2026</v>
      </c>
      <c r="S622">
        <f>YEAR(SalesData[[#This Row],[Order Date]])</f>
        <v>2026</v>
      </c>
      <c r="T622" t="str">
        <f>IF(SalesData[[#This Row],[Profit Margin]]&gt;=30%,"High",IF(SalesData[[#This Row],[Profit Margin]]&gt;=15%,"Medium","Low"))</f>
        <v>High</v>
      </c>
    </row>
    <row r="623" spans="1:20" x14ac:dyDescent="0.35">
      <c r="A623" t="s">
        <v>1095</v>
      </c>
      <c r="B623" s="23" t="s">
        <v>1096</v>
      </c>
      <c r="C623" t="s">
        <v>248</v>
      </c>
      <c r="D623" t="s">
        <v>25</v>
      </c>
      <c r="E623" t="s">
        <v>89</v>
      </c>
      <c r="F623" t="s">
        <v>45</v>
      </c>
      <c r="G623" t="s">
        <v>104</v>
      </c>
      <c r="H623" t="s">
        <v>125</v>
      </c>
      <c r="I623">
        <v>7</v>
      </c>
      <c r="J623" s="4">
        <v>550</v>
      </c>
      <c r="K623" s="6">
        <v>0</v>
      </c>
      <c r="L623" s="8">
        <v>3850</v>
      </c>
      <c r="M623" s="8">
        <v>2100</v>
      </c>
      <c r="N623" s="8">
        <v>1750</v>
      </c>
      <c r="O623" s="8">
        <f>SalesData[[#This Row],[Quantity]]*SalesData[[#This Row],[Unit Price]]*(1-SalesData[[#This Row],[Discount]])</f>
        <v>3850</v>
      </c>
      <c r="P623" s="8">
        <f>SalesData[[#This Row],[Sales_Check]]-SalesData[[#This Row],[Cost]]</f>
        <v>1750</v>
      </c>
      <c r="Q623" s="13">
        <f>IFERROR(SalesData[[#This Row],[Profit]]/SalesData[[#This Row],[Sales]],0)</f>
        <v>0.45454545454545453</v>
      </c>
      <c r="R623" t="str">
        <f>TEXT(SalesData[[#This Row],[Order Date]],"mmm-yyyy")</f>
        <v>Apr-2026</v>
      </c>
      <c r="S623">
        <f>YEAR(SalesData[[#This Row],[Order Date]])</f>
        <v>2026</v>
      </c>
      <c r="T623" t="str">
        <f>IF(SalesData[[#This Row],[Profit Margin]]&gt;=30%,"High",IF(SalesData[[#This Row],[Profit Margin]]&gt;=15%,"Medium","Low"))</f>
        <v>High</v>
      </c>
    </row>
    <row r="624" spans="1:20" x14ac:dyDescent="0.35">
      <c r="A624" t="s">
        <v>1097</v>
      </c>
      <c r="B624" s="23" t="s">
        <v>1096</v>
      </c>
      <c r="C624" t="s">
        <v>412</v>
      </c>
      <c r="D624" t="s">
        <v>43</v>
      </c>
      <c r="E624" t="s">
        <v>44</v>
      </c>
      <c r="F624" t="s">
        <v>27</v>
      </c>
      <c r="G624" t="s">
        <v>90</v>
      </c>
      <c r="H624" t="s">
        <v>21</v>
      </c>
      <c r="I624">
        <v>4</v>
      </c>
      <c r="J624" s="4">
        <v>2200</v>
      </c>
      <c r="K624" s="6">
        <v>0.05</v>
      </c>
      <c r="L624" s="8">
        <v>8360</v>
      </c>
      <c r="M624" s="8">
        <v>5800</v>
      </c>
      <c r="N624" s="8">
        <v>2560</v>
      </c>
      <c r="O624" s="8">
        <f>SalesData[[#This Row],[Quantity]]*SalesData[[#This Row],[Unit Price]]*(1-SalesData[[#This Row],[Discount]])</f>
        <v>8360</v>
      </c>
      <c r="P624" s="8">
        <f>SalesData[[#This Row],[Sales_Check]]-SalesData[[#This Row],[Cost]]</f>
        <v>2560</v>
      </c>
      <c r="Q624" s="13">
        <f>IFERROR(SalesData[[#This Row],[Profit]]/SalesData[[#This Row],[Sales]],0)</f>
        <v>0.30622009569377989</v>
      </c>
      <c r="R624" t="str">
        <f>TEXT(SalesData[[#This Row],[Order Date]],"mmm-yyyy")</f>
        <v>Apr-2026</v>
      </c>
      <c r="S624">
        <f>YEAR(SalesData[[#This Row],[Order Date]])</f>
        <v>2026</v>
      </c>
      <c r="T624" t="str">
        <f>IF(SalesData[[#This Row],[Profit Margin]]&gt;=30%,"High",IF(SalesData[[#This Row],[Profit Margin]]&gt;=15%,"Medium","Low"))</f>
        <v>High</v>
      </c>
    </row>
    <row r="625" spans="1:20" x14ac:dyDescent="0.35">
      <c r="A625" t="s">
        <v>1098</v>
      </c>
      <c r="B625" s="23" t="s">
        <v>1099</v>
      </c>
      <c r="C625" t="s">
        <v>79</v>
      </c>
      <c r="D625" t="s">
        <v>25</v>
      </c>
      <c r="E625" t="s">
        <v>26</v>
      </c>
      <c r="F625" t="s">
        <v>45</v>
      </c>
      <c r="G625" t="s">
        <v>122</v>
      </c>
      <c r="H625" t="s">
        <v>21</v>
      </c>
      <c r="I625">
        <v>3</v>
      </c>
      <c r="J625" s="4">
        <v>600</v>
      </c>
      <c r="K625" s="6">
        <v>0.15</v>
      </c>
      <c r="L625" s="8">
        <v>1530</v>
      </c>
      <c r="M625" s="8">
        <v>990</v>
      </c>
      <c r="N625" s="8">
        <v>540</v>
      </c>
      <c r="O625" s="8">
        <f>SalesData[[#This Row],[Quantity]]*SalesData[[#This Row],[Unit Price]]*(1-SalesData[[#This Row],[Discount]])</f>
        <v>1530</v>
      </c>
      <c r="P625" s="8">
        <f>SalesData[[#This Row],[Sales_Check]]-SalesData[[#This Row],[Cost]]</f>
        <v>540</v>
      </c>
      <c r="Q625" s="13">
        <f>IFERROR(SalesData[[#This Row],[Profit]]/SalesData[[#This Row],[Sales]],0)</f>
        <v>0.35294117647058826</v>
      </c>
      <c r="R625" t="str">
        <f>TEXT(SalesData[[#This Row],[Order Date]],"mmm-yyyy")</f>
        <v>Apr-2026</v>
      </c>
      <c r="S625">
        <f>YEAR(SalesData[[#This Row],[Order Date]])</f>
        <v>2026</v>
      </c>
      <c r="T625" t="str">
        <f>IF(SalesData[[#This Row],[Profit Margin]]&gt;=30%,"High",IF(SalesData[[#This Row],[Profit Margin]]&gt;=15%,"Medium","Low"))</f>
        <v>High</v>
      </c>
    </row>
    <row r="626" spans="1:20" x14ac:dyDescent="0.35">
      <c r="A626" t="s">
        <v>1100</v>
      </c>
      <c r="B626" s="23" t="s">
        <v>1099</v>
      </c>
      <c r="C626" t="s">
        <v>392</v>
      </c>
      <c r="D626" t="s">
        <v>25</v>
      </c>
      <c r="E626" t="s">
        <v>69</v>
      </c>
      <c r="F626" t="s">
        <v>37</v>
      </c>
      <c r="G626" t="s">
        <v>97</v>
      </c>
      <c r="H626" t="s">
        <v>125</v>
      </c>
      <c r="I626">
        <v>10</v>
      </c>
      <c r="J626" s="4">
        <v>350</v>
      </c>
      <c r="K626" s="6">
        <v>0.05</v>
      </c>
      <c r="L626" s="8">
        <v>3325</v>
      </c>
      <c r="M626" s="8">
        <v>1800</v>
      </c>
      <c r="N626" s="8">
        <v>1525</v>
      </c>
      <c r="O626" s="8">
        <f>SalesData[[#This Row],[Quantity]]*SalesData[[#This Row],[Unit Price]]*(1-SalesData[[#This Row],[Discount]])</f>
        <v>3325</v>
      </c>
      <c r="P626" s="8">
        <f>SalesData[[#This Row],[Sales_Check]]-SalesData[[#This Row],[Cost]]</f>
        <v>1525</v>
      </c>
      <c r="Q626" s="13">
        <f>IFERROR(SalesData[[#This Row],[Profit]]/SalesData[[#This Row],[Sales]],0)</f>
        <v>0.45864661654135336</v>
      </c>
      <c r="R626" t="str">
        <f>TEXT(SalesData[[#This Row],[Order Date]],"mmm-yyyy")</f>
        <v>Apr-2026</v>
      </c>
      <c r="S626">
        <f>YEAR(SalesData[[#This Row],[Order Date]])</f>
        <v>2026</v>
      </c>
      <c r="T626" t="str">
        <f>IF(SalesData[[#This Row],[Profit Margin]]&gt;=30%,"High",IF(SalesData[[#This Row],[Profit Margin]]&gt;=15%,"Medium","Low"))</f>
        <v>High</v>
      </c>
    </row>
    <row r="627" spans="1:20" x14ac:dyDescent="0.35">
      <c r="A627" t="s">
        <v>1101</v>
      </c>
      <c r="B627" s="23" t="s">
        <v>1102</v>
      </c>
      <c r="C627" t="s">
        <v>175</v>
      </c>
      <c r="D627" t="s">
        <v>17</v>
      </c>
      <c r="E627" t="s">
        <v>124</v>
      </c>
      <c r="F627" t="s">
        <v>27</v>
      </c>
      <c r="G627" t="s">
        <v>28</v>
      </c>
      <c r="H627" t="s">
        <v>47</v>
      </c>
      <c r="I627">
        <v>6</v>
      </c>
      <c r="J627" s="4">
        <v>1200</v>
      </c>
      <c r="K627" s="6">
        <v>0.05</v>
      </c>
      <c r="L627" s="8">
        <v>6840</v>
      </c>
      <c r="M627" s="8">
        <v>4320</v>
      </c>
      <c r="N627" s="8">
        <v>2520</v>
      </c>
      <c r="O627" s="8">
        <f>SalesData[[#This Row],[Quantity]]*SalesData[[#This Row],[Unit Price]]*(1-SalesData[[#This Row],[Discount]])</f>
        <v>6840</v>
      </c>
      <c r="P627" s="8">
        <f>SalesData[[#This Row],[Sales_Check]]-SalesData[[#This Row],[Cost]]</f>
        <v>2520</v>
      </c>
      <c r="Q627" s="13">
        <f>IFERROR(SalesData[[#This Row],[Profit]]/SalesData[[#This Row],[Sales]],0)</f>
        <v>0.36842105263157893</v>
      </c>
      <c r="R627" t="str">
        <f>TEXT(SalesData[[#This Row],[Order Date]],"mmm-yyyy")</f>
        <v>Apr-2026</v>
      </c>
      <c r="S627">
        <f>YEAR(SalesData[[#This Row],[Order Date]])</f>
        <v>2026</v>
      </c>
      <c r="T627" t="str">
        <f>IF(SalesData[[#This Row],[Profit Margin]]&gt;=30%,"High",IF(SalesData[[#This Row],[Profit Margin]]&gt;=15%,"Medium","Low"))</f>
        <v>High</v>
      </c>
    </row>
    <row r="628" spans="1:20" x14ac:dyDescent="0.35">
      <c r="A628" t="s">
        <v>1103</v>
      </c>
      <c r="B628" s="23" t="s">
        <v>1102</v>
      </c>
      <c r="C628" t="s">
        <v>691</v>
      </c>
      <c r="D628" t="s">
        <v>17</v>
      </c>
      <c r="E628" t="s">
        <v>65</v>
      </c>
      <c r="F628" t="s">
        <v>37</v>
      </c>
      <c r="G628" t="s">
        <v>73</v>
      </c>
      <c r="H628" t="s">
        <v>125</v>
      </c>
      <c r="I628">
        <v>3</v>
      </c>
      <c r="J628" s="4">
        <v>2200</v>
      </c>
      <c r="K628" s="6">
        <v>0</v>
      </c>
      <c r="L628" s="8">
        <v>6600</v>
      </c>
      <c r="M628" s="8">
        <v>4200</v>
      </c>
      <c r="N628" s="8">
        <v>2400</v>
      </c>
      <c r="O628" s="8">
        <f>SalesData[[#This Row],[Quantity]]*SalesData[[#This Row],[Unit Price]]*(1-SalesData[[#This Row],[Discount]])</f>
        <v>6600</v>
      </c>
      <c r="P628" s="8">
        <f>SalesData[[#This Row],[Sales_Check]]-SalesData[[#This Row],[Cost]]</f>
        <v>2400</v>
      </c>
      <c r="Q628" s="13">
        <f>IFERROR(SalesData[[#This Row],[Profit]]/SalesData[[#This Row],[Sales]],0)</f>
        <v>0.36363636363636365</v>
      </c>
      <c r="R628" t="str">
        <f>TEXT(SalesData[[#This Row],[Order Date]],"mmm-yyyy")</f>
        <v>Apr-2026</v>
      </c>
      <c r="S628">
        <f>YEAR(SalesData[[#This Row],[Order Date]])</f>
        <v>2026</v>
      </c>
      <c r="T628" t="str">
        <f>IF(SalesData[[#This Row],[Profit Margin]]&gt;=30%,"High",IF(SalesData[[#This Row],[Profit Margin]]&gt;=15%,"Medium","Low"))</f>
        <v>High</v>
      </c>
    </row>
    <row r="629" spans="1:20" x14ac:dyDescent="0.35">
      <c r="A629" t="s">
        <v>1104</v>
      </c>
      <c r="B629" s="23" t="s">
        <v>1102</v>
      </c>
      <c r="C629" t="s">
        <v>282</v>
      </c>
      <c r="D629" t="s">
        <v>25</v>
      </c>
      <c r="E629" t="s">
        <v>80</v>
      </c>
      <c r="F629" t="s">
        <v>37</v>
      </c>
      <c r="G629" t="s">
        <v>38</v>
      </c>
      <c r="H629" t="s">
        <v>125</v>
      </c>
      <c r="I629">
        <v>5</v>
      </c>
      <c r="J629" s="4">
        <v>950</v>
      </c>
      <c r="K629" s="6">
        <v>0.05</v>
      </c>
      <c r="L629" s="8">
        <v>4512.5</v>
      </c>
      <c r="M629" s="8">
        <v>2800</v>
      </c>
      <c r="N629" s="8">
        <v>1712.5</v>
      </c>
      <c r="O629" s="8">
        <f>SalesData[[#This Row],[Quantity]]*SalesData[[#This Row],[Unit Price]]*(1-SalesData[[#This Row],[Discount]])</f>
        <v>4512.5</v>
      </c>
      <c r="P629" s="8">
        <f>SalesData[[#This Row],[Sales_Check]]-SalesData[[#This Row],[Cost]]</f>
        <v>1712.5</v>
      </c>
      <c r="Q629" s="13">
        <f>IFERROR(SalesData[[#This Row],[Profit]]/SalesData[[#This Row],[Sales]],0)</f>
        <v>0.37950138504155123</v>
      </c>
      <c r="R629" t="str">
        <f>TEXT(SalesData[[#This Row],[Order Date]],"mmm-yyyy")</f>
        <v>Apr-2026</v>
      </c>
      <c r="S629">
        <f>YEAR(SalesData[[#This Row],[Order Date]])</f>
        <v>2026</v>
      </c>
      <c r="T629" t="str">
        <f>IF(SalesData[[#This Row],[Profit Margin]]&gt;=30%,"High",IF(SalesData[[#This Row],[Profit Margin]]&gt;=15%,"Medium","Low"))</f>
        <v>High</v>
      </c>
    </row>
    <row r="630" spans="1:20" x14ac:dyDescent="0.35">
      <c r="A630" t="s">
        <v>1105</v>
      </c>
      <c r="B630" s="23" t="s">
        <v>1102</v>
      </c>
      <c r="C630" t="s">
        <v>653</v>
      </c>
      <c r="D630" t="s">
        <v>54</v>
      </c>
      <c r="E630" t="s">
        <v>116</v>
      </c>
      <c r="F630" t="s">
        <v>19</v>
      </c>
      <c r="G630" t="s">
        <v>56</v>
      </c>
      <c r="H630" t="s">
        <v>29</v>
      </c>
      <c r="I630">
        <v>1</v>
      </c>
      <c r="J630" s="4">
        <v>450</v>
      </c>
      <c r="K630" s="6">
        <v>0</v>
      </c>
      <c r="L630" s="8">
        <v>450</v>
      </c>
      <c r="M630" s="8">
        <v>250</v>
      </c>
      <c r="N630" s="8">
        <v>200</v>
      </c>
      <c r="O630" s="8">
        <f>SalesData[[#This Row],[Quantity]]*SalesData[[#This Row],[Unit Price]]*(1-SalesData[[#This Row],[Discount]])</f>
        <v>450</v>
      </c>
      <c r="P630" s="8">
        <f>SalesData[[#This Row],[Sales_Check]]-SalesData[[#This Row],[Cost]]</f>
        <v>200</v>
      </c>
      <c r="Q630" s="13">
        <f>IFERROR(SalesData[[#This Row],[Profit]]/SalesData[[#This Row],[Sales]],0)</f>
        <v>0.44444444444444442</v>
      </c>
      <c r="R630" t="str">
        <f>TEXT(SalesData[[#This Row],[Order Date]],"mmm-yyyy")</f>
        <v>Apr-2026</v>
      </c>
      <c r="S630">
        <f>YEAR(SalesData[[#This Row],[Order Date]])</f>
        <v>2026</v>
      </c>
      <c r="T630" t="str">
        <f>IF(SalesData[[#This Row],[Profit Margin]]&gt;=30%,"High",IF(SalesData[[#This Row],[Profit Margin]]&gt;=15%,"Medium","Low"))</f>
        <v>High</v>
      </c>
    </row>
    <row r="631" spans="1:20" x14ac:dyDescent="0.35">
      <c r="A631" t="s">
        <v>1106</v>
      </c>
      <c r="B631" s="23" t="s">
        <v>1107</v>
      </c>
      <c r="C631" t="s">
        <v>328</v>
      </c>
      <c r="D631" t="s">
        <v>25</v>
      </c>
      <c r="E631" t="s">
        <v>36</v>
      </c>
      <c r="F631" t="s">
        <v>27</v>
      </c>
      <c r="G631" t="s">
        <v>90</v>
      </c>
      <c r="H631" t="s">
        <v>21</v>
      </c>
      <c r="I631">
        <v>7</v>
      </c>
      <c r="J631" s="4">
        <v>700</v>
      </c>
      <c r="K631" s="6">
        <v>0.05</v>
      </c>
      <c r="L631" s="8">
        <v>4655</v>
      </c>
      <c r="M631" s="8">
        <v>2800</v>
      </c>
      <c r="N631" s="8">
        <v>1855</v>
      </c>
      <c r="O631" s="8">
        <f>SalesData[[#This Row],[Quantity]]*SalesData[[#This Row],[Unit Price]]*(1-SalesData[[#This Row],[Discount]])</f>
        <v>4655</v>
      </c>
      <c r="P631" s="8">
        <f>SalesData[[#This Row],[Sales_Check]]-SalesData[[#This Row],[Cost]]</f>
        <v>1855</v>
      </c>
      <c r="Q631" s="13">
        <f>IFERROR(SalesData[[#This Row],[Profit]]/SalesData[[#This Row],[Sales]],0)</f>
        <v>0.39849624060150374</v>
      </c>
      <c r="R631" t="str">
        <f>TEXT(SalesData[[#This Row],[Order Date]],"mmm-yyyy")</f>
        <v>Apr-2026</v>
      </c>
      <c r="S631">
        <f>YEAR(SalesData[[#This Row],[Order Date]])</f>
        <v>2026</v>
      </c>
      <c r="T631" t="str">
        <f>IF(SalesData[[#This Row],[Profit Margin]]&gt;=30%,"High",IF(SalesData[[#This Row],[Profit Margin]]&gt;=15%,"Medium","Low"))</f>
        <v>High</v>
      </c>
    </row>
    <row r="632" spans="1:20" x14ac:dyDescent="0.35">
      <c r="A632" t="s">
        <v>1108</v>
      </c>
      <c r="B632" s="23" t="s">
        <v>1107</v>
      </c>
      <c r="C632" t="s">
        <v>615</v>
      </c>
      <c r="D632" t="s">
        <v>25</v>
      </c>
      <c r="E632" t="s">
        <v>26</v>
      </c>
      <c r="F632" t="s">
        <v>45</v>
      </c>
      <c r="G632" t="s">
        <v>122</v>
      </c>
      <c r="H632" t="s">
        <v>39</v>
      </c>
      <c r="I632">
        <v>10</v>
      </c>
      <c r="J632" s="4">
        <v>600</v>
      </c>
      <c r="K632" s="6">
        <v>0</v>
      </c>
      <c r="L632" s="8">
        <v>6000</v>
      </c>
      <c r="M632" s="8">
        <v>3300</v>
      </c>
      <c r="N632" s="8">
        <v>2700</v>
      </c>
      <c r="O632" s="8">
        <f>SalesData[[#This Row],[Quantity]]*SalesData[[#This Row],[Unit Price]]*(1-SalesData[[#This Row],[Discount]])</f>
        <v>6000</v>
      </c>
      <c r="P632" s="8">
        <f>SalesData[[#This Row],[Sales_Check]]-SalesData[[#This Row],[Cost]]</f>
        <v>2700</v>
      </c>
      <c r="Q632" s="13">
        <f>IFERROR(SalesData[[#This Row],[Profit]]/SalesData[[#This Row],[Sales]],0)</f>
        <v>0.45</v>
      </c>
      <c r="R632" t="str">
        <f>TEXT(SalesData[[#This Row],[Order Date]],"mmm-yyyy")</f>
        <v>Apr-2026</v>
      </c>
      <c r="S632">
        <f>YEAR(SalesData[[#This Row],[Order Date]])</f>
        <v>2026</v>
      </c>
      <c r="T632" t="str">
        <f>IF(SalesData[[#This Row],[Profit Margin]]&gt;=30%,"High",IF(SalesData[[#This Row],[Profit Margin]]&gt;=15%,"Medium","Low"))</f>
        <v>High</v>
      </c>
    </row>
    <row r="633" spans="1:20" x14ac:dyDescent="0.35">
      <c r="A633" t="s">
        <v>1109</v>
      </c>
      <c r="B633" s="23" t="s">
        <v>1110</v>
      </c>
      <c r="C633" t="s">
        <v>715</v>
      </c>
      <c r="D633" t="s">
        <v>25</v>
      </c>
      <c r="E633" t="s">
        <v>89</v>
      </c>
      <c r="F633" t="s">
        <v>19</v>
      </c>
      <c r="G633" t="s">
        <v>56</v>
      </c>
      <c r="H633" t="s">
        <v>21</v>
      </c>
      <c r="I633">
        <v>2</v>
      </c>
      <c r="J633" s="4">
        <v>550</v>
      </c>
      <c r="K633" s="6">
        <v>0</v>
      </c>
      <c r="L633" s="8">
        <v>1100</v>
      </c>
      <c r="M633" s="8">
        <v>600</v>
      </c>
      <c r="N633" s="8">
        <v>500</v>
      </c>
      <c r="O633" s="8">
        <f>SalesData[[#This Row],[Quantity]]*SalesData[[#This Row],[Unit Price]]*(1-SalesData[[#This Row],[Discount]])</f>
        <v>1100</v>
      </c>
      <c r="P633" s="8">
        <f>SalesData[[#This Row],[Sales_Check]]-SalesData[[#This Row],[Cost]]</f>
        <v>500</v>
      </c>
      <c r="Q633" s="13">
        <f>IFERROR(SalesData[[#This Row],[Profit]]/SalesData[[#This Row],[Sales]],0)</f>
        <v>0.45454545454545453</v>
      </c>
      <c r="R633" t="str">
        <f>TEXT(SalesData[[#This Row],[Order Date]],"mmm-yyyy")</f>
        <v>Apr-2026</v>
      </c>
      <c r="S633">
        <f>YEAR(SalesData[[#This Row],[Order Date]])</f>
        <v>2026</v>
      </c>
      <c r="T633" t="str">
        <f>IF(SalesData[[#This Row],[Profit Margin]]&gt;=30%,"High",IF(SalesData[[#This Row],[Profit Margin]]&gt;=15%,"Medium","Low"))</f>
        <v>High</v>
      </c>
    </row>
    <row r="634" spans="1:20" x14ac:dyDescent="0.35">
      <c r="A634" t="s">
        <v>1111</v>
      </c>
      <c r="B634" s="23" t="s">
        <v>1110</v>
      </c>
      <c r="C634" t="s">
        <v>189</v>
      </c>
      <c r="D634" t="s">
        <v>43</v>
      </c>
      <c r="E634" t="s">
        <v>143</v>
      </c>
      <c r="F634" t="s">
        <v>27</v>
      </c>
      <c r="G634" t="s">
        <v>51</v>
      </c>
      <c r="H634" t="s">
        <v>21</v>
      </c>
      <c r="I634">
        <v>6</v>
      </c>
      <c r="J634" s="4">
        <v>650</v>
      </c>
      <c r="K634" s="6">
        <v>0.05</v>
      </c>
      <c r="L634" s="8">
        <v>3705</v>
      </c>
      <c r="M634" s="8">
        <v>2100</v>
      </c>
      <c r="N634" s="8">
        <v>1605</v>
      </c>
      <c r="O634" s="8">
        <f>SalesData[[#This Row],[Quantity]]*SalesData[[#This Row],[Unit Price]]*(1-SalesData[[#This Row],[Discount]])</f>
        <v>3705</v>
      </c>
      <c r="P634" s="8">
        <f>SalesData[[#This Row],[Sales_Check]]-SalesData[[#This Row],[Cost]]</f>
        <v>1605</v>
      </c>
      <c r="Q634" s="13">
        <f>IFERROR(SalesData[[#This Row],[Profit]]/SalesData[[#This Row],[Sales]],0)</f>
        <v>0.4331983805668016</v>
      </c>
      <c r="R634" t="str">
        <f>TEXT(SalesData[[#This Row],[Order Date]],"mmm-yyyy")</f>
        <v>Apr-2026</v>
      </c>
      <c r="S634">
        <f>YEAR(SalesData[[#This Row],[Order Date]])</f>
        <v>2026</v>
      </c>
      <c r="T634" t="str">
        <f>IF(SalesData[[#This Row],[Profit Margin]]&gt;=30%,"High",IF(SalesData[[#This Row],[Profit Margin]]&gt;=15%,"Medium","Low"))</f>
        <v>High</v>
      </c>
    </row>
    <row r="635" spans="1:20" x14ac:dyDescent="0.35">
      <c r="A635" t="s">
        <v>1112</v>
      </c>
      <c r="B635" s="23" t="s">
        <v>1113</v>
      </c>
      <c r="C635" t="s">
        <v>131</v>
      </c>
      <c r="D635" t="s">
        <v>25</v>
      </c>
      <c r="E635" t="s">
        <v>80</v>
      </c>
      <c r="F635" t="s">
        <v>37</v>
      </c>
      <c r="G635" t="s">
        <v>97</v>
      </c>
      <c r="H635" t="s">
        <v>39</v>
      </c>
      <c r="I635">
        <v>6</v>
      </c>
      <c r="J635" s="4">
        <v>950</v>
      </c>
      <c r="K635" s="6">
        <v>0.05</v>
      </c>
      <c r="L635" s="8">
        <v>5415</v>
      </c>
      <c r="M635" s="8">
        <v>3360</v>
      </c>
      <c r="N635" s="8">
        <v>2055</v>
      </c>
      <c r="O635" s="8">
        <f>SalesData[[#This Row],[Quantity]]*SalesData[[#This Row],[Unit Price]]*(1-SalesData[[#This Row],[Discount]])</f>
        <v>5415</v>
      </c>
      <c r="P635" s="8">
        <f>SalesData[[#This Row],[Sales_Check]]-SalesData[[#This Row],[Cost]]</f>
        <v>2055</v>
      </c>
      <c r="Q635" s="13">
        <f>IFERROR(SalesData[[#This Row],[Profit]]/SalesData[[#This Row],[Sales]],0)</f>
        <v>0.37950138504155123</v>
      </c>
      <c r="R635" t="str">
        <f>TEXT(SalesData[[#This Row],[Order Date]],"mmm-yyyy")</f>
        <v>Apr-2026</v>
      </c>
      <c r="S635">
        <f>YEAR(SalesData[[#This Row],[Order Date]])</f>
        <v>2026</v>
      </c>
      <c r="T635" t="str">
        <f>IF(SalesData[[#This Row],[Profit Margin]]&gt;=30%,"High",IF(SalesData[[#This Row],[Profit Margin]]&gt;=15%,"Medium","Low"))</f>
        <v>High</v>
      </c>
    </row>
    <row r="636" spans="1:20" x14ac:dyDescent="0.35">
      <c r="A636" t="s">
        <v>1114</v>
      </c>
      <c r="B636" s="23" t="s">
        <v>1115</v>
      </c>
      <c r="C636" t="s">
        <v>275</v>
      </c>
      <c r="D636" t="s">
        <v>25</v>
      </c>
      <c r="E636" t="s">
        <v>69</v>
      </c>
      <c r="F636" t="s">
        <v>19</v>
      </c>
      <c r="G636" t="s">
        <v>20</v>
      </c>
      <c r="H636" t="s">
        <v>21</v>
      </c>
      <c r="I636">
        <v>6</v>
      </c>
      <c r="J636" s="4">
        <v>350</v>
      </c>
      <c r="K636" s="6">
        <v>0</v>
      </c>
      <c r="L636" s="8">
        <v>2100</v>
      </c>
      <c r="M636" s="8">
        <v>1080</v>
      </c>
      <c r="N636" s="8">
        <v>1020</v>
      </c>
      <c r="O636" s="8">
        <f>SalesData[[#This Row],[Quantity]]*SalesData[[#This Row],[Unit Price]]*(1-SalesData[[#This Row],[Discount]])</f>
        <v>2100</v>
      </c>
      <c r="P636" s="8">
        <f>SalesData[[#This Row],[Sales_Check]]-SalesData[[#This Row],[Cost]]</f>
        <v>1020</v>
      </c>
      <c r="Q636" s="13">
        <f>IFERROR(SalesData[[#This Row],[Profit]]/SalesData[[#This Row],[Sales]],0)</f>
        <v>0.48571428571428571</v>
      </c>
      <c r="R636" t="str">
        <f>TEXT(SalesData[[#This Row],[Order Date]],"mmm-yyyy")</f>
        <v>Apr-2026</v>
      </c>
      <c r="S636">
        <f>YEAR(SalesData[[#This Row],[Order Date]])</f>
        <v>2026</v>
      </c>
      <c r="T636" t="str">
        <f>IF(SalesData[[#This Row],[Profit Margin]]&gt;=30%,"High",IF(SalesData[[#This Row],[Profit Margin]]&gt;=15%,"Medium","Low"))</f>
        <v>High</v>
      </c>
    </row>
    <row r="637" spans="1:20" x14ac:dyDescent="0.35">
      <c r="A637" t="s">
        <v>1116</v>
      </c>
      <c r="B637" s="23" t="s">
        <v>1115</v>
      </c>
      <c r="C637" t="s">
        <v>53</v>
      </c>
      <c r="D637" t="s">
        <v>43</v>
      </c>
      <c r="E637" t="s">
        <v>62</v>
      </c>
      <c r="F637" t="s">
        <v>19</v>
      </c>
      <c r="G637" t="s">
        <v>113</v>
      </c>
      <c r="H637" t="s">
        <v>125</v>
      </c>
      <c r="I637">
        <v>8</v>
      </c>
      <c r="J637" s="4">
        <v>500</v>
      </c>
      <c r="K637" s="6">
        <v>0</v>
      </c>
      <c r="L637" s="8">
        <v>4000</v>
      </c>
      <c r="M637" s="8">
        <v>2240</v>
      </c>
      <c r="N637" s="8">
        <v>1760</v>
      </c>
      <c r="O637" s="8">
        <f>SalesData[[#This Row],[Quantity]]*SalesData[[#This Row],[Unit Price]]*(1-SalesData[[#This Row],[Discount]])</f>
        <v>4000</v>
      </c>
      <c r="P637" s="8">
        <f>SalesData[[#This Row],[Sales_Check]]-SalesData[[#This Row],[Cost]]</f>
        <v>1760</v>
      </c>
      <c r="Q637" s="13">
        <f>IFERROR(SalesData[[#This Row],[Profit]]/SalesData[[#This Row],[Sales]],0)</f>
        <v>0.44</v>
      </c>
      <c r="R637" t="str">
        <f>TEXT(SalesData[[#This Row],[Order Date]],"mmm-yyyy")</f>
        <v>Apr-2026</v>
      </c>
      <c r="S637">
        <f>YEAR(SalesData[[#This Row],[Order Date]])</f>
        <v>2026</v>
      </c>
      <c r="T637" t="str">
        <f>IF(SalesData[[#This Row],[Profit Margin]]&gt;=30%,"High",IF(SalesData[[#This Row],[Profit Margin]]&gt;=15%,"Medium","Low"))</f>
        <v>High</v>
      </c>
    </row>
    <row r="638" spans="1:20" x14ac:dyDescent="0.35">
      <c r="A638" t="s">
        <v>1117</v>
      </c>
      <c r="B638" s="23" t="s">
        <v>1115</v>
      </c>
      <c r="C638" t="s">
        <v>464</v>
      </c>
      <c r="D638" t="s">
        <v>43</v>
      </c>
      <c r="E638" t="s">
        <v>62</v>
      </c>
      <c r="F638" t="s">
        <v>19</v>
      </c>
      <c r="G638" t="s">
        <v>113</v>
      </c>
      <c r="H638" t="s">
        <v>33</v>
      </c>
      <c r="I638">
        <v>10</v>
      </c>
      <c r="J638" s="4">
        <v>500</v>
      </c>
      <c r="K638" s="6">
        <v>0</v>
      </c>
      <c r="L638" s="8">
        <v>5000</v>
      </c>
      <c r="M638" s="8">
        <v>2800</v>
      </c>
      <c r="N638" s="8">
        <v>2200</v>
      </c>
      <c r="O638" s="8">
        <f>SalesData[[#This Row],[Quantity]]*SalesData[[#This Row],[Unit Price]]*(1-SalesData[[#This Row],[Discount]])</f>
        <v>5000</v>
      </c>
      <c r="P638" s="8">
        <f>SalesData[[#This Row],[Sales_Check]]-SalesData[[#This Row],[Cost]]</f>
        <v>2200</v>
      </c>
      <c r="Q638" s="13">
        <f>IFERROR(SalesData[[#This Row],[Profit]]/SalesData[[#This Row],[Sales]],0)</f>
        <v>0.44</v>
      </c>
      <c r="R638" t="str">
        <f>TEXT(SalesData[[#This Row],[Order Date]],"mmm-yyyy")</f>
        <v>Apr-2026</v>
      </c>
      <c r="S638">
        <f>YEAR(SalesData[[#This Row],[Order Date]])</f>
        <v>2026</v>
      </c>
      <c r="T638" t="str">
        <f>IF(SalesData[[#This Row],[Profit Margin]]&gt;=30%,"High",IF(SalesData[[#This Row],[Profit Margin]]&gt;=15%,"Medium","Low"))</f>
        <v>High</v>
      </c>
    </row>
    <row r="639" spans="1:20" x14ac:dyDescent="0.35">
      <c r="A639" t="s">
        <v>1118</v>
      </c>
      <c r="B639" s="23" t="s">
        <v>1119</v>
      </c>
      <c r="C639" t="s">
        <v>325</v>
      </c>
      <c r="D639" t="s">
        <v>25</v>
      </c>
      <c r="E639" t="s">
        <v>80</v>
      </c>
      <c r="F639" t="s">
        <v>37</v>
      </c>
      <c r="G639" t="s">
        <v>73</v>
      </c>
      <c r="H639" t="s">
        <v>39</v>
      </c>
      <c r="I639">
        <v>4</v>
      </c>
      <c r="J639" s="4">
        <v>950</v>
      </c>
      <c r="K639" s="6">
        <v>0</v>
      </c>
      <c r="L639" s="8">
        <v>3800</v>
      </c>
      <c r="M639" s="8">
        <v>2240</v>
      </c>
      <c r="N639" s="8">
        <v>1560</v>
      </c>
      <c r="O639" s="8">
        <f>SalesData[[#This Row],[Quantity]]*SalesData[[#This Row],[Unit Price]]*(1-SalesData[[#This Row],[Discount]])</f>
        <v>3800</v>
      </c>
      <c r="P639" s="8">
        <f>SalesData[[#This Row],[Sales_Check]]-SalesData[[#This Row],[Cost]]</f>
        <v>1560</v>
      </c>
      <c r="Q639" s="13">
        <f>IFERROR(SalesData[[#This Row],[Profit]]/SalesData[[#This Row],[Sales]],0)</f>
        <v>0.41052631578947368</v>
      </c>
      <c r="R639" t="str">
        <f>TEXT(SalesData[[#This Row],[Order Date]],"mmm-yyyy")</f>
        <v>Apr-2026</v>
      </c>
      <c r="S639">
        <f>YEAR(SalesData[[#This Row],[Order Date]])</f>
        <v>2026</v>
      </c>
      <c r="T639" t="str">
        <f>IF(SalesData[[#This Row],[Profit Margin]]&gt;=30%,"High",IF(SalesData[[#This Row],[Profit Margin]]&gt;=15%,"Medium","Low"))</f>
        <v>High</v>
      </c>
    </row>
    <row r="640" spans="1:20" x14ac:dyDescent="0.35">
      <c r="A640" t="s">
        <v>1120</v>
      </c>
      <c r="B640" s="23" t="s">
        <v>1119</v>
      </c>
      <c r="C640" t="s">
        <v>534</v>
      </c>
      <c r="D640" t="s">
        <v>17</v>
      </c>
      <c r="E640" t="s">
        <v>65</v>
      </c>
      <c r="F640" t="s">
        <v>27</v>
      </c>
      <c r="G640" t="s">
        <v>85</v>
      </c>
      <c r="H640" t="s">
        <v>33</v>
      </c>
      <c r="I640">
        <v>10</v>
      </c>
      <c r="J640" s="4">
        <v>2200</v>
      </c>
      <c r="K640" s="6">
        <v>0.1</v>
      </c>
      <c r="L640" s="8">
        <v>19800</v>
      </c>
      <c r="M640" s="8">
        <v>14000</v>
      </c>
      <c r="N640" s="8">
        <v>5800</v>
      </c>
      <c r="O640" s="8">
        <f>SalesData[[#This Row],[Quantity]]*SalesData[[#This Row],[Unit Price]]*(1-SalesData[[#This Row],[Discount]])</f>
        <v>19800</v>
      </c>
      <c r="P640" s="8">
        <f>SalesData[[#This Row],[Sales_Check]]-SalesData[[#This Row],[Cost]]</f>
        <v>5800</v>
      </c>
      <c r="Q640" s="13">
        <f>IFERROR(SalesData[[#This Row],[Profit]]/SalesData[[#This Row],[Sales]],0)</f>
        <v>0.29292929292929293</v>
      </c>
      <c r="R640" t="str">
        <f>TEXT(SalesData[[#This Row],[Order Date]],"mmm-yyyy")</f>
        <v>Apr-2026</v>
      </c>
      <c r="S640">
        <f>YEAR(SalesData[[#This Row],[Order Date]])</f>
        <v>2026</v>
      </c>
      <c r="T640" t="str">
        <f>IF(SalesData[[#This Row],[Profit Margin]]&gt;=30%,"High",IF(SalesData[[#This Row],[Profit Margin]]&gt;=15%,"Medium","Low"))</f>
        <v>Medium</v>
      </c>
    </row>
    <row r="641" spans="1:20" x14ac:dyDescent="0.35">
      <c r="A641" t="s">
        <v>1121</v>
      </c>
      <c r="B641" s="23" t="s">
        <v>1119</v>
      </c>
      <c r="C641" t="s">
        <v>1122</v>
      </c>
      <c r="D641" t="s">
        <v>17</v>
      </c>
      <c r="E641" t="s">
        <v>18</v>
      </c>
      <c r="F641" t="s">
        <v>45</v>
      </c>
      <c r="G641" t="s">
        <v>70</v>
      </c>
      <c r="H641" t="s">
        <v>29</v>
      </c>
      <c r="I641">
        <v>10</v>
      </c>
      <c r="J641" s="4">
        <v>1800</v>
      </c>
      <c r="K641" s="6">
        <v>0</v>
      </c>
      <c r="L641" s="8">
        <v>18000</v>
      </c>
      <c r="M641" s="8">
        <v>11000</v>
      </c>
      <c r="N641" s="8">
        <v>7000</v>
      </c>
      <c r="O641" s="8">
        <f>SalesData[[#This Row],[Quantity]]*SalesData[[#This Row],[Unit Price]]*(1-SalesData[[#This Row],[Discount]])</f>
        <v>18000</v>
      </c>
      <c r="P641" s="8">
        <f>SalesData[[#This Row],[Sales_Check]]-SalesData[[#This Row],[Cost]]</f>
        <v>7000</v>
      </c>
      <c r="Q641" s="13">
        <f>IFERROR(SalesData[[#This Row],[Profit]]/SalesData[[#This Row],[Sales]],0)</f>
        <v>0.3888888888888889</v>
      </c>
      <c r="R641" t="str">
        <f>TEXT(SalesData[[#This Row],[Order Date]],"mmm-yyyy")</f>
        <v>Apr-2026</v>
      </c>
      <c r="S641">
        <f>YEAR(SalesData[[#This Row],[Order Date]])</f>
        <v>2026</v>
      </c>
      <c r="T641" t="str">
        <f>IF(SalesData[[#This Row],[Profit Margin]]&gt;=30%,"High",IF(SalesData[[#This Row],[Profit Margin]]&gt;=15%,"Medium","Low"))</f>
        <v>High</v>
      </c>
    </row>
    <row r="642" spans="1:20" x14ac:dyDescent="0.35">
      <c r="A642" t="s">
        <v>1123</v>
      </c>
      <c r="B642" s="23" t="s">
        <v>1119</v>
      </c>
      <c r="C642" t="s">
        <v>830</v>
      </c>
      <c r="D642" t="s">
        <v>25</v>
      </c>
      <c r="E642" t="s">
        <v>80</v>
      </c>
      <c r="F642" t="s">
        <v>45</v>
      </c>
      <c r="G642" t="s">
        <v>70</v>
      </c>
      <c r="H642" t="s">
        <v>21</v>
      </c>
      <c r="I642">
        <v>6</v>
      </c>
      <c r="J642" s="4">
        <v>950</v>
      </c>
      <c r="K642" s="6">
        <v>0</v>
      </c>
      <c r="L642" s="8">
        <v>5700</v>
      </c>
      <c r="M642" s="8">
        <v>3360</v>
      </c>
      <c r="N642" s="8">
        <v>2340</v>
      </c>
      <c r="O642" s="8">
        <f>SalesData[[#This Row],[Quantity]]*SalesData[[#This Row],[Unit Price]]*(1-SalesData[[#This Row],[Discount]])</f>
        <v>5700</v>
      </c>
      <c r="P642" s="8">
        <f>SalesData[[#This Row],[Sales_Check]]-SalesData[[#This Row],[Cost]]</f>
        <v>2340</v>
      </c>
      <c r="Q642" s="13">
        <f>IFERROR(SalesData[[#This Row],[Profit]]/SalesData[[#This Row],[Sales]],0)</f>
        <v>0.41052631578947368</v>
      </c>
      <c r="R642" t="str">
        <f>TEXT(SalesData[[#This Row],[Order Date]],"mmm-yyyy")</f>
        <v>Apr-2026</v>
      </c>
      <c r="S642">
        <f>YEAR(SalesData[[#This Row],[Order Date]])</f>
        <v>2026</v>
      </c>
      <c r="T642" t="str">
        <f>IF(SalesData[[#This Row],[Profit Margin]]&gt;=30%,"High",IF(SalesData[[#This Row],[Profit Margin]]&gt;=15%,"Medium","Low"))</f>
        <v>High</v>
      </c>
    </row>
    <row r="643" spans="1:20" x14ac:dyDescent="0.35">
      <c r="A643" t="s">
        <v>1124</v>
      </c>
      <c r="B643" s="23" t="s">
        <v>1119</v>
      </c>
      <c r="C643" t="s">
        <v>16</v>
      </c>
      <c r="D643" t="s">
        <v>17</v>
      </c>
      <c r="E643" t="s">
        <v>50</v>
      </c>
      <c r="F643" t="s">
        <v>45</v>
      </c>
      <c r="G643" t="s">
        <v>46</v>
      </c>
      <c r="H643" t="s">
        <v>125</v>
      </c>
      <c r="I643">
        <v>9</v>
      </c>
      <c r="J643" s="4">
        <v>650</v>
      </c>
      <c r="K643" s="6">
        <v>0</v>
      </c>
      <c r="L643" s="8">
        <v>5850</v>
      </c>
      <c r="M643" s="8">
        <v>3420</v>
      </c>
      <c r="N643" s="8">
        <v>2430</v>
      </c>
      <c r="O643" s="8">
        <f>SalesData[[#This Row],[Quantity]]*SalesData[[#This Row],[Unit Price]]*(1-SalesData[[#This Row],[Discount]])</f>
        <v>5850</v>
      </c>
      <c r="P643" s="8">
        <f>SalesData[[#This Row],[Sales_Check]]-SalesData[[#This Row],[Cost]]</f>
        <v>2430</v>
      </c>
      <c r="Q643" s="13">
        <f>IFERROR(SalesData[[#This Row],[Profit]]/SalesData[[#This Row],[Sales]],0)</f>
        <v>0.41538461538461541</v>
      </c>
      <c r="R643" t="str">
        <f>TEXT(SalesData[[#This Row],[Order Date]],"mmm-yyyy")</f>
        <v>Apr-2026</v>
      </c>
      <c r="S643">
        <f>YEAR(SalesData[[#This Row],[Order Date]])</f>
        <v>2026</v>
      </c>
      <c r="T643" t="str">
        <f>IF(SalesData[[#This Row],[Profit Margin]]&gt;=30%,"High",IF(SalesData[[#This Row],[Profit Margin]]&gt;=15%,"Medium","Low"))</f>
        <v>High</v>
      </c>
    </row>
    <row r="644" spans="1:20" x14ac:dyDescent="0.35">
      <c r="A644" t="s">
        <v>1125</v>
      </c>
      <c r="B644" s="23" t="s">
        <v>1126</v>
      </c>
      <c r="C644" t="s">
        <v>821</v>
      </c>
      <c r="D644" t="s">
        <v>54</v>
      </c>
      <c r="E644" t="s">
        <v>107</v>
      </c>
      <c r="F644" t="s">
        <v>27</v>
      </c>
      <c r="G644" t="s">
        <v>90</v>
      </c>
      <c r="H644" t="s">
        <v>29</v>
      </c>
      <c r="I644">
        <v>4</v>
      </c>
      <c r="J644" s="4">
        <v>120</v>
      </c>
      <c r="K644" s="6">
        <v>0</v>
      </c>
      <c r="L644" s="8">
        <v>480</v>
      </c>
      <c r="M644" s="8">
        <v>220</v>
      </c>
      <c r="N644" s="8">
        <v>260</v>
      </c>
      <c r="O644" s="8">
        <f>SalesData[[#This Row],[Quantity]]*SalesData[[#This Row],[Unit Price]]*(1-SalesData[[#This Row],[Discount]])</f>
        <v>480</v>
      </c>
      <c r="P644" s="8">
        <f>SalesData[[#This Row],[Sales_Check]]-SalesData[[#This Row],[Cost]]</f>
        <v>260</v>
      </c>
      <c r="Q644" s="13">
        <f>IFERROR(SalesData[[#This Row],[Profit]]/SalesData[[#This Row],[Sales]],0)</f>
        <v>0.54166666666666663</v>
      </c>
      <c r="R644" t="str">
        <f>TEXT(SalesData[[#This Row],[Order Date]],"mmm-yyyy")</f>
        <v>May-2026</v>
      </c>
      <c r="S644">
        <f>YEAR(SalesData[[#This Row],[Order Date]])</f>
        <v>2026</v>
      </c>
      <c r="T644" t="str">
        <f>IF(SalesData[[#This Row],[Profit Margin]]&gt;=30%,"High",IF(SalesData[[#This Row],[Profit Margin]]&gt;=15%,"Medium","Low"))</f>
        <v>High</v>
      </c>
    </row>
    <row r="645" spans="1:20" x14ac:dyDescent="0.35">
      <c r="A645" t="s">
        <v>1127</v>
      </c>
      <c r="B645" s="23" t="s">
        <v>1128</v>
      </c>
      <c r="C645" t="s">
        <v>189</v>
      </c>
      <c r="D645" t="s">
        <v>17</v>
      </c>
      <c r="E645" t="s">
        <v>65</v>
      </c>
      <c r="F645" t="s">
        <v>37</v>
      </c>
      <c r="G645" t="s">
        <v>73</v>
      </c>
      <c r="H645" t="s">
        <v>21</v>
      </c>
      <c r="I645">
        <v>1</v>
      </c>
      <c r="J645" s="4">
        <v>2200</v>
      </c>
      <c r="K645" s="6">
        <v>0</v>
      </c>
      <c r="L645" s="8">
        <v>2200</v>
      </c>
      <c r="M645" s="8">
        <v>1400</v>
      </c>
      <c r="N645" s="8">
        <v>800</v>
      </c>
      <c r="O645" s="8">
        <f>SalesData[[#This Row],[Quantity]]*SalesData[[#This Row],[Unit Price]]*(1-SalesData[[#This Row],[Discount]])</f>
        <v>2200</v>
      </c>
      <c r="P645" s="8">
        <f>SalesData[[#This Row],[Sales_Check]]-SalesData[[#This Row],[Cost]]</f>
        <v>800</v>
      </c>
      <c r="Q645" s="13">
        <f>IFERROR(SalesData[[#This Row],[Profit]]/SalesData[[#This Row],[Sales]],0)</f>
        <v>0.36363636363636365</v>
      </c>
      <c r="R645" t="str">
        <f>TEXT(SalesData[[#This Row],[Order Date]],"mmm-yyyy")</f>
        <v>May-2026</v>
      </c>
      <c r="S645">
        <f>YEAR(SalesData[[#This Row],[Order Date]])</f>
        <v>2026</v>
      </c>
      <c r="T645" t="str">
        <f>IF(SalesData[[#This Row],[Profit Margin]]&gt;=30%,"High",IF(SalesData[[#This Row],[Profit Margin]]&gt;=15%,"Medium","Low"))</f>
        <v>High</v>
      </c>
    </row>
    <row r="646" spans="1:20" x14ac:dyDescent="0.35">
      <c r="A646" t="s">
        <v>1129</v>
      </c>
      <c r="B646" s="23" t="s">
        <v>1128</v>
      </c>
      <c r="C646" t="s">
        <v>485</v>
      </c>
      <c r="D646" t="s">
        <v>17</v>
      </c>
      <c r="E646" t="s">
        <v>18</v>
      </c>
      <c r="F646" t="s">
        <v>27</v>
      </c>
      <c r="G646" t="s">
        <v>28</v>
      </c>
      <c r="H646" t="s">
        <v>47</v>
      </c>
      <c r="I646">
        <v>2</v>
      </c>
      <c r="J646" s="4">
        <v>1800</v>
      </c>
      <c r="K646" s="6">
        <v>0.05</v>
      </c>
      <c r="L646" s="8">
        <v>3420</v>
      </c>
      <c r="M646" s="8">
        <v>2200</v>
      </c>
      <c r="N646" s="8">
        <v>1220</v>
      </c>
      <c r="O646" s="8">
        <f>SalesData[[#This Row],[Quantity]]*SalesData[[#This Row],[Unit Price]]*(1-SalesData[[#This Row],[Discount]])</f>
        <v>3420</v>
      </c>
      <c r="P646" s="8">
        <f>SalesData[[#This Row],[Sales_Check]]-SalesData[[#This Row],[Cost]]</f>
        <v>1220</v>
      </c>
      <c r="Q646" s="13">
        <f>IFERROR(SalesData[[#This Row],[Profit]]/SalesData[[#This Row],[Sales]],0)</f>
        <v>0.35672514619883039</v>
      </c>
      <c r="R646" t="str">
        <f>TEXT(SalesData[[#This Row],[Order Date]],"mmm-yyyy")</f>
        <v>May-2026</v>
      </c>
      <c r="S646">
        <f>YEAR(SalesData[[#This Row],[Order Date]])</f>
        <v>2026</v>
      </c>
      <c r="T646" t="str">
        <f>IF(SalesData[[#This Row],[Profit Margin]]&gt;=30%,"High",IF(SalesData[[#This Row],[Profit Margin]]&gt;=15%,"Medium","Low"))</f>
        <v>High</v>
      </c>
    </row>
    <row r="647" spans="1:20" x14ac:dyDescent="0.35">
      <c r="A647" t="s">
        <v>1130</v>
      </c>
      <c r="B647" s="23" t="s">
        <v>1131</v>
      </c>
      <c r="C647" t="s">
        <v>99</v>
      </c>
      <c r="D647" t="s">
        <v>54</v>
      </c>
      <c r="E647" t="s">
        <v>55</v>
      </c>
      <c r="F647" t="s">
        <v>27</v>
      </c>
      <c r="G647" t="s">
        <v>28</v>
      </c>
      <c r="H647" t="s">
        <v>39</v>
      </c>
      <c r="I647">
        <v>9</v>
      </c>
      <c r="J647" s="4">
        <v>180</v>
      </c>
      <c r="K647" s="6">
        <v>0</v>
      </c>
      <c r="L647" s="8">
        <v>1620</v>
      </c>
      <c r="M647" s="8">
        <v>810</v>
      </c>
      <c r="N647" s="8">
        <v>810</v>
      </c>
      <c r="O647" s="8">
        <f>SalesData[[#This Row],[Quantity]]*SalesData[[#This Row],[Unit Price]]*(1-SalesData[[#This Row],[Discount]])</f>
        <v>1620</v>
      </c>
      <c r="P647" s="8">
        <f>SalesData[[#This Row],[Sales_Check]]-SalesData[[#This Row],[Cost]]</f>
        <v>810</v>
      </c>
      <c r="Q647" s="13">
        <f>IFERROR(SalesData[[#This Row],[Profit]]/SalesData[[#This Row],[Sales]],0)</f>
        <v>0.5</v>
      </c>
      <c r="R647" t="str">
        <f>TEXT(SalesData[[#This Row],[Order Date]],"mmm-yyyy")</f>
        <v>May-2026</v>
      </c>
      <c r="S647">
        <f>YEAR(SalesData[[#This Row],[Order Date]])</f>
        <v>2026</v>
      </c>
      <c r="T647" t="str">
        <f>IF(SalesData[[#This Row],[Profit Margin]]&gt;=30%,"High",IF(SalesData[[#This Row],[Profit Margin]]&gt;=15%,"Medium","Low"))</f>
        <v>High</v>
      </c>
    </row>
    <row r="648" spans="1:20" x14ac:dyDescent="0.35">
      <c r="A648" t="s">
        <v>1132</v>
      </c>
      <c r="B648" s="23" t="s">
        <v>1131</v>
      </c>
      <c r="C648" t="s">
        <v>691</v>
      </c>
      <c r="D648" t="s">
        <v>25</v>
      </c>
      <c r="E648" t="s">
        <v>36</v>
      </c>
      <c r="F648" t="s">
        <v>45</v>
      </c>
      <c r="G648" t="s">
        <v>46</v>
      </c>
      <c r="H648" t="s">
        <v>125</v>
      </c>
      <c r="I648">
        <v>7</v>
      </c>
      <c r="J648" s="4">
        <v>700</v>
      </c>
      <c r="K648" s="6">
        <v>0.05</v>
      </c>
      <c r="L648" s="8">
        <v>4655</v>
      </c>
      <c r="M648" s="8">
        <v>2800</v>
      </c>
      <c r="N648" s="8">
        <v>1855</v>
      </c>
      <c r="O648" s="8">
        <f>SalesData[[#This Row],[Quantity]]*SalesData[[#This Row],[Unit Price]]*(1-SalesData[[#This Row],[Discount]])</f>
        <v>4655</v>
      </c>
      <c r="P648" s="8">
        <f>SalesData[[#This Row],[Sales_Check]]-SalesData[[#This Row],[Cost]]</f>
        <v>1855</v>
      </c>
      <c r="Q648" s="13">
        <f>IFERROR(SalesData[[#This Row],[Profit]]/SalesData[[#This Row],[Sales]],0)</f>
        <v>0.39849624060150374</v>
      </c>
      <c r="R648" t="str">
        <f>TEXT(SalesData[[#This Row],[Order Date]],"mmm-yyyy")</f>
        <v>May-2026</v>
      </c>
      <c r="S648">
        <f>YEAR(SalesData[[#This Row],[Order Date]])</f>
        <v>2026</v>
      </c>
      <c r="T648" t="str">
        <f>IF(SalesData[[#This Row],[Profit Margin]]&gt;=30%,"High",IF(SalesData[[#This Row],[Profit Margin]]&gt;=15%,"Medium","Low"))</f>
        <v>High</v>
      </c>
    </row>
    <row r="649" spans="1:20" x14ac:dyDescent="0.35">
      <c r="A649" t="s">
        <v>1133</v>
      </c>
      <c r="B649" s="23" t="s">
        <v>1131</v>
      </c>
      <c r="C649" t="s">
        <v>102</v>
      </c>
      <c r="D649" t="s">
        <v>54</v>
      </c>
      <c r="E649" t="s">
        <v>110</v>
      </c>
      <c r="F649" t="s">
        <v>45</v>
      </c>
      <c r="G649" t="s">
        <v>122</v>
      </c>
      <c r="H649" t="s">
        <v>125</v>
      </c>
      <c r="I649">
        <v>2</v>
      </c>
      <c r="J649" s="4">
        <v>280</v>
      </c>
      <c r="K649" s="6">
        <v>0</v>
      </c>
      <c r="L649" s="8">
        <v>560</v>
      </c>
      <c r="M649" s="8">
        <v>300</v>
      </c>
      <c r="N649" s="8">
        <v>260</v>
      </c>
      <c r="O649" s="8">
        <f>SalesData[[#This Row],[Quantity]]*SalesData[[#This Row],[Unit Price]]*(1-SalesData[[#This Row],[Discount]])</f>
        <v>560</v>
      </c>
      <c r="P649" s="8">
        <f>SalesData[[#This Row],[Sales_Check]]-SalesData[[#This Row],[Cost]]</f>
        <v>260</v>
      </c>
      <c r="Q649" s="13">
        <f>IFERROR(SalesData[[#This Row],[Profit]]/SalesData[[#This Row],[Sales]],0)</f>
        <v>0.4642857142857143</v>
      </c>
      <c r="R649" t="str">
        <f>TEXT(SalesData[[#This Row],[Order Date]],"mmm-yyyy")</f>
        <v>May-2026</v>
      </c>
      <c r="S649">
        <f>YEAR(SalesData[[#This Row],[Order Date]])</f>
        <v>2026</v>
      </c>
      <c r="T649" t="str">
        <f>IF(SalesData[[#This Row],[Profit Margin]]&gt;=30%,"High",IF(SalesData[[#This Row],[Profit Margin]]&gt;=15%,"Medium","Low"))</f>
        <v>High</v>
      </c>
    </row>
    <row r="650" spans="1:20" x14ac:dyDescent="0.35">
      <c r="A650" t="s">
        <v>1134</v>
      </c>
      <c r="B650" s="23" t="s">
        <v>1131</v>
      </c>
      <c r="C650" t="s">
        <v>42</v>
      </c>
      <c r="D650" t="s">
        <v>25</v>
      </c>
      <c r="E650" t="s">
        <v>69</v>
      </c>
      <c r="F650" t="s">
        <v>37</v>
      </c>
      <c r="G650" t="s">
        <v>73</v>
      </c>
      <c r="H650" t="s">
        <v>39</v>
      </c>
      <c r="I650">
        <v>7</v>
      </c>
      <c r="J650" s="4">
        <v>350</v>
      </c>
      <c r="K650" s="6">
        <v>0</v>
      </c>
      <c r="L650" s="8">
        <v>2450</v>
      </c>
      <c r="M650" s="8">
        <v>1260</v>
      </c>
      <c r="N650" s="8">
        <v>1190</v>
      </c>
      <c r="O650" s="8">
        <f>SalesData[[#This Row],[Quantity]]*SalesData[[#This Row],[Unit Price]]*(1-SalesData[[#This Row],[Discount]])</f>
        <v>2450</v>
      </c>
      <c r="P650" s="8">
        <f>SalesData[[#This Row],[Sales_Check]]-SalesData[[#This Row],[Cost]]</f>
        <v>1190</v>
      </c>
      <c r="Q650" s="13">
        <f>IFERROR(SalesData[[#This Row],[Profit]]/SalesData[[#This Row],[Sales]],0)</f>
        <v>0.48571428571428571</v>
      </c>
      <c r="R650" t="str">
        <f>TEXT(SalesData[[#This Row],[Order Date]],"mmm-yyyy")</f>
        <v>May-2026</v>
      </c>
      <c r="S650">
        <f>YEAR(SalesData[[#This Row],[Order Date]])</f>
        <v>2026</v>
      </c>
      <c r="T650" t="str">
        <f>IF(SalesData[[#This Row],[Profit Margin]]&gt;=30%,"High",IF(SalesData[[#This Row],[Profit Margin]]&gt;=15%,"Medium","Low"))</f>
        <v>High</v>
      </c>
    </row>
    <row r="651" spans="1:20" x14ac:dyDescent="0.35">
      <c r="A651" t="s">
        <v>1135</v>
      </c>
      <c r="B651" s="23" t="s">
        <v>1131</v>
      </c>
      <c r="C651" t="s">
        <v>217</v>
      </c>
      <c r="D651" t="s">
        <v>17</v>
      </c>
      <c r="E651" t="s">
        <v>124</v>
      </c>
      <c r="F651" t="s">
        <v>27</v>
      </c>
      <c r="G651" t="s">
        <v>51</v>
      </c>
      <c r="H651" t="s">
        <v>39</v>
      </c>
      <c r="I651">
        <v>2</v>
      </c>
      <c r="J651" s="4">
        <v>1200</v>
      </c>
      <c r="K651" s="6">
        <v>0.05</v>
      </c>
      <c r="L651" s="8">
        <v>2280</v>
      </c>
      <c r="M651" s="8">
        <v>1440</v>
      </c>
      <c r="N651" s="8">
        <v>840</v>
      </c>
      <c r="O651" s="8">
        <f>SalesData[[#This Row],[Quantity]]*SalesData[[#This Row],[Unit Price]]*(1-SalesData[[#This Row],[Discount]])</f>
        <v>2280</v>
      </c>
      <c r="P651" s="8">
        <f>SalesData[[#This Row],[Sales_Check]]-SalesData[[#This Row],[Cost]]</f>
        <v>840</v>
      </c>
      <c r="Q651" s="13">
        <f>IFERROR(SalesData[[#This Row],[Profit]]/SalesData[[#This Row],[Sales]],0)</f>
        <v>0.36842105263157893</v>
      </c>
      <c r="R651" t="str">
        <f>TEXT(SalesData[[#This Row],[Order Date]],"mmm-yyyy")</f>
        <v>May-2026</v>
      </c>
      <c r="S651">
        <f>YEAR(SalesData[[#This Row],[Order Date]])</f>
        <v>2026</v>
      </c>
      <c r="T651" t="str">
        <f>IF(SalesData[[#This Row],[Profit Margin]]&gt;=30%,"High",IF(SalesData[[#This Row],[Profit Margin]]&gt;=15%,"Medium","Low"))</f>
        <v>High</v>
      </c>
    </row>
    <row r="652" spans="1:20" x14ac:dyDescent="0.35">
      <c r="A652" t="s">
        <v>1136</v>
      </c>
      <c r="B652" s="23" t="s">
        <v>1131</v>
      </c>
      <c r="C652" t="s">
        <v>99</v>
      </c>
      <c r="D652" t="s">
        <v>17</v>
      </c>
      <c r="E652" t="s">
        <v>32</v>
      </c>
      <c r="F652" t="s">
        <v>27</v>
      </c>
      <c r="G652" t="s">
        <v>85</v>
      </c>
      <c r="H652" t="s">
        <v>47</v>
      </c>
      <c r="I652">
        <v>6</v>
      </c>
      <c r="J652" s="4">
        <v>1500</v>
      </c>
      <c r="K652" s="6">
        <v>0</v>
      </c>
      <c r="L652" s="8">
        <v>9000</v>
      </c>
      <c r="M652" s="8">
        <v>5400</v>
      </c>
      <c r="N652" s="8">
        <v>3600</v>
      </c>
      <c r="O652" s="8">
        <f>SalesData[[#This Row],[Quantity]]*SalesData[[#This Row],[Unit Price]]*(1-SalesData[[#This Row],[Discount]])</f>
        <v>9000</v>
      </c>
      <c r="P652" s="8">
        <f>SalesData[[#This Row],[Sales_Check]]-SalesData[[#This Row],[Cost]]</f>
        <v>3600</v>
      </c>
      <c r="Q652" s="13">
        <f>IFERROR(SalesData[[#This Row],[Profit]]/SalesData[[#This Row],[Sales]],0)</f>
        <v>0.4</v>
      </c>
      <c r="R652" t="str">
        <f>TEXT(SalesData[[#This Row],[Order Date]],"mmm-yyyy")</f>
        <v>May-2026</v>
      </c>
      <c r="S652">
        <f>YEAR(SalesData[[#This Row],[Order Date]])</f>
        <v>2026</v>
      </c>
      <c r="T652" t="str">
        <f>IF(SalesData[[#This Row],[Profit Margin]]&gt;=30%,"High",IF(SalesData[[#This Row],[Profit Margin]]&gt;=15%,"Medium","Low"))</f>
        <v>High</v>
      </c>
    </row>
    <row r="653" spans="1:20" x14ac:dyDescent="0.35">
      <c r="A653" t="s">
        <v>1137</v>
      </c>
      <c r="B653" s="23" t="s">
        <v>1131</v>
      </c>
      <c r="C653" t="s">
        <v>557</v>
      </c>
      <c r="D653" t="s">
        <v>43</v>
      </c>
      <c r="E653" t="s">
        <v>62</v>
      </c>
      <c r="F653" t="s">
        <v>27</v>
      </c>
      <c r="G653" t="s">
        <v>90</v>
      </c>
      <c r="H653" t="s">
        <v>33</v>
      </c>
      <c r="I653">
        <v>5</v>
      </c>
      <c r="J653" s="4">
        <v>500</v>
      </c>
      <c r="K653" s="6">
        <v>0.05</v>
      </c>
      <c r="L653" s="8">
        <v>2375</v>
      </c>
      <c r="M653" s="8">
        <v>1400</v>
      </c>
      <c r="N653" s="8">
        <v>975</v>
      </c>
      <c r="O653" s="8">
        <f>SalesData[[#This Row],[Quantity]]*SalesData[[#This Row],[Unit Price]]*(1-SalesData[[#This Row],[Discount]])</f>
        <v>2375</v>
      </c>
      <c r="P653" s="8">
        <f>SalesData[[#This Row],[Sales_Check]]-SalesData[[#This Row],[Cost]]</f>
        <v>975</v>
      </c>
      <c r="Q653" s="13">
        <f>IFERROR(SalesData[[#This Row],[Profit]]/SalesData[[#This Row],[Sales]],0)</f>
        <v>0.41052631578947368</v>
      </c>
      <c r="R653" t="str">
        <f>TEXT(SalesData[[#This Row],[Order Date]],"mmm-yyyy")</f>
        <v>May-2026</v>
      </c>
      <c r="S653">
        <f>YEAR(SalesData[[#This Row],[Order Date]])</f>
        <v>2026</v>
      </c>
      <c r="T653" t="str">
        <f>IF(SalesData[[#This Row],[Profit Margin]]&gt;=30%,"High",IF(SalesData[[#This Row],[Profit Margin]]&gt;=15%,"Medium","Low"))</f>
        <v>High</v>
      </c>
    </row>
    <row r="654" spans="1:20" x14ac:dyDescent="0.35">
      <c r="A654" t="s">
        <v>1138</v>
      </c>
      <c r="B654" s="23" t="s">
        <v>1139</v>
      </c>
      <c r="C654" t="s">
        <v>861</v>
      </c>
      <c r="D654" t="s">
        <v>17</v>
      </c>
      <c r="E654" t="s">
        <v>65</v>
      </c>
      <c r="F654" t="s">
        <v>45</v>
      </c>
      <c r="G654" t="s">
        <v>122</v>
      </c>
      <c r="H654" t="s">
        <v>39</v>
      </c>
      <c r="I654">
        <v>8</v>
      </c>
      <c r="J654" s="4">
        <v>2200</v>
      </c>
      <c r="K654" s="6">
        <v>0.1</v>
      </c>
      <c r="L654" s="8">
        <v>15840</v>
      </c>
      <c r="M654" s="8">
        <v>11200</v>
      </c>
      <c r="N654" s="8">
        <v>4640</v>
      </c>
      <c r="O654" s="8">
        <f>SalesData[[#This Row],[Quantity]]*SalesData[[#This Row],[Unit Price]]*(1-SalesData[[#This Row],[Discount]])</f>
        <v>15840</v>
      </c>
      <c r="P654" s="8">
        <f>SalesData[[#This Row],[Sales_Check]]-SalesData[[#This Row],[Cost]]</f>
        <v>4640</v>
      </c>
      <c r="Q654" s="13">
        <f>IFERROR(SalesData[[#This Row],[Profit]]/SalesData[[#This Row],[Sales]],0)</f>
        <v>0.29292929292929293</v>
      </c>
      <c r="R654" t="str">
        <f>TEXT(SalesData[[#This Row],[Order Date]],"mmm-yyyy")</f>
        <v>May-2026</v>
      </c>
      <c r="S654">
        <f>YEAR(SalesData[[#This Row],[Order Date]])</f>
        <v>2026</v>
      </c>
      <c r="T654" t="str">
        <f>IF(SalesData[[#This Row],[Profit Margin]]&gt;=30%,"High",IF(SalesData[[#This Row],[Profit Margin]]&gt;=15%,"Medium","Low"))</f>
        <v>Medium</v>
      </c>
    </row>
    <row r="655" spans="1:20" x14ac:dyDescent="0.35">
      <c r="A655" t="s">
        <v>1140</v>
      </c>
      <c r="B655" s="23" t="s">
        <v>1139</v>
      </c>
      <c r="C655" t="s">
        <v>173</v>
      </c>
      <c r="D655" t="s">
        <v>54</v>
      </c>
      <c r="E655" t="s">
        <v>103</v>
      </c>
      <c r="F655" t="s">
        <v>27</v>
      </c>
      <c r="G655" t="s">
        <v>51</v>
      </c>
      <c r="H655" t="s">
        <v>33</v>
      </c>
      <c r="I655">
        <v>7</v>
      </c>
      <c r="J655" s="4">
        <v>150</v>
      </c>
      <c r="K655" s="6">
        <v>0</v>
      </c>
      <c r="L655" s="8">
        <v>1050</v>
      </c>
      <c r="M655" s="8">
        <v>525</v>
      </c>
      <c r="N655" s="8">
        <v>525</v>
      </c>
      <c r="O655" s="8">
        <f>SalesData[[#This Row],[Quantity]]*SalesData[[#This Row],[Unit Price]]*(1-SalesData[[#This Row],[Discount]])</f>
        <v>1050</v>
      </c>
      <c r="P655" s="8">
        <f>SalesData[[#This Row],[Sales_Check]]-SalesData[[#This Row],[Cost]]</f>
        <v>525</v>
      </c>
      <c r="Q655" s="13">
        <f>IFERROR(SalesData[[#This Row],[Profit]]/SalesData[[#This Row],[Sales]],0)</f>
        <v>0.5</v>
      </c>
      <c r="R655" t="str">
        <f>TEXT(SalesData[[#This Row],[Order Date]],"mmm-yyyy")</f>
        <v>May-2026</v>
      </c>
      <c r="S655">
        <f>YEAR(SalesData[[#This Row],[Order Date]])</f>
        <v>2026</v>
      </c>
      <c r="T655" t="str">
        <f>IF(SalesData[[#This Row],[Profit Margin]]&gt;=30%,"High",IF(SalesData[[#This Row],[Profit Margin]]&gt;=15%,"Medium","Low"))</f>
        <v>High</v>
      </c>
    </row>
    <row r="656" spans="1:20" x14ac:dyDescent="0.35">
      <c r="A656" t="s">
        <v>1141</v>
      </c>
      <c r="B656" s="23" t="s">
        <v>1139</v>
      </c>
      <c r="C656" t="s">
        <v>431</v>
      </c>
      <c r="D656" t="s">
        <v>54</v>
      </c>
      <c r="E656" t="s">
        <v>116</v>
      </c>
      <c r="F656" t="s">
        <v>45</v>
      </c>
      <c r="G656" t="s">
        <v>104</v>
      </c>
      <c r="H656" t="s">
        <v>125</v>
      </c>
      <c r="I656">
        <v>4</v>
      </c>
      <c r="J656" s="4">
        <v>450</v>
      </c>
      <c r="K656" s="6">
        <v>0</v>
      </c>
      <c r="L656" s="8">
        <v>1800</v>
      </c>
      <c r="M656" s="8">
        <v>1000</v>
      </c>
      <c r="N656" s="8">
        <v>800</v>
      </c>
      <c r="O656" s="8">
        <f>SalesData[[#This Row],[Quantity]]*SalesData[[#This Row],[Unit Price]]*(1-SalesData[[#This Row],[Discount]])</f>
        <v>1800</v>
      </c>
      <c r="P656" s="8">
        <f>SalesData[[#This Row],[Sales_Check]]-SalesData[[#This Row],[Cost]]</f>
        <v>800</v>
      </c>
      <c r="Q656" s="13">
        <f>IFERROR(SalesData[[#This Row],[Profit]]/SalesData[[#This Row],[Sales]],0)</f>
        <v>0.44444444444444442</v>
      </c>
      <c r="R656" t="str">
        <f>TEXT(SalesData[[#This Row],[Order Date]],"mmm-yyyy")</f>
        <v>May-2026</v>
      </c>
      <c r="S656">
        <f>YEAR(SalesData[[#This Row],[Order Date]])</f>
        <v>2026</v>
      </c>
      <c r="T656" t="str">
        <f>IF(SalesData[[#This Row],[Profit Margin]]&gt;=30%,"High",IF(SalesData[[#This Row],[Profit Margin]]&gt;=15%,"Medium","Low"))</f>
        <v>High</v>
      </c>
    </row>
    <row r="657" spans="1:20" x14ac:dyDescent="0.35">
      <c r="A657" t="s">
        <v>1142</v>
      </c>
      <c r="B657" s="23" t="s">
        <v>1139</v>
      </c>
      <c r="C657" t="s">
        <v>664</v>
      </c>
      <c r="D657" t="s">
        <v>54</v>
      </c>
      <c r="E657" t="s">
        <v>116</v>
      </c>
      <c r="F657" t="s">
        <v>19</v>
      </c>
      <c r="G657" t="s">
        <v>20</v>
      </c>
      <c r="H657" t="s">
        <v>47</v>
      </c>
      <c r="I657">
        <v>8</v>
      </c>
      <c r="J657" s="4">
        <v>450</v>
      </c>
      <c r="K657" s="6">
        <v>0.1</v>
      </c>
      <c r="L657" s="8">
        <v>3240</v>
      </c>
      <c r="M657" s="8">
        <v>2000</v>
      </c>
      <c r="N657" s="8">
        <v>1240</v>
      </c>
      <c r="O657" s="8">
        <f>SalesData[[#This Row],[Quantity]]*SalesData[[#This Row],[Unit Price]]*(1-SalesData[[#This Row],[Discount]])</f>
        <v>3240</v>
      </c>
      <c r="P657" s="8">
        <f>SalesData[[#This Row],[Sales_Check]]-SalesData[[#This Row],[Cost]]</f>
        <v>1240</v>
      </c>
      <c r="Q657" s="13">
        <f>IFERROR(SalesData[[#This Row],[Profit]]/SalesData[[#This Row],[Sales]],0)</f>
        <v>0.38271604938271603</v>
      </c>
      <c r="R657" t="str">
        <f>TEXT(SalesData[[#This Row],[Order Date]],"mmm-yyyy")</f>
        <v>May-2026</v>
      </c>
      <c r="S657">
        <f>YEAR(SalesData[[#This Row],[Order Date]])</f>
        <v>2026</v>
      </c>
      <c r="T657" t="str">
        <f>IF(SalesData[[#This Row],[Profit Margin]]&gt;=30%,"High",IF(SalesData[[#This Row],[Profit Margin]]&gt;=15%,"Medium","Low"))</f>
        <v>High</v>
      </c>
    </row>
    <row r="658" spans="1:20" x14ac:dyDescent="0.35">
      <c r="A658" t="s">
        <v>1143</v>
      </c>
      <c r="B658" s="23" t="s">
        <v>1144</v>
      </c>
      <c r="C658" t="s">
        <v>59</v>
      </c>
      <c r="D658" t="s">
        <v>17</v>
      </c>
      <c r="E658" t="s">
        <v>18</v>
      </c>
      <c r="F658" t="s">
        <v>27</v>
      </c>
      <c r="G658" t="s">
        <v>28</v>
      </c>
      <c r="H658" t="s">
        <v>47</v>
      </c>
      <c r="I658">
        <v>5</v>
      </c>
      <c r="J658" s="4">
        <v>1800</v>
      </c>
      <c r="K658" s="6">
        <v>0.05</v>
      </c>
      <c r="L658" s="8">
        <v>8550</v>
      </c>
      <c r="M658" s="8">
        <v>5500</v>
      </c>
      <c r="N658" s="8">
        <v>3050</v>
      </c>
      <c r="O658" s="8">
        <f>SalesData[[#This Row],[Quantity]]*SalesData[[#This Row],[Unit Price]]*(1-SalesData[[#This Row],[Discount]])</f>
        <v>8550</v>
      </c>
      <c r="P658" s="8">
        <f>SalesData[[#This Row],[Sales_Check]]-SalesData[[#This Row],[Cost]]</f>
        <v>3050</v>
      </c>
      <c r="Q658" s="13">
        <f>IFERROR(SalesData[[#This Row],[Profit]]/SalesData[[#This Row],[Sales]],0)</f>
        <v>0.35672514619883039</v>
      </c>
      <c r="R658" t="str">
        <f>TEXT(SalesData[[#This Row],[Order Date]],"mmm-yyyy")</f>
        <v>May-2026</v>
      </c>
      <c r="S658">
        <f>YEAR(SalesData[[#This Row],[Order Date]])</f>
        <v>2026</v>
      </c>
      <c r="T658" t="str">
        <f>IF(SalesData[[#This Row],[Profit Margin]]&gt;=30%,"High",IF(SalesData[[#This Row],[Profit Margin]]&gt;=15%,"Medium","Low"))</f>
        <v>High</v>
      </c>
    </row>
    <row r="659" spans="1:20" x14ac:dyDescent="0.35">
      <c r="A659" t="s">
        <v>1145</v>
      </c>
      <c r="B659" s="23" t="s">
        <v>1144</v>
      </c>
      <c r="C659" t="s">
        <v>830</v>
      </c>
      <c r="D659" t="s">
        <v>17</v>
      </c>
      <c r="E659" t="s">
        <v>124</v>
      </c>
      <c r="F659" t="s">
        <v>45</v>
      </c>
      <c r="G659" t="s">
        <v>46</v>
      </c>
      <c r="H659" t="s">
        <v>33</v>
      </c>
      <c r="I659">
        <v>4</v>
      </c>
      <c r="J659" s="4">
        <v>1200</v>
      </c>
      <c r="K659" s="6">
        <v>0.15</v>
      </c>
      <c r="L659" s="8">
        <v>4080</v>
      </c>
      <c r="M659" s="8">
        <v>2880</v>
      </c>
      <c r="N659" s="8">
        <v>1200</v>
      </c>
      <c r="O659" s="8">
        <f>SalesData[[#This Row],[Quantity]]*SalesData[[#This Row],[Unit Price]]*(1-SalesData[[#This Row],[Discount]])</f>
        <v>4080</v>
      </c>
      <c r="P659" s="8">
        <f>SalesData[[#This Row],[Sales_Check]]-SalesData[[#This Row],[Cost]]</f>
        <v>1200</v>
      </c>
      <c r="Q659" s="13">
        <f>IFERROR(SalesData[[#This Row],[Profit]]/SalesData[[#This Row],[Sales]],0)</f>
        <v>0.29411764705882354</v>
      </c>
      <c r="R659" t="str">
        <f>TEXT(SalesData[[#This Row],[Order Date]],"mmm-yyyy")</f>
        <v>May-2026</v>
      </c>
      <c r="S659">
        <f>YEAR(SalesData[[#This Row],[Order Date]])</f>
        <v>2026</v>
      </c>
      <c r="T659" t="str">
        <f>IF(SalesData[[#This Row],[Profit Margin]]&gt;=30%,"High",IF(SalesData[[#This Row],[Profit Margin]]&gt;=15%,"Medium","Low"))</f>
        <v>Medium</v>
      </c>
    </row>
    <row r="660" spans="1:20" x14ac:dyDescent="0.35">
      <c r="A660" t="s">
        <v>1146</v>
      </c>
      <c r="B660" s="23" t="s">
        <v>1147</v>
      </c>
      <c r="C660" t="s">
        <v>134</v>
      </c>
      <c r="D660" t="s">
        <v>54</v>
      </c>
      <c r="E660" t="s">
        <v>116</v>
      </c>
      <c r="F660" t="s">
        <v>37</v>
      </c>
      <c r="G660" t="s">
        <v>140</v>
      </c>
      <c r="H660" t="s">
        <v>33</v>
      </c>
      <c r="I660">
        <v>4</v>
      </c>
      <c r="J660" s="4">
        <v>450</v>
      </c>
      <c r="K660" s="6">
        <v>0</v>
      </c>
      <c r="L660" s="8">
        <v>1800</v>
      </c>
      <c r="M660" s="8">
        <v>1000</v>
      </c>
      <c r="N660" s="8">
        <v>800</v>
      </c>
      <c r="O660" s="8">
        <f>SalesData[[#This Row],[Quantity]]*SalesData[[#This Row],[Unit Price]]*(1-SalesData[[#This Row],[Discount]])</f>
        <v>1800</v>
      </c>
      <c r="P660" s="8">
        <f>SalesData[[#This Row],[Sales_Check]]-SalesData[[#This Row],[Cost]]</f>
        <v>800</v>
      </c>
      <c r="Q660" s="13">
        <f>IFERROR(SalesData[[#This Row],[Profit]]/SalesData[[#This Row],[Sales]],0)</f>
        <v>0.44444444444444442</v>
      </c>
      <c r="R660" t="str">
        <f>TEXT(SalesData[[#This Row],[Order Date]],"mmm-yyyy")</f>
        <v>May-2026</v>
      </c>
      <c r="S660">
        <f>YEAR(SalesData[[#This Row],[Order Date]])</f>
        <v>2026</v>
      </c>
      <c r="T660" t="str">
        <f>IF(SalesData[[#This Row],[Profit Margin]]&gt;=30%,"High",IF(SalesData[[#This Row],[Profit Margin]]&gt;=15%,"Medium","Low"))</f>
        <v>High</v>
      </c>
    </row>
    <row r="661" spans="1:20" x14ac:dyDescent="0.35">
      <c r="A661" t="s">
        <v>1148</v>
      </c>
      <c r="B661" s="23" t="s">
        <v>1149</v>
      </c>
      <c r="C661" t="s">
        <v>569</v>
      </c>
      <c r="D661" t="s">
        <v>25</v>
      </c>
      <c r="E661" t="s">
        <v>80</v>
      </c>
      <c r="F661" t="s">
        <v>27</v>
      </c>
      <c r="G661" t="s">
        <v>28</v>
      </c>
      <c r="H661" t="s">
        <v>33</v>
      </c>
      <c r="I661">
        <v>4</v>
      </c>
      <c r="J661" s="4">
        <v>950</v>
      </c>
      <c r="K661" s="6">
        <v>0</v>
      </c>
      <c r="L661" s="8">
        <v>3800</v>
      </c>
      <c r="M661" s="8">
        <v>2240</v>
      </c>
      <c r="N661" s="8">
        <v>1560</v>
      </c>
      <c r="O661" s="8">
        <f>SalesData[[#This Row],[Quantity]]*SalesData[[#This Row],[Unit Price]]*(1-SalesData[[#This Row],[Discount]])</f>
        <v>3800</v>
      </c>
      <c r="P661" s="8">
        <f>SalesData[[#This Row],[Sales_Check]]-SalesData[[#This Row],[Cost]]</f>
        <v>1560</v>
      </c>
      <c r="Q661" s="13">
        <f>IFERROR(SalesData[[#This Row],[Profit]]/SalesData[[#This Row],[Sales]],0)</f>
        <v>0.41052631578947368</v>
      </c>
      <c r="R661" t="str">
        <f>TEXT(SalesData[[#This Row],[Order Date]],"mmm-yyyy")</f>
        <v>May-2026</v>
      </c>
      <c r="S661">
        <f>YEAR(SalesData[[#This Row],[Order Date]])</f>
        <v>2026</v>
      </c>
      <c r="T661" t="str">
        <f>IF(SalesData[[#This Row],[Profit Margin]]&gt;=30%,"High",IF(SalesData[[#This Row],[Profit Margin]]&gt;=15%,"Medium","Low"))</f>
        <v>High</v>
      </c>
    </row>
    <row r="662" spans="1:20" x14ac:dyDescent="0.35">
      <c r="A662" t="s">
        <v>1150</v>
      </c>
      <c r="B662" s="23" t="s">
        <v>1149</v>
      </c>
      <c r="C662" t="s">
        <v>280</v>
      </c>
      <c r="D662" t="s">
        <v>17</v>
      </c>
      <c r="E662" t="s">
        <v>32</v>
      </c>
      <c r="F662" t="s">
        <v>37</v>
      </c>
      <c r="G662" t="s">
        <v>140</v>
      </c>
      <c r="H662" t="s">
        <v>21</v>
      </c>
      <c r="I662">
        <v>6</v>
      </c>
      <c r="J662" s="4">
        <v>1500</v>
      </c>
      <c r="K662" s="6">
        <v>0.05</v>
      </c>
      <c r="L662" s="8">
        <v>8550</v>
      </c>
      <c r="M662" s="8">
        <v>5400</v>
      </c>
      <c r="N662" s="8">
        <v>3150</v>
      </c>
      <c r="O662" s="8">
        <f>SalesData[[#This Row],[Quantity]]*SalesData[[#This Row],[Unit Price]]*(1-SalesData[[#This Row],[Discount]])</f>
        <v>8550</v>
      </c>
      <c r="P662" s="8">
        <f>SalesData[[#This Row],[Sales_Check]]-SalesData[[#This Row],[Cost]]</f>
        <v>3150</v>
      </c>
      <c r="Q662" s="13">
        <f>IFERROR(SalesData[[#This Row],[Profit]]/SalesData[[#This Row],[Sales]],0)</f>
        <v>0.36842105263157893</v>
      </c>
      <c r="R662" t="str">
        <f>TEXT(SalesData[[#This Row],[Order Date]],"mmm-yyyy")</f>
        <v>May-2026</v>
      </c>
      <c r="S662">
        <f>YEAR(SalesData[[#This Row],[Order Date]])</f>
        <v>2026</v>
      </c>
      <c r="T662" t="str">
        <f>IF(SalesData[[#This Row],[Profit Margin]]&gt;=30%,"High",IF(SalesData[[#This Row],[Profit Margin]]&gt;=15%,"Medium","Low"))</f>
        <v>High</v>
      </c>
    </row>
    <row r="663" spans="1:20" x14ac:dyDescent="0.35">
      <c r="A663" t="s">
        <v>1151</v>
      </c>
      <c r="B663" s="23" t="s">
        <v>1152</v>
      </c>
      <c r="C663" t="s">
        <v>42</v>
      </c>
      <c r="D663" t="s">
        <v>25</v>
      </c>
      <c r="E663" t="s">
        <v>69</v>
      </c>
      <c r="F663" t="s">
        <v>27</v>
      </c>
      <c r="G663" t="s">
        <v>28</v>
      </c>
      <c r="H663" t="s">
        <v>39</v>
      </c>
      <c r="I663">
        <v>4</v>
      </c>
      <c r="J663" s="4">
        <v>350</v>
      </c>
      <c r="K663" s="6">
        <v>0</v>
      </c>
      <c r="L663" s="8">
        <v>1400</v>
      </c>
      <c r="M663" s="8">
        <v>720</v>
      </c>
      <c r="N663" s="8">
        <v>680</v>
      </c>
      <c r="O663" s="8">
        <f>SalesData[[#This Row],[Quantity]]*SalesData[[#This Row],[Unit Price]]*(1-SalesData[[#This Row],[Discount]])</f>
        <v>1400</v>
      </c>
      <c r="P663" s="8">
        <f>SalesData[[#This Row],[Sales_Check]]-SalesData[[#This Row],[Cost]]</f>
        <v>680</v>
      </c>
      <c r="Q663" s="13">
        <f>IFERROR(SalesData[[#This Row],[Profit]]/SalesData[[#This Row],[Sales]],0)</f>
        <v>0.48571428571428571</v>
      </c>
      <c r="R663" t="str">
        <f>TEXT(SalesData[[#This Row],[Order Date]],"mmm-yyyy")</f>
        <v>May-2026</v>
      </c>
      <c r="S663">
        <f>YEAR(SalesData[[#This Row],[Order Date]])</f>
        <v>2026</v>
      </c>
      <c r="T663" t="str">
        <f>IF(SalesData[[#This Row],[Profit Margin]]&gt;=30%,"High",IF(SalesData[[#This Row],[Profit Margin]]&gt;=15%,"Medium","Low"))</f>
        <v>High</v>
      </c>
    </row>
    <row r="664" spans="1:20" x14ac:dyDescent="0.35">
      <c r="A664" t="s">
        <v>1153</v>
      </c>
      <c r="B664" s="23" t="s">
        <v>1152</v>
      </c>
      <c r="C664" t="s">
        <v>131</v>
      </c>
      <c r="D664" t="s">
        <v>54</v>
      </c>
      <c r="E664" t="s">
        <v>107</v>
      </c>
      <c r="F664" t="s">
        <v>19</v>
      </c>
      <c r="G664" t="s">
        <v>56</v>
      </c>
      <c r="H664" t="s">
        <v>39</v>
      </c>
      <c r="I664">
        <v>1</v>
      </c>
      <c r="J664" s="4">
        <v>120</v>
      </c>
      <c r="K664" s="6">
        <v>0.05</v>
      </c>
      <c r="L664" s="8">
        <v>114</v>
      </c>
      <c r="M664" s="8">
        <v>55</v>
      </c>
      <c r="N664" s="8">
        <v>59</v>
      </c>
      <c r="O664" s="8">
        <f>SalesData[[#This Row],[Quantity]]*SalesData[[#This Row],[Unit Price]]*(1-SalesData[[#This Row],[Discount]])</f>
        <v>114</v>
      </c>
      <c r="P664" s="8">
        <f>SalesData[[#This Row],[Sales_Check]]-SalesData[[#This Row],[Cost]]</f>
        <v>59</v>
      </c>
      <c r="Q664" s="13">
        <f>IFERROR(SalesData[[#This Row],[Profit]]/SalesData[[#This Row],[Sales]],0)</f>
        <v>0.51754385964912286</v>
      </c>
      <c r="R664" t="str">
        <f>TEXT(SalesData[[#This Row],[Order Date]],"mmm-yyyy")</f>
        <v>May-2026</v>
      </c>
      <c r="S664">
        <f>YEAR(SalesData[[#This Row],[Order Date]])</f>
        <v>2026</v>
      </c>
      <c r="T664" t="str">
        <f>IF(SalesData[[#This Row],[Profit Margin]]&gt;=30%,"High",IF(SalesData[[#This Row],[Profit Margin]]&gt;=15%,"Medium","Low"))</f>
        <v>High</v>
      </c>
    </row>
    <row r="665" spans="1:20" x14ac:dyDescent="0.35">
      <c r="A665" t="s">
        <v>1154</v>
      </c>
      <c r="B665" s="23" t="s">
        <v>1152</v>
      </c>
      <c r="C665" t="s">
        <v>238</v>
      </c>
      <c r="D665" t="s">
        <v>43</v>
      </c>
      <c r="E665" t="s">
        <v>143</v>
      </c>
      <c r="F665" t="s">
        <v>19</v>
      </c>
      <c r="G665" t="s">
        <v>113</v>
      </c>
      <c r="H665" t="s">
        <v>125</v>
      </c>
      <c r="I665">
        <v>9</v>
      </c>
      <c r="J665" s="4">
        <v>650</v>
      </c>
      <c r="K665" s="6">
        <v>0</v>
      </c>
      <c r="L665" s="8">
        <v>5850</v>
      </c>
      <c r="M665" s="8">
        <v>3150</v>
      </c>
      <c r="N665" s="8">
        <v>2700</v>
      </c>
      <c r="O665" s="8">
        <f>SalesData[[#This Row],[Quantity]]*SalesData[[#This Row],[Unit Price]]*(1-SalesData[[#This Row],[Discount]])</f>
        <v>5850</v>
      </c>
      <c r="P665" s="8">
        <f>SalesData[[#This Row],[Sales_Check]]-SalesData[[#This Row],[Cost]]</f>
        <v>2700</v>
      </c>
      <c r="Q665" s="13">
        <f>IFERROR(SalesData[[#This Row],[Profit]]/SalesData[[#This Row],[Sales]],0)</f>
        <v>0.46153846153846156</v>
      </c>
      <c r="R665" t="str">
        <f>TEXT(SalesData[[#This Row],[Order Date]],"mmm-yyyy")</f>
        <v>May-2026</v>
      </c>
      <c r="S665">
        <f>YEAR(SalesData[[#This Row],[Order Date]])</f>
        <v>2026</v>
      </c>
      <c r="T665" t="str">
        <f>IF(SalesData[[#This Row],[Profit Margin]]&gt;=30%,"High",IF(SalesData[[#This Row],[Profit Margin]]&gt;=15%,"Medium","Low"))</f>
        <v>High</v>
      </c>
    </row>
    <row r="666" spans="1:20" x14ac:dyDescent="0.35">
      <c r="A666" t="s">
        <v>1155</v>
      </c>
      <c r="B666" s="23" t="s">
        <v>1156</v>
      </c>
      <c r="C666" t="s">
        <v>534</v>
      </c>
      <c r="D666" t="s">
        <v>17</v>
      </c>
      <c r="E666" t="s">
        <v>65</v>
      </c>
      <c r="F666" t="s">
        <v>45</v>
      </c>
      <c r="G666" t="s">
        <v>46</v>
      </c>
      <c r="H666" t="s">
        <v>21</v>
      </c>
      <c r="I666">
        <v>3</v>
      </c>
      <c r="J666" s="4">
        <v>2200</v>
      </c>
      <c r="K666" s="6">
        <v>0</v>
      </c>
      <c r="L666" s="8">
        <v>6600</v>
      </c>
      <c r="M666" s="8">
        <v>4200</v>
      </c>
      <c r="N666" s="8">
        <v>2400</v>
      </c>
      <c r="O666" s="8">
        <f>SalesData[[#This Row],[Quantity]]*SalesData[[#This Row],[Unit Price]]*(1-SalesData[[#This Row],[Discount]])</f>
        <v>6600</v>
      </c>
      <c r="P666" s="8">
        <f>SalesData[[#This Row],[Sales_Check]]-SalesData[[#This Row],[Cost]]</f>
        <v>2400</v>
      </c>
      <c r="Q666" s="13">
        <f>IFERROR(SalesData[[#This Row],[Profit]]/SalesData[[#This Row],[Sales]],0)</f>
        <v>0.36363636363636365</v>
      </c>
      <c r="R666" t="str">
        <f>TEXT(SalesData[[#This Row],[Order Date]],"mmm-yyyy")</f>
        <v>May-2026</v>
      </c>
      <c r="S666">
        <f>YEAR(SalesData[[#This Row],[Order Date]])</f>
        <v>2026</v>
      </c>
      <c r="T666" t="str">
        <f>IF(SalesData[[#This Row],[Profit Margin]]&gt;=30%,"High",IF(SalesData[[#This Row],[Profit Margin]]&gt;=15%,"Medium","Low"))</f>
        <v>High</v>
      </c>
    </row>
    <row r="667" spans="1:20" x14ac:dyDescent="0.35">
      <c r="A667" t="s">
        <v>1157</v>
      </c>
      <c r="B667" s="23" t="s">
        <v>1156</v>
      </c>
      <c r="C667" t="s">
        <v>112</v>
      </c>
      <c r="D667" t="s">
        <v>25</v>
      </c>
      <c r="E667" t="s">
        <v>26</v>
      </c>
      <c r="F667" t="s">
        <v>27</v>
      </c>
      <c r="G667" t="s">
        <v>85</v>
      </c>
      <c r="H667" t="s">
        <v>33</v>
      </c>
      <c r="I667">
        <v>7</v>
      </c>
      <c r="J667" s="4">
        <v>600</v>
      </c>
      <c r="K667" s="6">
        <v>0.1</v>
      </c>
      <c r="L667" s="8">
        <v>3780</v>
      </c>
      <c r="M667" s="8">
        <v>2310</v>
      </c>
      <c r="N667" s="8">
        <v>1470</v>
      </c>
      <c r="O667" s="8">
        <f>SalesData[[#This Row],[Quantity]]*SalesData[[#This Row],[Unit Price]]*(1-SalesData[[#This Row],[Discount]])</f>
        <v>3780</v>
      </c>
      <c r="P667" s="8">
        <f>SalesData[[#This Row],[Sales_Check]]-SalesData[[#This Row],[Cost]]</f>
        <v>1470</v>
      </c>
      <c r="Q667" s="13">
        <f>IFERROR(SalesData[[#This Row],[Profit]]/SalesData[[#This Row],[Sales]],0)</f>
        <v>0.3888888888888889</v>
      </c>
      <c r="R667" t="str">
        <f>TEXT(SalesData[[#This Row],[Order Date]],"mmm-yyyy")</f>
        <v>May-2026</v>
      </c>
      <c r="S667">
        <f>YEAR(SalesData[[#This Row],[Order Date]])</f>
        <v>2026</v>
      </c>
      <c r="T667" t="str">
        <f>IF(SalesData[[#This Row],[Profit Margin]]&gt;=30%,"High",IF(SalesData[[#This Row],[Profit Margin]]&gt;=15%,"Medium","Low"))</f>
        <v>High</v>
      </c>
    </row>
    <row r="668" spans="1:20" x14ac:dyDescent="0.35">
      <c r="A668" t="s">
        <v>1158</v>
      </c>
      <c r="B668" s="23" t="s">
        <v>1156</v>
      </c>
      <c r="C668" t="s">
        <v>615</v>
      </c>
      <c r="D668" t="s">
        <v>54</v>
      </c>
      <c r="E668" t="s">
        <v>103</v>
      </c>
      <c r="F668" t="s">
        <v>45</v>
      </c>
      <c r="G668" t="s">
        <v>122</v>
      </c>
      <c r="H668" t="s">
        <v>33</v>
      </c>
      <c r="I668">
        <v>5</v>
      </c>
      <c r="J668" s="4">
        <v>150</v>
      </c>
      <c r="K668" s="6">
        <v>0</v>
      </c>
      <c r="L668" s="8">
        <v>750</v>
      </c>
      <c r="M668" s="8">
        <v>375</v>
      </c>
      <c r="N668" s="8">
        <v>375</v>
      </c>
      <c r="O668" s="8">
        <f>SalesData[[#This Row],[Quantity]]*SalesData[[#This Row],[Unit Price]]*(1-SalesData[[#This Row],[Discount]])</f>
        <v>750</v>
      </c>
      <c r="P668" s="8">
        <f>SalesData[[#This Row],[Sales_Check]]-SalesData[[#This Row],[Cost]]</f>
        <v>375</v>
      </c>
      <c r="Q668" s="13">
        <f>IFERROR(SalesData[[#This Row],[Profit]]/SalesData[[#This Row],[Sales]],0)</f>
        <v>0.5</v>
      </c>
      <c r="R668" t="str">
        <f>TEXT(SalesData[[#This Row],[Order Date]],"mmm-yyyy")</f>
        <v>May-2026</v>
      </c>
      <c r="S668">
        <f>YEAR(SalesData[[#This Row],[Order Date]])</f>
        <v>2026</v>
      </c>
      <c r="T668" t="str">
        <f>IF(SalesData[[#This Row],[Profit Margin]]&gt;=30%,"High",IF(SalesData[[#This Row],[Profit Margin]]&gt;=15%,"Medium","Low"))</f>
        <v>High</v>
      </c>
    </row>
    <row r="669" spans="1:20" x14ac:dyDescent="0.35">
      <c r="A669" t="s">
        <v>1159</v>
      </c>
      <c r="B669" s="23" t="s">
        <v>1156</v>
      </c>
      <c r="C669" t="s">
        <v>168</v>
      </c>
      <c r="D669" t="s">
        <v>25</v>
      </c>
      <c r="E669" t="s">
        <v>69</v>
      </c>
      <c r="F669" t="s">
        <v>27</v>
      </c>
      <c r="G669" t="s">
        <v>28</v>
      </c>
      <c r="H669" t="s">
        <v>125</v>
      </c>
      <c r="I669">
        <v>4</v>
      </c>
      <c r="J669" s="4">
        <v>350</v>
      </c>
      <c r="K669" s="6">
        <v>0</v>
      </c>
      <c r="L669" s="8">
        <v>1400</v>
      </c>
      <c r="M669" s="8">
        <v>720</v>
      </c>
      <c r="N669" s="8">
        <v>680</v>
      </c>
      <c r="O669" s="8">
        <f>SalesData[[#This Row],[Quantity]]*SalesData[[#This Row],[Unit Price]]*(1-SalesData[[#This Row],[Discount]])</f>
        <v>1400</v>
      </c>
      <c r="P669" s="8">
        <f>SalesData[[#This Row],[Sales_Check]]-SalesData[[#This Row],[Cost]]</f>
        <v>680</v>
      </c>
      <c r="Q669" s="13">
        <f>IFERROR(SalesData[[#This Row],[Profit]]/SalesData[[#This Row],[Sales]],0)</f>
        <v>0.48571428571428571</v>
      </c>
      <c r="R669" t="str">
        <f>TEXT(SalesData[[#This Row],[Order Date]],"mmm-yyyy")</f>
        <v>May-2026</v>
      </c>
      <c r="S669">
        <f>YEAR(SalesData[[#This Row],[Order Date]])</f>
        <v>2026</v>
      </c>
      <c r="T669" t="str">
        <f>IF(SalesData[[#This Row],[Profit Margin]]&gt;=30%,"High",IF(SalesData[[#This Row],[Profit Margin]]&gt;=15%,"Medium","Low"))</f>
        <v>High</v>
      </c>
    </row>
    <row r="670" spans="1:20" x14ac:dyDescent="0.35">
      <c r="A670" t="s">
        <v>1160</v>
      </c>
      <c r="B670" s="23" t="s">
        <v>1161</v>
      </c>
      <c r="C670" t="s">
        <v>639</v>
      </c>
      <c r="D670" t="s">
        <v>54</v>
      </c>
      <c r="E670" t="s">
        <v>110</v>
      </c>
      <c r="F670" t="s">
        <v>19</v>
      </c>
      <c r="G670" t="s">
        <v>215</v>
      </c>
      <c r="H670" t="s">
        <v>47</v>
      </c>
      <c r="I670">
        <v>1</v>
      </c>
      <c r="J670" s="4">
        <v>280</v>
      </c>
      <c r="K670" s="6">
        <v>0</v>
      </c>
      <c r="L670" s="8">
        <v>280</v>
      </c>
      <c r="M670" s="8">
        <v>150</v>
      </c>
      <c r="N670" s="8">
        <v>130</v>
      </c>
      <c r="O670" s="8">
        <f>SalesData[[#This Row],[Quantity]]*SalesData[[#This Row],[Unit Price]]*(1-SalesData[[#This Row],[Discount]])</f>
        <v>280</v>
      </c>
      <c r="P670" s="8">
        <f>SalesData[[#This Row],[Sales_Check]]-SalesData[[#This Row],[Cost]]</f>
        <v>130</v>
      </c>
      <c r="Q670" s="13">
        <f>IFERROR(SalesData[[#This Row],[Profit]]/SalesData[[#This Row],[Sales]],0)</f>
        <v>0.4642857142857143</v>
      </c>
      <c r="R670" t="str">
        <f>TEXT(SalesData[[#This Row],[Order Date]],"mmm-yyyy")</f>
        <v>May-2026</v>
      </c>
      <c r="S670">
        <f>YEAR(SalesData[[#This Row],[Order Date]])</f>
        <v>2026</v>
      </c>
      <c r="T670" t="str">
        <f>IF(SalesData[[#This Row],[Profit Margin]]&gt;=30%,"High",IF(SalesData[[#This Row],[Profit Margin]]&gt;=15%,"Medium","Low"))</f>
        <v>High</v>
      </c>
    </row>
    <row r="671" spans="1:20" x14ac:dyDescent="0.35">
      <c r="A671" t="s">
        <v>1162</v>
      </c>
      <c r="B671" s="23" t="s">
        <v>1161</v>
      </c>
      <c r="C671" t="s">
        <v>643</v>
      </c>
      <c r="D671" t="s">
        <v>43</v>
      </c>
      <c r="E671" t="s">
        <v>169</v>
      </c>
      <c r="F671" t="s">
        <v>19</v>
      </c>
      <c r="G671" t="s">
        <v>20</v>
      </c>
      <c r="H671" t="s">
        <v>29</v>
      </c>
      <c r="I671">
        <v>9</v>
      </c>
      <c r="J671" s="4">
        <v>350</v>
      </c>
      <c r="K671" s="6">
        <v>0.1</v>
      </c>
      <c r="L671" s="8">
        <v>2835</v>
      </c>
      <c r="M671" s="8">
        <v>1530</v>
      </c>
      <c r="N671" s="8">
        <v>1305</v>
      </c>
      <c r="O671" s="8">
        <f>SalesData[[#This Row],[Quantity]]*SalesData[[#This Row],[Unit Price]]*(1-SalesData[[#This Row],[Discount]])</f>
        <v>2835</v>
      </c>
      <c r="P671" s="8">
        <f>SalesData[[#This Row],[Sales_Check]]-SalesData[[#This Row],[Cost]]</f>
        <v>1305</v>
      </c>
      <c r="Q671" s="13">
        <f>IFERROR(SalesData[[#This Row],[Profit]]/SalesData[[#This Row],[Sales]],0)</f>
        <v>0.46031746031746029</v>
      </c>
      <c r="R671" t="str">
        <f>TEXT(SalesData[[#This Row],[Order Date]],"mmm-yyyy")</f>
        <v>May-2026</v>
      </c>
      <c r="S671">
        <f>YEAR(SalesData[[#This Row],[Order Date]])</f>
        <v>2026</v>
      </c>
      <c r="T671" t="str">
        <f>IF(SalesData[[#This Row],[Profit Margin]]&gt;=30%,"High",IF(SalesData[[#This Row],[Profit Margin]]&gt;=15%,"Medium","Low"))</f>
        <v>High</v>
      </c>
    </row>
    <row r="672" spans="1:20" x14ac:dyDescent="0.35">
      <c r="A672" t="s">
        <v>1163</v>
      </c>
      <c r="B672" s="23" t="s">
        <v>1161</v>
      </c>
      <c r="C672" t="s">
        <v>127</v>
      </c>
      <c r="D672" t="s">
        <v>17</v>
      </c>
      <c r="E672" t="s">
        <v>18</v>
      </c>
      <c r="F672" t="s">
        <v>45</v>
      </c>
      <c r="G672" t="s">
        <v>46</v>
      </c>
      <c r="H672" t="s">
        <v>47</v>
      </c>
      <c r="I672">
        <v>3</v>
      </c>
      <c r="J672" s="4">
        <v>1800</v>
      </c>
      <c r="K672" s="6">
        <v>0</v>
      </c>
      <c r="L672" s="8">
        <v>5400</v>
      </c>
      <c r="M672" s="8">
        <v>3300</v>
      </c>
      <c r="N672" s="8">
        <v>2100</v>
      </c>
      <c r="O672" s="8">
        <f>SalesData[[#This Row],[Quantity]]*SalesData[[#This Row],[Unit Price]]*(1-SalesData[[#This Row],[Discount]])</f>
        <v>5400</v>
      </c>
      <c r="P672" s="8">
        <f>SalesData[[#This Row],[Sales_Check]]-SalesData[[#This Row],[Cost]]</f>
        <v>2100</v>
      </c>
      <c r="Q672" s="13">
        <f>IFERROR(SalesData[[#This Row],[Profit]]/SalesData[[#This Row],[Sales]],0)</f>
        <v>0.3888888888888889</v>
      </c>
      <c r="R672" t="str">
        <f>TEXT(SalesData[[#This Row],[Order Date]],"mmm-yyyy")</f>
        <v>May-2026</v>
      </c>
      <c r="S672">
        <f>YEAR(SalesData[[#This Row],[Order Date]])</f>
        <v>2026</v>
      </c>
      <c r="T672" t="str">
        <f>IF(SalesData[[#This Row],[Profit Margin]]&gt;=30%,"High",IF(SalesData[[#This Row],[Profit Margin]]&gt;=15%,"Medium","Low"))</f>
        <v>High</v>
      </c>
    </row>
    <row r="673" spans="1:20" x14ac:dyDescent="0.35">
      <c r="A673" t="s">
        <v>1164</v>
      </c>
      <c r="B673" s="23" t="s">
        <v>1165</v>
      </c>
      <c r="C673" t="s">
        <v>275</v>
      </c>
      <c r="D673" t="s">
        <v>25</v>
      </c>
      <c r="E673" t="s">
        <v>80</v>
      </c>
      <c r="F673" t="s">
        <v>27</v>
      </c>
      <c r="G673" t="s">
        <v>28</v>
      </c>
      <c r="H673" t="s">
        <v>33</v>
      </c>
      <c r="I673">
        <v>7</v>
      </c>
      <c r="J673" s="4">
        <v>950</v>
      </c>
      <c r="K673" s="6">
        <v>0.05</v>
      </c>
      <c r="L673" s="8">
        <v>6317.5</v>
      </c>
      <c r="M673" s="8">
        <v>3920</v>
      </c>
      <c r="N673" s="8">
        <v>2397.5</v>
      </c>
      <c r="O673" s="8">
        <f>SalesData[[#This Row],[Quantity]]*SalesData[[#This Row],[Unit Price]]*(1-SalesData[[#This Row],[Discount]])</f>
        <v>6317.5</v>
      </c>
      <c r="P673" s="8">
        <f>SalesData[[#This Row],[Sales_Check]]-SalesData[[#This Row],[Cost]]</f>
        <v>2397.5</v>
      </c>
      <c r="Q673" s="13">
        <f>IFERROR(SalesData[[#This Row],[Profit]]/SalesData[[#This Row],[Sales]],0)</f>
        <v>0.37950138504155123</v>
      </c>
      <c r="R673" t="str">
        <f>TEXT(SalesData[[#This Row],[Order Date]],"mmm-yyyy")</f>
        <v>May-2026</v>
      </c>
      <c r="S673">
        <f>YEAR(SalesData[[#This Row],[Order Date]])</f>
        <v>2026</v>
      </c>
      <c r="T673" t="str">
        <f>IF(SalesData[[#This Row],[Profit Margin]]&gt;=30%,"High",IF(SalesData[[#This Row],[Profit Margin]]&gt;=15%,"Medium","Low"))</f>
        <v>High</v>
      </c>
    </row>
    <row r="674" spans="1:20" x14ac:dyDescent="0.35">
      <c r="A674" t="s">
        <v>1166</v>
      </c>
      <c r="B674" s="23" t="s">
        <v>1167</v>
      </c>
      <c r="C674" t="s">
        <v>407</v>
      </c>
      <c r="D674" t="s">
        <v>54</v>
      </c>
      <c r="E674" t="s">
        <v>55</v>
      </c>
      <c r="F674" t="s">
        <v>19</v>
      </c>
      <c r="G674" t="s">
        <v>215</v>
      </c>
      <c r="H674" t="s">
        <v>29</v>
      </c>
      <c r="I674">
        <v>8</v>
      </c>
      <c r="J674" s="4">
        <v>180</v>
      </c>
      <c r="K674" s="6">
        <v>0</v>
      </c>
      <c r="L674" s="8">
        <v>1440</v>
      </c>
      <c r="M674" s="8">
        <v>720</v>
      </c>
      <c r="N674" s="8">
        <v>720</v>
      </c>
      <c r="O674" s="8">
        <f>SalesData[[#This Row],[Quantity]]*SalesData[[#This Row],[Unit Price]]*(1-SalesData[[#This Row],[Discount]])</f>
        <v>1440</v>
      </c>
      <c r="P674" s="8">
        <f>SalesData[[#This Row],[Sales_Check]]-SalesData[[#This Row],[Cost]]</f>
        <v>720</v>
      </c>
      <c r="Q674" s="13">
        <f>IFERROR(SalesData[[#This Row],[Profit]]/SalesData[[#This Row],[Sales]],0)</f>
        <v>0.5</v>
      </c>
      <c r="R674" t="str">
        <f>TEXT(SalesData[[#This Row],[Order Date]],"mmm-yyyy")</f>
        <v>May-2026</v>
      </c>
      <c r="S674">
        <f>YEAR(SalesData[[#This Row],[Order Date]])</f>
        <v>2026</v>
      </c>
      <c r="T674" t="str">
        <f>IF(SalesData[[#This Row],[Profit Margin]]&gt;=30%,"High",IF(SalesData[[#This Row],[Profit Margin]]&gt;=15%,"Medium","Low"))</f>
        <v>High</v>
      </c>
    </row>
    <row r="675" spans="1:20" x14ac:dyDescent="0.35">
      <c r="A675" t="s">
        <v>1168</v>
      </c>
      <c r="B675" s="23" t="s">
        <v>1169</v>
      </c>
      <c r="C675" t="s">
        <v>800</v>
      </c>
      <c r="D675" t="s">
        <v>25</v>
      </c>
      <c r="E675" t="s">
        <v>89</v>
      </c>
      <c r="F675" t="s">
        <v>45</v>
      </c>
      <c r="G675" t="s">
        <v>46</v>
      </c>
      <c r="H675" t="s">
        <v>21</v>
      </c>
      <c r="I675">
        <v>3</v>
      </c>
      <c r="J675" s="4">
        <v>550</v>
      </c>
      <c r="K675" s="6">
        <v>0.1</v>
      </c>
      <c r="L675" s="8">
        <v>1485</v>
      </c>
      <c r="M675" s="8">
        <v>900</v>
      </c>
      <c r="N675" s="8">
        <v>585</v>
      </c>
      <c r="O675" s="8">
        <f>SalesData[[#This Row],[Quantity]]*SalesData[[#This Row],[Unit Price]]*(1-SalesData[[#This Row],[Discount]])</f>
        <v>1485</v>
      </c>
      <c r="P675" s="8">
        <f>SalesData[[#This Row],[Sales_Check]]-SalesData[[#This Row],[Cost]]</f>
        <v>585</v>
      </c>
      <c r="Q675" s="13">
        <f>IFERROR(SalesData[[#This Row],[Profit]]/SalesData[[#This Row],[Sales]],0)</f>
        <v>0.39393939393939392</v>
      </c>
      <c r="R675" t="str">
        <f>TEXT(SalesData[[#This Row],[Order Date]],"mmm-yyyy")</f>
        <v>May-2026</v>
      </c>
      <c r="S675">
        <f>YEAR(SalesData[[#This Row],[Order Date]])</f>
        <v>2026</v>
      </c>
      <c r="T675" t="str">
        <f>IF(SalesData[[#This Row],[Profit Margin]]&gt;=30%,"High",IF(SalesData[[#This Row],[Profit Margin]]&gt;=15%,"Medium","Low"))</f>
        <v>High</v>
      </c>
    </row>
    <row r="676" spans="1:20" x14ac:dyDescent="0.35">
      <c r="A676" t="s">
        <v>1170</v>
      </c>
      <c r="B676" s="23" t="s">
        <v>1169</v>
      </c>
      <c r="C676" t="s">
        <v>127</v>
      </c>
      <c r="D676" t="s">
        <v>43</v>
      </c>
      <c r="E676" t="s">
        <v>143</v>
      </c>
      <c r="F676" t="s">
        <v>19</v>
      </c>
      <c r="G676" t="s">
        <v>113</v>
      </c>
      <c r="H676" t="s">
        <v>47</v>
      </c>
      <c r="I676">
        <v>5</v>
      </c>
      <c r="J676" s="4">
        <v>650</v>
      </c>
      <c r="K676" s="6">
        <v>0</v>
      </c>
      <c r="L676" s="8">
        <v>3250</v>
      </c>
      <c r="M676" s="8">
        <v>1750</v>
      </c>
      <c r="N676" s="8">
        <v>1500</v>
      </c>
      <c r="O676" s="8">
        <f>SalesData[[#This Row],[Quantity]]*SalesData[[#This Row],[Unit Price]]*(1-SalesData[[#This Row],[Discount]])</f>
        <v>3250</v>
      </c>
      <c r="P676" s="8">
        <f>SalesData[[#This Row],[Sales_Check]]-SalesData[[#This Row],[Cost]]</f>
        <v>1500</v>
      </c>
      <c r="Q676" s="13">
        <f>IFERROR(SalesData[[#This Row],[Profit]]/SalesData[[#This Row],[Sales]],0)</f>
        <v>0.46153846153846156</v>
      </c>
      <c r="R676" t="str">
        <f>TEXT(SalesData[[#This Row],[Order Date]],"mmm-yyyy")</f>
        <v>May-2026</v>
      </c>
      <c r="S676">
        <f>YEAR(SalesData[[#This Row],[Order Date]])</f>
        <v>2026</v>
      </c>
      <c r="T676" t="str">
        <f>IF(SalesData[[#This Row],[Profit Margin]]&gt;=30%,"High",IF(SalesData[[#This Row],[Profit Margin]]&gt;=15%,"Medium","Low"))</f>
        <v>High</v>
      </c>
    </row>
    <row r="677" spans="1:20" x14ac:dyDescent="0.35">
      <c r="A677" t="s">
        <v>1171</v>
      </c>
      <c r="B677" s="23" t="s">
        <v>1169</v>
      </c>
      <c r="C677" t="s">
        <v>196</v>
      </c>
      <c r="D677" t="s">
        <v>25</v>
      </c>
      <c r="E677" t="s">
        <v>69</v>
      </c>
      <c r="F677" t="s">
        <v>27</v>
      </c>
      <c r="G677" t="s">
        <v>51</v>
      </c>
      <c r="H677" t="s">
        <v>21</v>
      </c>
      <c r="I677">
        <v>10</v>
      </c>
      <c r="J677" s="4">
        <v>350</v>
      </c>
      <c r="K677" s="6">
        <v>0.1</v>
      </c>
      <c r="L677" s="8">
        <v>3150</v>
      </c>
      <c r="M677" s="8">
        <v>1800</v>
      </c>
      <c r="N677" s="8">
        <v>1350</v>
      </c>
      <c r="O677" s="8">
        <f>SalesData[[#This Row],[Quantity]]*SalesData[[#This Row],[Unit Price]]*(1-SalesData[[#This Row],[Discount]])</f>
        <v>3150</v>
      </c>
      <c r="P677" s="8">
        <f>SalesData[[#This Row],[Sales_Check]]-SalesData[[#This Row],[Cost]]</f>
        <v>1350</v>
      </c>
      <c r="Q677" s="13">
        <f>IFERROR(SalesData[[#This Row],[Profit]]/SalesData[[#This Row],[Sales]],0)</f>
        <v>0.42857142857142855</v>
      </c>
      <c r="R677" t="str">
        <f>TEXT(SalesData[[#This Row],[Order Date]],"mmm-yyyy")</f>
        <v>May-2026</v>
      </c>
      <c r="S677">
        <f>YEAR(SalesData[[#This Row],[Order Date]])</f>
        <v>2026</v>
      </c>
      <c r="T677" t="str">
        <f>IF(SalesData[[#This Row],[Profit Margin]]&gt;=30%,"High",IF(SalesData[[#This Row],[Profit Margin]]&gt;=15%,"Medium","Low"))</f>
        <v>High</v>
      </c>
    </row>
    <row r="678" spans="1:20" x14ac:dyDescent="0.35">
      <c r="A678" t="s">
        <v>1172</v>
      </c>
      <c r="B678" s="23" t="s">
        <v>1173</v>
      </c>
      <c r="C678" t="s">
        <v>254</v>
      </c>
      <c r="D678" t="s">
        <v>17</v>
      </c>
      <c r="E678" t="s">
        <v>18</v>
      </c>
      <c r="F678" t="s">
        <v>19</v>
      </c>
      <c r="G678" t="s">
        <v>56</v>
      </c>
      <c r="H678" t="s">
        <v>47</v>
      </c>
      <c r="I678">
        <v>1</v>
      </c>
      <c r="J678" s="4">
        <v>1800</v>
      </c>
      <c r="K678" s="6">
        <v>0</v>
      </c>
      <c r="L678" s="8">
        <v>1800</v>
      </c>
      <c r="M678" s="8">
        <v>1100</v>
      </c>
      <c r="N678" s="8">
        <v>700</v>
      </c>
      <c r="O678" s="8">
        <f>SalesData[[#This Row],[Quantity]]*SalesData[[#This Row],[Unit Price]]*(1-SalesData[[#This Row],[Discount]])</f>
        <v>1800</v>
      </c>
      <c r="P678" s="8">
        <f>SalesData[[#This Row],[Sales_Check]]-SalesData[[#This Row],[Cost]]</f>
        <v>700</v>
      </c>
      <c r="Q678" s="13">
        <f>IFERROR(SalesData[[#This Row],[Profit]]/SalesData[[#This Row],[Sales]],0)</f>
        <v>0.3888888888888889</v>
      </c>
      <c r="R678" t="str">
        <f>TEXT(SalesData[[#This Row],[Order Date]],"mmm-yyyy")</f>
        <v>May-2026</v>
      </c>
      <c r="S678">
        <f>YEAR(SalesData[[#This Row],[Order Date]])</f>
        <v>2026</v>
      </c>
      <c r="T678" t="str">
        <f>IF(SalesData[[#This Row],[Profit Margin]]&gt;=30%,"High",IF(SalesData[[#This Row],[Profit Margin]]&gt;=15%,"Medium","Low"))</f>
        <v>High</v>
      </c>
    </row>
    <row r="679" spans="1:20" x14ac:dyDescent="0.35">
      <c r="A679" t="s">
        <v>1174</v>
      </c>
      <c r="B679" s="23" t="s">
        <v>1173</v>
      </c>
      <c r="C679" t="s">
        <v>211</v>
      </c>
      <c r="D679" t="s">
        <v>25</v>
      </c>
      <c r="E679" t="s">
        <v>26</v>
      </c>
      <c r="F679" t="s">
        <v>19</v>
      </c>
      <c r="G679" t="s">
        <v>113</v>
      </c>
      <c r="H679" t="s">
        <v>29</v>
      </c>
      <c r="I679">
        <v>8</v>
      </c>
      <c r="J679" s="4">
        <v>600</v>
      </c>
      <c r="K679" s="6">
        <v>0.05</v>
      </c>
      <c r="L679" s="8">
        <v>4560</v>
      </c>
      <c r="M679" s="8">
        <v>2640</v>
      </c>
      <c r="N679" s="8">
        <v>1920</v>
      </c>
      <c r="O679" s="8">
        <f>SalesData[[#This Row],[Quantity]]*SalesData[[#This Row],[Unit Price]]*(1-SalesData[[#This Row],[Discount]])</f>
        <v>4560</v>
      </c>
      <c r="P679" s="8">
        <f>SalesData[[#This Row],[Sales_Check]]-SalesData[[#This Row],[Cost]]</f>
        <v>1920</v>
      </c>
      <c r="Q679" s="13">
        <f>IFERROR(SalesData[[#This Row],[Profit]]/SalesData[[#This Row],[Sales]],0)</f>
        <v>0.42105263157894735</v>
      </c>
      <c r="R679" t="str">
        <f>TEXT(SalesData[[#This Row],[Order Date]],"mmm-yyyy")</f>
        <v>May-2026</v>
      </c>
      <c r="S679">
        <f>YEAR(SalesData[[#This Row],[Order Date]])</f>
        <v>2026</v>
      </c>
      <c r="T679" t="str">
        <f>IF(SalesData[[#This Row],[Profit Margin]]&gt;=30%,"High",IF(SalesData[[#This Row],[Profit Margin]]&gt;=15%,"Medium","Low"))</f>
        <v>High</v>
      </c>
    </row>
    <row r="680" spans="1:20" x14ac:dyDescent="0.35">
      <c r="A680" t="s">
        <v>1175</v>
      </c>
      <c r="B680" s="23" t="s">
        <v>1173</v>
      </c>
      <c r="C680" t="s">
        <v>683</v>
      </c>
      <c r="D680" t="s">
        <v>25</v>
      </c>
      <c r="E680" t="s">
        <v>80</v>
      </c>
      <c r="F680" t="s">
        <v>19</v>
      </c>
      <c r="G680" t="s">
        <v>56</v>
      </c>
      <c r="H680" t="s">
        <v>21</v>
      </c>
      <c r="I680">
        <v>6</v>
      </c>
      <c r="J680" s="4">
        <v>950</v>
      </c>
      <c r="K680" s="6">
        <v>0.1</v>
      </c>
      <c r="L680" s="8">
        <v>5130</v>
      </c>
      <c r="M680" s="8">
        <v>3360</v>
      </c>
      <c r="N680" s="8">
        <v>1770</v>
      </c>
      <c r="O680" s="8">
        <f>SalesData[[#This Row],[Quantity]]*SalesData[[#This Row],[Unit Price]]*(1-SalesData[[#This Row],[Discount]])</f>
        <v>5130</v>
      </c>
      <c r="P680" s="8">
        <f>SalesData[[#This Row],[Sales_Check]]-SalesData[[#This Row],[Cost]]</f>
        <v>1770</v>
      </c>
      <c r="Q680" s="13">
        <f>IFERROR(SalesData[[#This Row],[Profit]]/SalesData[[#This Row],[Sales]],0)</f>
        <v>0.34502923976608185</v>
      </c>
      <c r="R680" t="str">
        <f>TEXT(SalesData[[#This Row],[Order Date]],"mmm-yyyy")</f>
        <v>May-2026</v>
      </c>
      <c r="S680">
        <f>YEAR(SalesData[[#This Row],[Order Date]])</f>
        <v>2026</v>
      </c>
      <c r="T680" t="str">
        <f>IF(SalesData[[#This Row],[Profit Margin]]&gt;=30%,"High",IF(SalesData[[#This Row],[Profit Margin]]&gt;=15%,"Medium","Low"))</f>
        <v>High</v>
      </c>
    </row>
    <row r="681" spans="1:20" x14ac:dyDescent="0.35">
      <c r="A681" t="s">
        <v>1176</v>
      </c>
      <c r="B681" s="23" t="s">
        <v>1177</v>
      </c>
      <c r="C681" t="s">
        <v>182</v>
      </c>
      <c r="D681" t="s">
        <v>54</v>
      </c>
      <c r="E681" t="s">
        <v>110</v>
      </c>
      <c r="F681" t="s">
        <v>37</v>
      </c>
      <c r="G681" t="s">
        <v>140</v>
      </c>
      <c r="H681" t="s">
        <v>39</v>
      </c>
      <c r="I681">
        <v>8</v>
      </c>
      <c r="J681" s="4">
        <v>280</v>
      </c>
      <c r="K681" s="6">
        <v>0.1</v>
      </c>
      <c r="L681" s="8">
        <v>2016</v>
      </c>
      <c r="M681" s="8">
        <v>1200</v>
      </c>
      <c r="N681" s="8">
        <v>816</v>
      </c>
      <c r="O681" s="8">
        <f>SalesData[[#This Row],[Quantity]]*SalesData[[#This Row],[Unit Price]]*(1-SalesData[[#This Row],[Discount]])</f>
        <v>2016</v>
      </c>
      <c r="P681" s="8">
        <f>SalesData[[#This Row],[Sales_Check]]-SalesData[[#This Row],[Cost]]</f>
        <v>816</v>
      </c>
      <c r="Q681" s="13">
        <f>IFERROR(SalesData[[#This Row],[Profit]]/SalesData[[#This Row],[Sales]],0)</f>
        <v>0.40476190476190477</v>
      </c>
      <c r="R681" t="str">
        <f>TEXT(SalesData[[#This Row],[Order Date]],"mmm-yyyy")</f>
        <v>May-2026</v>
      </c>
      <c r="S681">
        <f>YEAR(SalesData[[#This Row],[Order Date]])</f>
        <v>2026</v>
      </c>
      <c r="T681" t="str">
        <f>IF(SalesData[[#This Row],[Profit Margin]]&gt;=30%,"High",IF(SalesData[[#This Row],[Profit Margin]]&gt;=15%,"Medium","Low"))</f>
        <v>High</v>
      </c>
    </row>
    <row r="682" spans="1:20" x14ac:dyDescent="0.35">
      <c r="A682" t="s">
        <v>1178</v>
      </c>
      <c r="B682" s="23" t="s">
        <v>1177</v>
      </c>
      <c r="C682" t="s">
        <v>802</v>
      </c>
      <c r="D682" t="s">
        <v>25</v>
      </c>
      <c r="E682" t="s">
        <v>36</v>
      </c>
      <c r="F682" t="s">
        <v>45</v>
      </c>
      <c r="G682" t="s">
        <v>104</v>
      </c>
      <c r="H682" t="s">
        <v>39</v>
      </c>
      <c r="I682">
        <v>9</v>
      </c>
      <c r="J682" s="4">
        <v>700</v>
      </c>
      <c r="K682" s="6">
        <v>0.05</v>
      </c>
      <c r="L682" s="8">
        <v>5985</v>
      </c>
      <c r="M682" s="8">
        <v>3600</v>
      </c>
      <c r="N682" s="8">
        <v>2385</v>
      </c>
      <c r="O682" s="8">
        <f>SalesData[[#This Row],[Quantity]]*SalesData[[#This Row],[Unit Price]]*(1-SalesData[[#This Row],[Discount]])</f>
        <v>5985</v>
      </c>
      <c r="P682" s="8">
        <f>SalesData[[#This Row],[Sales_Check]]-SalesData[[#This Row],[Cost]]</f>
        <v>2385</v>
      </c>
      <c r="Q682" s="13">
        <f>IFERROR(SalesData[[#This Row],[Profit]]/SalesData[[#This Row],[Sales]],0)</f>
        <v>0.39849624060150374</v>
      </c>
      <c r="R682" t="str">
        <f>TEXT(SalesData[[#This Row],[Order Date]],"mmm-yyyy")</f>
        <v>May-2026</v>
      </c>
      <c r="S682">
        <f>YEAR(SalesData[[#This Row],[Order Date]])</f>
        <v>2026</v>
      </c>
      <c r="T682" t="str">
        <f>IF(SalesData[[#This Row],[Profit Margin]]&gt;=30%,"High",IF(SalesData[[#This Row],[Profit Margin]]&gt;=15%,"Medium","Low"))</f>
        <v>High</v>
      </c>
    </row>
    <row r="683" spans="1:20" x14ac:dyDescent="0.35">
      <c r="A683" t="s">
        <v>1179</v>
      </c>
      <c r="B683" s="23" t="s">
        <v>1177</v>
      </c>
      <c r="C683" t="s">
        <v>42</v>
      </c>
      <c r="D683" t="s">
        <v>17</v>
      </c>
      <c r="E683" t="s">
        <v>65</v>
      </c>
      <c r="F683" t="s">
        <v>45</v>
      </c>
      <c r="G683" t="s">
        <v>104</v>
      </c>
      <c r="H683" t="s">
        <v>125</v>
      </c>
      <c r="I683">
        <v>5</v>
      </c>
      <c r="J683" s="4">
        <v>2200</v>
      </c>
      <c r="K683" s="6">
        <v>0.05</v>
      </c>
      <c r="L683" s="8">
        <v>10450</v>
      </c>
      <c r="M683" s="8">
        <v>7000</v>
      </c>
      <c r="N683" s="8">
        <v>3450</v>
      </c>
      <c r="O683" s="8">
        <f>SalesData[[#This Row],[Quantity]]*SalesData[[#This Row],[Unit Price]]*(1-SalesData[[#This Row],[Discount]])</f>
        <v>10450</v>
      </c>
      <c r="P683" s="8">
        <f>SalesData[[#This Row],[Sales_Check]]-SalesData[[#This Row],[Cost]]</f>
        <v>3450</v>
      </c>
      <c r="Q683" s="13">
        <f>IFERROR(SalesData[[#This Row],[Profit]]/SalesData[[#This Row],[Sales]],0)</f>
        <v>0.33014354066985646</v>
      </c>
      <c r="R683" t="str">
        <f>TEXT(SalesData[[#This Row],[Order Date]],"mmm-yyyy")</f>
        <v>May-2026</v>
      </c>
      <c r="S683">
        <f>YEAR(SalesData[[#This Row],[Order Date]])</f>
        <v>2026</v>
      </c>
      <c r="T683" t="str">
        <f>IF(SalesData[[#This Row],[Profit Margin]]&gt;=30%,"High",IF(SalesData[[#This Row],[Profit Margin]]&gt;=15%,"Medium","Low"))</f>
        <v>High</v>
      </c>
    </row>
    <row r="684" spans="1:20" x14ac:dyDescent="0.35">
      <c r="A684" t="s">
        <v>1180</v>
      </c>
      <c r="B684" s="23" t="s">
        <v>1177</v>
      </c>
      <c r="C684" t="s">
        <v>1181</v>
      </c>
      <c r="D684" t="s">
        <v>54</v>
      </c>
      <c r="E684" t="s">
        <v>116</v>
      </c>
      <c r="F684" t="s">
        <v>37</v>
      </c>
      <c r="G684" t="s">
        <v>97</v>
      </c>
      <c r="H684" t="s">
        <v>29</v>
      </c>
      <c r="I684">
        <v>2</v>
      </c>
      <c r="J684" s="4">
        <v>450</v>
      </c>
      <c r="K684" s="6">
        <v>0.1</v>
      </c>
      <c r="L684" s="8">
        <v>810</v>
      </c>
      <c r="M684" s="8">
        <v>500</v>
      </c>
      <c r="N684" s="8">
        <v>310</v>
      </c>
      <c r="O684" s="8">
        <f>SalesData[[#This Row],[Quantity]]*SalesData[[#This Row],[Unit Price]]*(1-SalesData[[#This Row],[Discount]])</f>
        <v>810</v>
      </c>
      <c r="P684" s="8">
        <f>SalesData[[#This Row],[Sales_Check]]-SalesData[[#This Row],[Cost]]</f>
        <v>310</v>
      </c>
      <c r="Q684" s="13">
        <f>IFERROR(SalesData[[#This Row],[Profit]]/SalesData[[#This Row],[Sales]],0)</f>
        <v>0.38271604938271603</v>
      </c>
      <c r="R684" t="str">
        <f>TEXT(SalesData[[#This Row],[Order Date]],"mmm-yyyy")</f>
        <v>May-2026</v>
      </c>
      <c r="S684">
        <f>YEAR(SalesData[[#This Row],[Order Date]])</f>
        <v>2026</v>
      </c>
      <c r="T684" t="str">
        <f>IF(SalesData[[#This Row],[Profit Margin]]&gt;=30%,"High",IF(SalesData[[#This Row],[Profit Margin]]&gt;=15%,"Medium","Low"))</f>
        <v>High</v>
      </c>
    </row>
    <row r="685" spans="1:20" x14ac:dyDescent="0.35">
      <c r="A685" t="s">
        <v>1182</v>
      </c>
      <c r="B685" s="23" t="s">
        <v>1177</v>
      </c>
      <c r="C685" t="s">
        <v>198</v>
      </c>
      <c r="D685" t="s">
        <v>17</v>
      </c>
      <c r="E685" t="s">
        <v>65</v>
      </c>
      <c r="F685" t="s">
        <v>37</v>
      </c>
      <c r="G685" t="s">
        <v>38</v>
      </c>
      <c r="H685" t="s">
        <v>47</v>
      </c>
      <c r="I685">
        <v>2</v>
      </c>
      <c r="J685" s="4">
        <v>2200</v>
      </c>
      <c r="K685" s="6">
        <v>0.1</v>
      </c>
      <c r="L685" s="8">
        <v>3960</v>
      </c>
      <c r="M685" s="8">
        <v>2800</v>
      </c>
      <c r="N685" s="8">
        <v>1160</v>
      </c>
      <c r="O685" s="8">
        <f>SalesData[[#This Row],[Quantity]]*SalesData[[#This Row],[Unit Price]]*(1-SalesData[[#This Row],[Discount]])</f>
        <v>3960</v>
      </c>
      <c r="P685" s="8">
        <f>SalesData[[#This Row],[Sales_Check]]-SalesData[[#This Row],[Cost]]</f>
        <v>1160</v>
      </c>
      <c r="Q685" s="13">
        <f>IFERROR(SalesData[[#This Row],[Profit]]/SalesData[[#This Row],[Sales]],0)</f>
        <v>0.29292929292929293</v>
      </c>
      <c r="R685" t="str">
        <f>TEXT(SalesData[[#This Row],[Order Date]],"mmm-yyyy")</f>
        <v>May-2026</v>
      </c>
      <c r="S685">
        <f>YEAR(SalesData[[#This Row],[Order Date]])</f>
        <v>2026</v>
      </c>
      <c r="T685" t="str">
        <f>IF(SalesData[[#This Row],[Profit Margin]]&gt;=30%,"High",IF(SalesData[[#This Row],[Profit Margin]]&gt;=15%,"Medium","Low"))</f>
        <v>Medium</v>
      </c>
    </row>
    <row r="686" spans="1:20" x14ac:dyDescent="0.35">
      <c r="A686" t="s">
        <v>1183</v>
      </c>
      <c r="B686" s="23" t="s">
        <v>1184</v>
      </c>
      <c r="C686" t="s">
        <v>84</v>
      </c>
      <c r="D686" t="s">
        <v>54</v>
      </c>
      <c r="E686" t="s">
        <v>55</v>
      </c>
      <c r="F686" t="s">
        <v>37</v>
      </c>
      <c r="G686" t="s">
        <v>140</v>
      </c>
      <c r="H686" t="s">
        <v>21</v>
      </c>
      <c r="I686">
        <v>6</v>
      </c>
      <c r="J686" s="4">
        <v>180</v>
      </c>
      <c r="K686" s="6">
        <v>0.05</v>
      </c>
      <c r="L686" s="8">
        <v>1026</v>
      </c>
      <c r="M686" s="8">
        <v>540</v>
      </c>
      <c r="N686" s="8">
        <v>486</v>
      </c>
      <c r="O686" s="8">
        <f>SalesData[[#This Row],[Quantity]]*SalesData[[#This Row],[Unit Price]]*(1-SalesData[[#This Row],[Discount]])</f>
        <v>1026</v>
      </c>
      <c r="P686" s="8">
        <f>SalesData[[#This Row],[Sales_Check]]-SalesData[[#This Row],[Cost]]</f>
        <v>486</v>
      </c>
      <c r="Q686" s="13">
        <f>IFERROR(SalesData[[#This Row],[Profit]]/SalesData[[#This Row],[Sales]],0)</f>
        <v>0.47368421052631576</v>
      </c>
      <c r="R686" t="str">
        <f>TEXT(SalesData[[#This Row],[Order Date]],"mmm-yyyy")</f>
        <v>May-2026</v>
      </c>
      <c r="S686">
        <f>YEAR(SalesData[[#This Row],[Order Date]])</f>
        <v>2026</v>
      </c>
      <c r="T686" t="str">
        <f>IF(SalesData[[#This Row],[Profit Margin]]&gt;=30%,"High",IF(SalesData[[#This Row],[Profit Margin]]&gt;=15%,"Medium","Low"))</f>
        <v>High</v>
      </c>
    </row>
    <row r="687" spans="1:20" x14ac:dyDescent="0.35">
      <c r="A687" t="s">
        <v>1185</v>
      </c>
      <c r="B687" s="23" t="s">
        <v>1186</v>
      </c>
      <c r="C687" t="s">
        <v>1181</v>
      </c>
      <c r="D687" t="s">
        <v>17</v>
      </c>
      <c r="E687" t="s">
        <v>65</v>
      </c>
      <c r="F687" t="s">
        <v>45</v>
      </c>
      <c r="G687" t="s">
        <v>46</v>
      </c>
      <c r="H687" t="s">
        <v>125</v>
      </c>
      <c r="I687">
        <v>6</v>
      </c>
      <c r="J687" s="4">
        <v>2200</v>
      </c>
      <c r="K687" s="6">
        <v>0</v>
      </c>
      <c r="L687" s="8">
        <v>13200</v>
      </c>
      <c r="M687" s="8">
        <v>8400</v>
      </c>
      <c r="N687" s="8">
        <v>4800</v>
      </c>
      <c r="O687" s="8">
        <f>SalesData[[#This Row],[Quantity]]*SalesData[[#This Row],[Unit Price]]*(1-SalesData[[#This Row],[Discount]])</f>
        <v>13200</v>
      </c>
      <c r="P687" s="8">
        <f>SalesData[[#This Row],[Sales_Check]]-SalesData[[#This Row],[Cost]]</f>
        <v>4800</v>
      </c>
      <c r="Q687" s="13">
        <f>IFERROR(SalesData[[#This Row],[Profit]]/SalesData[[#This Row],[Sales]],0)</f>
        <v>0.36363636363636365</v>
      </c>
      <c r="R687" t="str">
        <f>TEXT(SalesData[[#This Row],[Order Date]],"mmm-yyyy")</f>
        <v>May-2026</v>
      </c>
      <c r="S687">
        <f>YEAR(SalesData[[#This Row],[Order Date]])</f>
        <v>2026</v>
      </c>
      <c r="T687" t="str">
        <f>IF(SalesData[[#This Row],[Profit Margin]]&gt;=30%,"High",IF(SalesData[[#This Row],[Profit Margin]]&gt;=15%,"Medium","Low"))</f>
        <v>High</v>
      </c>
    </row>
    <row r="688" spans="1:20" x14ac:dyDescent="0.35">
      <c r="A688" t="s">
        <v>1187</v>
      </c>
      <c r="B688" s="23" t="s">
        <v>1188</v>
      </c>
      <c r="C688" t="s">
        <v>1189</v>
      </c>
      <c r="D688" t="s">
        <v>25</v>
      </c>
      <c r="E688" t="s">
        <v>89</v>
      </c>
      <c r="F688" t="s">
        <v>37</v>
      </c>
      <c r="G688" t="s">
        <v>140</v>
      </c>
      <c r="H688" t="s">
        <v>21</v>
      </c>
      <c r="I688">
        <v>2</v>
      </c>
      <c r="J688" s="4">
        <v>550</v>
      </c>
      <c r="K688" s="6">
        <v>0.1</v>
      </c>
      <c r="L688" s="8">
        <v>990</v>
      </c>
      <c r="M688" s="8">
        <v>600</v>
      </c>
      <c r="N688" s="8">
        <v>390</v>
      </c>
      <c r="O688" s="8">
        <f>SalesData[[#This Row],[Quantity]]*SalesData[[#This Row],[Unit Price]]*(1-SalesData[[#This Row],[Discount]])</f>
        <v>990</v>
      </c>
      <c r="P688" s="8">
        <f>SalesData[[#This Row],[Sales_Check]]-SalesData[[#This Row],[Cost]]</f>
        <v>390</v>
      </c>
      <c r="Q688" s="13">
        <f>IFERROR(SalesData[[#This Row],[Profit]]/SalesData[[#This Row],[Sales]],0)</f>
        <v>0.39393939393939392</v>
      </c>
      <c r="R688" t="str">
        <f>TEXT(SalesData[[#This Row],[Order Date]],"mmm-yyyy")</f>
        <v>May-2026</v>
      </c>
      <c r="S688">
        <f>YEAR(SalesData[[#This Row],[Order Date]])</f>
        <v>2026</v>
      </c>
      <c r="T688" t="str">
        <f>IF(SalesData[[#This Row],[Profit Margin]]&gt;=30%,"High",IF(SalesData[[#This Row],[Profit Margin]]&gt;=15%,"Medium","Low"))</f>
        <v>High</v>
      </c>
    </row>
    <row r="689" spans="1:20" x14ac:dyDescent="0.35">
      <c r="A689" t="s">
        <v>1190</v>
      </c>
      <c r="B689" s="23" t="s">
        <v>1188</v>
      </c>
      <c r="C689" t="s">
        <v>450</v>
      </c>
      <c r="D689" t="s">
        <v>17</v>
      </c>
      <c r="E689" t="s">
        <v>124</v>
      </c>
      <c r="F689" t="s">
        <v>45</v>
      </c>
      <c r="G689" t="s">
        <v>70</v>
      </c>
      <c r="H689" t="s">
        <v>47</v>
      </c>
      <c r="I689">
        <v>8</v>
      </c>
      <c r="J689" s="4">
        <v>1200</v>
      </c>
      <c r="K689" s="6">
        <v>0</v>
      </c>
      <c r="L689" s="8">
        <v>9600</v>
      </c>
      <c r="M689" s="8">
        <v>5760</v>
      </c>
      <c r="N689" s="8">
        <v>3840</v>
      </c>
      <c r="O689" s="8">
        <f>SalesData[[#This Row],[Quantity]]*SalesData[[#This Row],[Unit Price]]*(1-SalesData[[#This Row],[Discount]])</f>
        <v>9600</v>
      </c>
      <c r="P689" s="8">
        <f>SalesData[[#This Row],[Sales_Check]]-SalesData[[#This Row],[Cost]]</f>
        <v>3840</v>
      </c>
      <c r="Q689" s="13">
        <f>IFERROR(SalesData[[#This Row],[Profit]]/SalesData[[#This Row],[Sales]],0)</f>
        <v>0.4</v>
      </c>
      <c r="R689" t="str">
        <f>TEXT(SalesData[[#This Row],[Order Date]],"mmm-yyyy")</f>
        <v>May-2026</v>
      </c>
      <c r="S689">
        <f>YEAR(SalesData[[#This Row],[Order Date]])</f>
        <v>2026</v>
      </c>
      <c r="T689" t="str">
        <f>IF(SalesData[[#This Row],[Profit Margin]]&gt;=30%,"High",IF(SalesData[[#This Row],[Profit Margin]]&gt;=15%,"Medium","Low"))</f>
        <v>High</v>
      </c>
    </row>
    <row r="690" spans="1:20" x14ac:dyDescent="0.35">
      <c r="A690" t="s">
        <v>1191</v>
      </c>
      <c r="B690" s="23" t="s">
        <v>1188</v>
      </c>
      <c r="C690" t="s">
        <v>825</v>
      </c>
      <c r="D690" t="s">
        <v>25</v>
      </c>
      <c r="E690" t="s">
        <v>36</v>
      </c>
      <c r="F690" t="s">
        <v>45</v>
      </c>
      <c r="G690" t="s">
        <v>122</v>
      </c>
      <c r="H690" t="s">
        <v>29</v>
      </c>
      <c r="I690">
        <v>9</v>
      </c>
      <c r="J690" s="4">
        <v>700</v>
      </c>
      <c r="K690" s="6">
        <v>0</v>
      </c>
      <c r="L690" s="8">
        <v>6300</v>
      </c>
      <c r="M690" s="8">
        <v>3600</v>
      </c>
      <c r="N690" s="8">
        <v>2700</v>
      </c>
      <c r="O690" s="8">
        <f>SalesData[[#This Row],[Quantity]]*SalesData[[#This Row],[Unit Price]]*(1-SalesData[[#This Row],[Discount]])</f>
        <v>6300</v>
      </c>
      <c r="P690" s="8">
        <f>SalesData[[#This Row],[Sales_Check]]-SalesData[[#This Row],[Cost]]</f>
        <v>2700</v>
      </c>
      <c r="Q690" s="13">
        <f>IFERROR(SalesData[[#This Row],[Profit]]/SalesData[[#This Row],[Sales]],0)</f>
        <v>0.42857142857142855</v>
      </c>
      <c r="R690" t="str">
        <f>TEXT(SalesData[[#This Row],[Order Date]],"mmm-yyyy")</f>
        <v>May-2026</v>
      </c>
      <c r="S690">
        <f>YEAR(SalesData[[#This Row],[Order Date]])</f>
        <v>2026</v>
      </c>
      <c r="T690" t="str">
        <f>IF(SalesData[[#This Row],[Profit Margin]]&gt;=30%,"High",IF(SalesData[[#This Row],[Profit Margin]]&gt;=15%,"Medium","Low"))</f>
        <v>High</v>
      </c>
    </row>
    <row r="691" spans="1:20" x14ac:dyDescent="0.35">
      <c r="A691" t="s">
        <v>1192</v>
      </c>
      <c r="B691" s="23" t="s">
        <v>1188</v>
      </c>
      <c r="C691" t="s">
        <v>185</v>
      </c>
      <c r="D691" t="s">
        <v>17</v>
      </c>
      <c r="E691" t="s">
        <v>50</v>
      </c>
      <c r="F691" t="s">
        <v>19</v>
      </c>
      <c r="G691" t="s">
        <v>56</v>
      </c>
      <c r="H691" t="s">
        <v>39</v>
      </c>
      <c r="I691">
        <v>8</v>
      </c>
      <c r="J691" s="4">
        <v>650</v>
      </c>
      <c r="K691" s="6">
        <v>0.1</v>
      </c>
      <c r="L691" s="8">
        <v>4680</v>
      </c>
      <c r="M691" s="8">
        <v>3040</v>
      </c>
      <c r="N691" s="8">
        <v>1640</v>
      </c>
      <c r="O691" s="8">
        <f>SalesData[[#This Row],[Quantity]]*SalesData[[#This Row],[Unit Price]]*(1-SalesData[[#This Row],[Discount]])</f>
        <v>4680</v>
      </c>
      <c r="P691" s="8">
        <f>SalesData[[#This Row],[Sales_Check]]-SalesData[[#This Row],[Cost]]</f>
        <v>1640</v>
      </c>
      <c r="Q691" s="13">
        <f>IFERROR(SalesData[[#This Row],[Profit]]/SalesData[[#This Row],[Sales]],0)</f>
        <v>0.3504273504273504</v>
      </c>
      <c r="R691" t="str">
        <f>TEXT(SalesData[[#This Row],[Order Date]],"mmm-yyyy")</f>
        <v>May-2026</v>
      </c>
      <c r="S691">
        <f>YEAR(SalesData[[#This Row],[Order Date]])</f>
        <v>2026</v>
      </c>
      <c r="T691" t="str">
        <f>IF(SalesData[[#This Row],[Profit Margin]]&gt;=30%,"High",IF(SalesData[[#This Row],[Profit Margin]]&gt;=15%,"Medium","Low"))</f>
        <v>High</v>
      </c>
    </row>
    <row r="692" spans="1:20" x14ac:dyDescent="0.35">
      <c r="A692" t="s">
        <v>1193</v>
      </c>
      <c r="B692" s="23" t="s">
        <v>1194</v>
      </c>
      <c r="C692" t="s">
        <v>591</v>
      </c>
      <c r="D692" t="s">
        <v>17</v>
      </c>
      <c r="E692" t="s">
        <v>50</v>
      </c>
      <c r="F692" t="s">
        <v>27</v>
      </c>
      <c r="G692" t="s">
        <v>28</v>
      </c>
      <c r="H692" t="s">
        <v>33</v>
      </c>
      <c r="I692">
        <v>6</v>
      </c>
      <c r="J692" s="4">
        <v>650</v>
      </c>
      <c r="K692" s="6">
        <v>0</v>
      </c>
      <c r="L692" s="8">
        <v>3900</v>
      </c>
      <c r="M692" s="8">
        <v>2280</v>
      </c>
      <c r="N692" s="8">
        <v>1620</v>
      </c>
      <c r="O692" s="8">
        <f>SalesData[[#This Row],[Quantity]]*SalesData[[#This Row],[Unit Price]]*(1-SalesData[[#This Row],[Discount]])</f>
        <v>3900</v>
      </c>
      <c r="P692" s="8">
        <f>SalesData[[#This Row],[Sales_Check]]-SalesData[[#This Row],[Cost]]</f>
        <v>1620</v>
      </c>
      <c r="Q692" s="13">
        <f>IFERROR(SalesData[[#This Row],[Profit]]/SalesData[[#This Row],[Sales]],0)</f>
        <v>0.41538461538461541</v>
      </c>
      <c r="R692" t="str">
        <f>TEXT(SalesData[[#This Row],[Order Date]],"mmm-yyyy")</f>
        <v>May-2026</v>
      </c>
      <c r="S692">
        <f>YEAR(SalesData[[#This Row],[Order Date]])</f>
        <v>2026</v>
      </c>
      <c r="T692" t="str">
        <f>IF(SalesData[[#This Row],[Profit Margin]]&gt;=30%,"High",IF(SalesData[[#This Row],[Profit Margin]]&gt;=15%,"Medium","Low"))</f>
        <v>High</v>
      </c>
    </row>
    <row r="693" spans="1:20" x14ac:dyDescent="0.35">
      <c r="A693" t="s">
        <v>1195</v>
      </c>
      <c r="B693" s="23" t="s">
        <v>1196</v>
      </c>
      <c r="C693" t="s">
        <v>1181</v>
      </c>
      <c r="D693" t="s">
        <v>25</v>
      </c>
      <c r="E693" t="s">
        <v>69</v>
      </c>
      <c r="F693" t="s">
        <v>27</v>
      </c>
      <c r="G693" t="s">
        <v>51</v>
      </c>
      <c r="H693" t="s">
        <v>47</v>
      </c>
      <c r="I693">
        <v>4</v>
      </c>
      <c r="J693" s="4">
        <v>350</v>
      </c>
      <c r="K693" s="6">
        <v>0.05</v>
      </c>
      <c r="L693" s="8">
        <v>1330</v>
      </c>
      <c r="M693" s="8">
        <v>720</v>
      </c>
      <c r="N693" s="8">
        <v>610</v>
      </c>
      <c r="O693" s="8">
        <f>SalesData[[#This Row],[Quantity]]*SalesData[[#This Row],[Unit Price]]*(1-SalesData[[#This Row],[Discount]])</f>
        <v>1330</v>
      </c>
      <c r="P693" s="8">
        <f>SalesData[[#This Row],[Sales_Check]]-SalesData[[#This Row],[Cost]]</f>
        <v>610</v>
      </c>
      <c r="Q693" s="13">
        <f>IFERROR(SalesData[[#This Row],[Profit]]/SalesData[[#This Row],[Sales]],0)</f>
        <v>0.45864661654135336</v>
      </c>
      <c r="R693" t="str">
        <f>TEXT(SalesData[[#This Row],[Order Date]],"mmm-yyyy")</f>
        <v>May-2026</v>
      </c>
      <c r="S693">
        <f>YEAR(SalesData[[#This Row],[Order Date]])</f>
        <v>2026</v>
      </c>
      <c r="T693" t="str">
        <f>IF(SalesData[[#This Row],[Profit Margin]]&gt;=30%,"High",IF(SalesData[[#This Row],[Profit Margin]]&gt;=15%,"Medium","Low"))</f>
        <v>High</v>
      </c>
    </row>
    <row r="694" spans="1:20" x14ac:dyDescent="0.35">
      <c r="A694" t="s">
        <v>1197</v>
      </c>
      <c r="B694" s="23" t="s">
        <v>1196</v>
      </c>
      <c r="C694" t="s">
        <v>835</v>
      </c>
      <c r="D694" t="s">
        <v>54</v>
      </c>
      <c r="E694" t="s">
        <v>107</v>
      </c>
      <c r="F694" t="s">
        <v>45</v>
      </c>
      <c r="G694" t="s">
        <v>70</v>
      </c>
      <c r="H694" t="s">
        <v>39</v>
      </c>
      <c r="I694">
        <v>4</v>
      </c>
      <c r="J694" s="4">
        <v>120</v>
      </c>
      <c r="K694" s="6">
        <v>0.05</v>
      </c>
      <c r="L694" s="8">
        <v>456</v>
      </c>
      <c r="M694" s="8">
        <v>220</v>
      </c>
      <c r="N694" s="8">
        <v>236</v>
      </c>
      <c r="O694" s="8">
        <f>SalesData[[#This Row],[Quantity]]*SalesData[[#This Row],[Unit Price]]*(1-SalesData[[#This Row],[Discount]])</f>
        <v>456</v>
      </c>
      <c r="P694" s="8">
        <f>SalesData[[#This Row],[Sales_Check]]-SalesData[[#This Row],[Cost]]</f>
        <v>236</v>
      </c>
      <c r="Q694" s="13">
        <f>IFERROR(SalesData[[#This Row],[Profit]]/SalesData[[#This Row],[Sales]],0)</f>
        <v>0.51754385964912286</v>
      </c>
      <c r="R694" t="str">
        <f>TEXT(SalesData[[#This Row],[Order Date]],"mmm-yyyy")</f>
        <v>May-2026</v>
      </c>
      <c r="S694">
        <f>YEAR(SalesData[[#This Row],[Order Date]])</f>
        <v>2026</v>
      </c>
      <c r="T694" t="str">
        <f>IF(SalesData[[#This Row],[Profit Margin]]&gt;=30%,"High",IF(SalesData[[#This Row],[Profit Margin]]&gt;=15%,"Medium","Low"))</f>
        <v>High</v>
      </c>
    </row>
    <row r="695" spans="1:20" x14ac:dyDescent="0.35">
      <c r="A695" t="s">
        <v>1198</v>
      </c>
      <c r="B695" s="23" t="s">
        <v>1196</v>
      </c>
      <c r="C695" t="s">
        <v>355</v>
      </c>
      <c r="D695" t="s">
        <v>25</v>
      </c>
      <c r="E695" t="s">
        <v>89</v>
      </c>
      <c r="F695" t="s">
        <v>45</v>
      </c>
      <c r="G695" t="s">
        <v>70</v>
      </c>
      <c r="H695" t="s">
        <v>33</v>
      </c>
      <c r="I695">
        <v>2</v>
      </c>
      <c r="J695" s="4">
        <v>550</v>
      </c>
      <c r="K695" s="6">
        <v>0</v>
      </c>
      <c r="L695" s="8">
        <v>1100</v>
      </c>
      <c r="M695" s="8">
        <v>600</v>
      </c>
      <c r="N695" s="8">
        <v>500</v>
      </c>
      <c r="O695" s="8">
        <f>SalesData[[#This Row],[Quantity]]*SalesData[[#This Row],[Unit Price]]*(1-SalesData[[#This Row],[Discount]])</f>
        <v>1100</v>
      </c>
      <c r="P695" s="8">
        <f>SalesData[[#This Row],[Sales_Check]]-SalesData[[#This Row],[Cost]]</f>
        <v>500</v>
      </c>
      <c r="Q695" s="13">
        <f>IFERROR(SalesData[[#This Row],[Profit]]/SalesData[[#This Row],[Sales]],0)</f>
        <v>0.45454545454545453</v>
      </c>
      <c r="R695" t="str">
        <f>TEXT(SalesData[[#This Row],[Order Date]],"mmm-yyyy")</f>
        <v>May-2026</v>
      </c>
      <c r="S695">
        <f>YEAR(SalesData[[#This Row],[Order Date]])</f>
        <v>2026</v>
      </c>
      <c r="T695" t="str">
        <f>IF(SalesData[[#This Row],[Profit Margin]]&gt;=30%,"High",IF(SalesData[[#This Row],[Profit Margin]]&gt;=15%,"Medium","Low"))</f>
        <v>High</v>
      </c>
    </row>
    <row r="696" spans="1:20" x14ac:dyDescent="0.35">
      <c r="A696" t="s">
        <v>1199</v>
      </c>
      <c r="B696" s="23" t="s">
        <v>1200</v>
      </c>
      <c r="C696" t="s">
        <v>77</v>
      </c>
      <c r="D696" t="s">
        <v>54</v>
      </c>
      <c r="E696" t="s">
        <v>110</v>
      </c>
      <c r="F696" t="s">
        <v>19</v>
      </c>
      <c r="G696" t="s">
        <v>215</v>
      </c>
      <c r="H696" t="s">
        <v>39</v>
      </c>
      <c r="I696">
        <v>1</v>
      </c>
      <c r="J696" s="4">
        <v>280</v>
      </c>
      <c r="K696" s="6">
        <v>0.05</v>
      </c>
      <c r="L696" s="8">
        <v>266</v>
      </c>
      <c r="M696" s="8">
        <v>150</v>
      </c>
      <c r="N696" s="8">
        <v>116</v>
      </c>
      <c r="O696" s="8">
        <f>SalesData[[#This Row],[Quantity]]*SalesData[[#This Row],[Unit Price]]*(1-SalesData[[#This Row],[Discount]])</f>
        <v>266</v>
      </c>
      <c r="P696" s="8">
        <f>SalesData[[#This Row],[Sales_Check]]-SalesData[[#This Row],[Cost]]</f>
        <v>116</v>
      </c>
      <c r="Q696" s="13">
        <f>IFERROR(SalesData[[#This Row],[Profit]]/SalesData[[#This Row],[Sales]],0)</f>
        <v>0.43609022556390975</v>
      </c>
      <c r="R696" t="str">
        <f>TEXT(SalesData[[#This Row],[Order Date]],"mmm-yyyy")</f>
        <v>May-2026</v>
      </c>
      <c r="S696">
        <f>YEAR(SalesData[[#This Row],[Order Date]])</f>
        <v>2026</v>
      </c>
      <c r="T696" t="str">
        <f>IF(SalesData[[#This Row],[Profit Margin]]&gt;=30%,"High",IF(SalesData[[#This Row],[Profit Margin]]&gt;=15%,"Medium","Low"))</f>
        <v>High</v>
      </c>
    </row>
    <row r="697" spans="1:20" x14ac:dyDescent="0.35">
      <c r="A697" t="s">
        <v>1201</v>
      </c>
      <c r="B697" s="23" t="s">
        <v>1200</v>
      </c>
      <c r="C697" t="s">
        <v>711</v>
      </c>
      <c r="D697" t="s">
        <v>54</v>
      </c>
      <c r="E697" t="s">
        <v>103</v>
      </c>
      <c r="F697" t="s">
        <v>45</v>
      </c>
      <c r="G697" t="s">
        <v>104</v>
      </c>
      <c r="H697" t="s">
        <v>21</v>
      </c>
      <c r="I697">
        <v>1</v>
      </c>
      <c r="J697" s="4">
        <v>150</v>
      </c>
      <c r="K697" s="6">
        <v>0</v>
      </c>
      <c r="L697" s="8">
        <v>150</v>
      </c>
      <c r="M697" s="8">
        <v>75</v>
      </c>
      <c r="N697" s="8">
        <v>75</v>
      </c>
      <c r="O697" s="8">
        <f>SalesData[[#This Row],[Quantity]]*SalesData[[#This Row],[Unit Price]]*(1-SalesData[[#This Row],[Discount]])</f>
        <v>150</v>
      </c>
      <c r="P697" s="8">
        <f>SalesData[[#This Row],[Sales_Check]]-SalesData[[#This Row],[Cost]]</f>
        <v>75</v>
      </c>
      <c r="Q697" s="13">
        <f>IFERROR(SalesData[[#This Row],[Profit]]/SalesData[[#This Row],[Sales]],0)</f>
        <v>0.5</v>
      </c>
      <c r="R697" t="str">
        <f>TEXT(SalesData[[#This Row],[Order Date]],"mmm-yyyy")</f>
        <v>May-2026</v>
      </c>
      <c r="S697">
        <f>YEAR(SalesData[[#This Row],[Order Date]])</f>
        <v>2026</v>
      </c>
      <c r="T697" t="str">
        <f>IF(SalesData[[#This Row],[Profit Margin]]&gt;=30%,"High",IF(SalesData[[#This Row],[Profit Margin]]&gt;=15%,"Medium","Low"))</f>
        <v>High</v>
      </c>
    </row>
    <row r="698" spans="1:20" x14ac:dyDescent="0.35">
      <c r="A698" t="s">
        <v>1202</v>
      </c>
      <c r="B698" s="23" t="s">
        <v>1200</v>
      </c>
      <c r="C698" t="s">
        <v>392</v>
      </c>
      <c r="D698" t="s">
        <v>17</v>
      </c>
      <c r="E698" t="s">
        <v>50</v>
      </c>
      <c r="F698" t="s">
        <v>45</v>
      </c>
      <c r="G698" t="s">
        <v>122</v>
      </c>
      <c r="H698" t="s">
        <v>47</v>
      </c>
      <c r="I698">
        <v>3</v>
      </c>
      <c r="J698" s="4">
        <v>650</v>
      </c>
      <c r="K698" s="6">
        <v>0.15</v>
      </c>
      <c r="L698" s="8">
        <v>1657.5</v>
      </c>
      <c r="M698" s="8">
        <v>1140</v>
      </c>
      <c r="N698" s="8">
        <v>517.5</v>
      </c>
      <c r="O698" s="8">
        <f>SalesData[[#This Row],[Quantity]]*SalesData[[#This Row],[Unit Price]]*(1-SalesData[[#This Row],[Discount]])</f>
        <v>1657.5</v>
      </c>
      <c r="P698" s="8">
        <f>SalesData[[#This Row],[Sales_Check]]-SalesData[[#This Row],[Cost]]</f>
        <v>517.5</v>
      </c>
      <c r="Q698" s="13">
        <f>IFERROR(SalesData[[#This Row],[Profit]]/SalesData[[#This Row],[Sales]],0)</f>
        <v>0.31221719457013575</v>
      </c>
      <c r="R698" t="str">
        <f>TEXT(SalesData[[#This Row],[Order Date]],"mmm-yyyy")</f>
        <v>May-2026</v>
      </c>
      <c r="S698">
        <f>YEAR(SalesData[[#This Row],[Order Date]])</f>
        <v>2026</v>
      </c>
      <c r="T698" t="str">
        <f>IF(SalesData[[#This Row],[Profit Margin]]&gt;=30%,"High",IF(SalesData[[#This Row],[Profit Margin]]&gt;=15%,"Medium","Low"))</f>
        <v>High</v>
      </c>
    </row>
    <row r="699" spans="1:20" x14ac:dyDescent="0.35">
      <c r="A699" t="s">
        <v>1203</v>
      </c>
      <c r="B699" s="23" t="s">
        <v>1204</v>
      </c>
      <c r="C699" t="s">
        <v>450</v>
      </c>
      <c r="D699" t="s">
        <v>17</v>
      </c>
      <c r="E699" t="s">
        <v>18</v>
      </c>
      <c r="F699" t="s">
        <v>27</v>
      </c>
      <c r="G699" t="s">
        <v>28</v>
      </c>
      <c r="H699" t="s">
        <v>125</v>
      </c>
      <c r="I699">
        <v>10</v>
      </c>
      <c r="J699" s="4">
        <v>1800</v>
      </c>
      <c r="K699" s="6">
        <v>0.1</v>
      </c>
      <c r="L699" s="8">
        <v>16200</v>
      </c>
      <c r="M699" s="8">
        <v>11000</v>
      </c>
      <c r="N699" s="8">
        <v>5200</v>
      </c>
      <c r="O699" s="8">
        <f>SalesData[[#This Row],[Quantity]]*SalesData[[#This Row],[Unit Price]]*(1-SalesData[[#This Row],[Discount]])</f>
        <v>16200</v>
      </c>
      <c r="P699" s="8">
        <f>SalesData[[#This Row],[Sales_Check]]-SalesData[[#This Row],[Cost]]</f>
        <v>5200</v>
      </c>
      <c r="Q699" s="13">
        <f>IFERROR(SalesData[[#This Row],[Profit]]/SalesData[[#This Row],[Sales]],0)</f>
        <v>0.32098765432098764</v>
      </c>
      <c r="R699" t="str">
        <f>TEXT(SalesData[[#This Row],[Order Date]],"mmm-yyyy")</f>
        <v>May-2026</v>
      </c>
      <c r="S699">
        <f>YEAR(SalesData[[#This Row],[Order Date]])</f>
        <v>2026</v>
      </c>
      <c r="T699" t="str">
        <f>IF(SalesData[[#This Row],[Profit Margin]]&gt;=30%,"High",IF(SalesData[[#This Row],[Profit Margin]]&gt;=15%,"Medium","Low"))</f>
        <v>High</v>
      </c>
    </row>
    <row r="700" spans="1:20" x14ac:dyDescent="0.35">
      <c r="A700" t="s">
        <v>1205</v>
      </c>
      <c r="B700" s="23" t="s">
        <v>1204</v>
      </c>
      <c r="C700" t="s">
        <v>802</v>
      </c>
      <c r="D700" t="s">
        <v>17</v>
      </c>
      <c r="E700" t="s">
        <v>32</v>
      </c>
      <c r="F700" t="s">
        <v>37</v>
      </c>
      <c r="G700" t="s">
        <v>140</v>
      </c>
      <c r="H700" t="s">
        <v>47</v>
      </c>
      <c r="I700">
        <v>8</v>
      </c>
      <c r="J700" s="4">
        <v>1500</v>
      </c>
      <c r="K700" s="6">
        <v>0</v>
      </c>
      <c r="L700" s="8">
        <v>12000</v>
      </c>
      <c r="M700" s="8">
        <v>7200</v>
      </c>
      <c r="N700" s="8">
        <v>4800</v>
      </c>
      <c r="O700" s="8">
        <f>SalesData[[#This Row],[Quantity]]*SalesData[[#This Row],[Unit Price]]*(1-SalesData[[#This Row],[Discount]])</f>
        <v>12000</v>
      </c>
      <c r="P700" s="8">
        <f>SalesData[[#This Row],[Sales_Check]]-SalesData[[#This Row],[Cost]]</f>
        <v>4800</v>
      </c>
      <c r="Q700" s="13">
        <f>IFERROR(SalesData[[#This Row],[Profit]]/SalesData[[#This Row],[Sales]],0)</f>
        <v>0.4</v>
      </c>
      <c r="R700" t="str">
        <f>TEXT(SalesData[[#This Row],[Order Date]],"mmm-yyyy")</f>
        <v>May-2026</v>
      </c>
      <c r="S700">
        <f>YEAR(SalesData[[#This Row],[Order Date]])</f>
        <v>2026</v>
      </c>
      <c r="T700" t="str">
        <f>IF(SalesData[[#This Row],[Profit Margin]]&gt;=30%,"High",IF(SalesData[[#This Row],[Profit Margin]]&gt;=15%,"Medium","Low"))</f>
        <v>High</v>
      </c>
    </row>
    <row r="701" spans="1:20" x14ac:dyDescent="0.35">
      <c r="A701" t="s">
        <v>1206</v>
      </c>
      <c r="B701" s="23" t="s">
        <v>1204</v>
      </c>
      <c r="C701" t="s">
        <v>528</v>
      </c>
      <c r="D701" t="s">
        <v>43</v>
      </c>
      <c r="E701" t="s">
        <v>44</v>
      </c>
      <c r="F701" t="s">
        <v>27</v>
      </c>
      <c r="G701" t="s">
        <v>51</v>
      </c>
      <c r="H701" t="s">
        <v>125</v>
      </c>
      <c r="I701">
        <v>3</v>
      </c>
      <c r="J701" s="4">
        <v>2200</v>
      </c>
      <c r="K701" s="6">
        <v>0.05</v>
      </c>
      <c r="L701" s="8">
        <v>6270</v>
      </c>
      <c r="M701" s="8">
        <v>4350</v>
      </c>
      <c r="N701" s="8">
        <v>1920</v>
      </c>
      <c r="O701" s="8">
        <f>SalesData[[#This Row],[Quantity]]*SalesData[[#This Row],[Unit Price]]*(1-SalesData[[#This Row],[Discount]])</f>
        <v>6270</v>
      </c>
      <c r="P701" s="8">
        <f>SalesData[[#This Row],[Sales_Check]]-SalesData[[#This Row],[Cost]]</f>
        <v>1920</v>
      </c>
      <c r="Q701" s="13">
        <f>IFERROR(SalesData[[#This Row],[Profit]]/SalesData[[#This Row],[Sales]],0)</f>
        <v>0.30622009569377989</v>
      </c>
      <c r="R701" t="str">
        <f>TEXT(SalesData[[#This Row],[Order Date]],"mmm-yyyy")</f>
        <v>May-2026</v>
      </c>
      <c r="S701">
        <f>YEAR(SalesData[[#This Row],[Order Date]])</f>
        <v>2026</v>
      </c>
      <c r="T701" t="str">
        <f>IF(SalesData[[#This Row],[Profit Margin]]&gt;=30%,"High",IF(SalesData[[#This Row],[Profit Margin]]&gt;=15%,"Medium","Low"))</f>
        <v>High</v>
      </c>
    </row>
    <row r="702" spans="1:20" x14ac:dyDescent="0.35">
      <c r="A702" t="s">
        <v>1207</v>
      </c>
      <c r="B702" s="23" t="s">
        <v>1208</v>
      </c>
      <c r="C702" t="s">
        <v>201</v>
      </c>
      <c r="D702" t="s">
        <v>17</v>
      </c>
      <c r="E702" t="s">
        <v>124</v>
      </c>
      <c r="F702" t="s">
        <v>37</v>
      </c>
      <c r="G702" t="s">
        <v>140</v>
      </c>
      <c r="H702" t="s">
        <v>39</v>
      </c>
      <c r="I702">
        <v>1</v>
      </c>
      <c r="J702" s="4">
        <v>1200</v>
      </c>
      <c r="K702" s="6">
        <v>0</v>
      </c>
      <c r="L702" s="8">
        <v>1200</v>
      </c>
      <c r="M702" s="8">
        <v>720</v>
      </c>
      <c r="N702" s="8">
        <v>480</v>
      </c>
      <c r="O702" s="8">
        <f>SalesData[[#This Row],[Quantity]]*SalesData[[#This Row],[Unit Price]]*(1-SalesData[[#This Row],[Discount]])</f>
        <v>1200</v>
      </c>
      <c r="P702" s="8">
        <f>SalesData[[#This Row],[Sales_Check]]-SalesData[[#This Row],[Cost]]</f>
        <v>480</v>
      </c>
      <c r="Q702" s="13">
        <f>IFERROR(SalesData[[#This Row],[Profit]]/SalesData[[#This Row],[Sales]],0)</f>
        <v>0.4</v>
      </c>
      <c r="R702" t="str">
        <f>TEXT(SalesData[[#This Row],[Order Date]],"mmm-yyyy")</f>
        <v>May-2026</v>
      </c>
      <c r="S702">
        <f>YEAR(SalesData[[#This Row],[Order Date]])</f>
        <v>2026</v>
      </c>
      <c r="T702" t="str">
        <f>IF(SalesData[[#This Row],[Profit Margin]]&gt;=30%,"High",IF(SalesData[[#This Row],[Profit Margin]]&gt;=15%,"Medium","Low"))</f>
        <v>High</v>
      </c>
    </row>
    <row r="703" spans="1:20" x14ac:dyDescent="0.35">
      <c r="A703" t="s">
        <v>1209</v>
      </c>
      <c r="B703" s="23" t="s">
        <v>1208</v>
      </c>
      <c r="C703" t="s">
        <v>282</v>
      </c>
      <c r="D703" t="s">
        <v>43</v>
      </c>
      <c r="E703" t="s">
        <v>143</v>
      </c>
      <c r="F703" t="s">
        <v>19</v>
      </c>
      <c r="G703" t="s">
        <v>215</v>
      </c>
      <c r="H703" t="s">
        <v>29</v>
      </c>
      <c r="I703">
        <v>5</v>
      </c>
      <c r="J703" s="4">
        <v>650</v>
      </c>
      <c r="K703" s="6">
        <v>0.05</v>
      </c>
      <c r="L703" s="8">
        <v>3087.5</v>
      </c>
      <c r="M703" s="8">
        <v>1750</v>
      </c>
      <c r="N703" s="8">
        <v>1337.5</v>
      </c>
      <c r="O703" s="8">
        <f>SalesData[[#This Row],[Quantity]]*SalesData[[#This Row],[Unit Price]]*(1-SalesData[[#This Row],[Discount]])</f>
        <v>3087.5</v>
      </c>
      <c r="P703" s="8">
        <f>SalesData[[#This Row],[Sales_Check]]-SalesData[[#This Row],[Cost]]</f>
        <v>1337.5</v>
      </c>
      <c r="Q703" s="13">
        <f>IFERROR(SalesData[[#This Row],[Profit]]/SalesData[[#This Row],[Sales]],0)</f>
        <v>0.4331983805668016</v>
      </c>
      <c r="R703" t="str">
        <f>TEXT(SalesData[[#This Row],[Order Date]],"mmm-yyyy")</f>
        <v>May-2026</v>
      </c>
      <c r="S703">
        <f>YEAR(SalesData[[#This Row],[Order Date]])</f>
        <v>2026</v>
      </c>
      <c r="T703" t="str">
        <f>IF(SalesData[[#This Row],[Profit Margin]]&gt;=30%,"High",IF(SalesData[[#This Row],[Profit Margin]]&gt;=15%,"Medium","Low"))</f>
        <v>High</v>
      </c>
    </row>
    <row r="704" spans="1:20" x14ac:dyDescent="0.35">
      <c r="A704" t="s">
        <v>1210</v>
      </c>
      <c r="B704" s="23" t="s">
        <v>1208</v>
      </c>
      <c r="C704" t="s">
        <v>477</v>
      </c>
      <c r="D704" t="s">
        <v>25</v>
      </c>
      <c r="E704" t="s">
        <v>26</v>
      </c>
      <c r="F704" t="s">
        <v>45</v>
      </c>
      <c r="G704" t="s">
        <v>70</v>
      </c>
      <c r="H704" t="s">
        <v>33</v>
      </c>
      <c r="I704">
        <v>9</v>
      </c>
      <c r="J704" s="4">
        <v>600</v>
      </c>
      <c r="K704" s="6">
        <v>0</v>
      </c>
      <c r="L704" s="8">
        <v>5400</v>
      </c>
      <c r="M704" s="8">
        <v>2970</v>
      </c>
      <c r="N704" s="8">
        <v>2430</v>
      </c>
      <c r="O704" s="8">
        <f>SalesData[[#This Row],[Quantity]]*SalesData[[#This Row],[Unit Price]]*(1-SalesData[[#This Row],[Discount]])</f>
        <v>5400</v>
      </c>
      <c r="P704" s="8">
        <f>SalesData[[#This Row],[Sales_Check]]-SalesData[[#This Row],[Cost]]</f>
        <v>2430</v>
      </c>
      <c r="Q704" s="13">
        <f>IFERROR(SalesData[[#This Row],[Profit]]/SalesData[[#This Row],[Sales]],0)</f>
        <v>0.45</v>
      </c>
      <c r="R704" t="str">
        <f>TEXT(SalesData[[#This Row],[Order Date]],"mmm-yyyy")</f>
        <v>May-2026</v>
      </c>
      <c r="S704">
        <f>YEAR(SalesData[[#This Row],[Order Date]])</f>
        <v>2026</v>
      </c>
      <c r="T704" t="str">
        <f>IF(SalesData[[#This Row],[Profit Margin]]&gt;=30%,"High",IF(SalesData[[#This Row],[Profit Margin]]&gt;=15%,"Medium","Low"))</f>
        <v>High</v>
      </c>
    </row>
    <row r="705" spans="1:20" x14ac:dyDescent="0.35">
      <c r="A705" t="s">
        <v>1211</v>
      </c>
      <c r="B705" s="23" t="s">
        <v>1208</v>
      </c>
      <c r="C705" t="s">
        <v>229</v>
      </c>
      <c r="D705" t="s">
        <v>25</v>
      </c>
      <c r="E705" t="s">
        <v>80</v>
      </c>
      <c r="F705" t="s">
        <v>45</v>
      </c>
      <c r="G705" t="s">
        <v>46</v>
      </c>
      <c r="H705" t="s">
        <v>33</v>
      </c>
      <c r="I705">
        <v>1</v>
      </c>
      <c r="J705" s="4">
        <v>950</v>
      </c>
      <c r="K705" s="6">
        <v>0</v>
      </c>
      <c r="L705" s="8">
        <v>950</v>
      </c>
      <c r="M705" s="8">
        <v>560</v>
      </c>
      <c r="N705" s="8">
        <v>390</v>
      </c>
      <c r="O705" s="8">
        <f>SalesData[[#This Row],[Quantity]]*SalesData[[#This Row],[Unit Price]]*(1-SalesData[[#This Row],[Discount]])</f>
        <v>950</v>
      </c>
      <c r="P705" s="8">
        <f>SalesData[[#This Row],[Sales_Check]]-SalesData[[#This Row],[Cost]]</f>
        <v>390</v>
      </c>
      <c r="Q705" s="13">
        <f>IFERROR(SalesData[[#This Row],[Profit]]/SalesData[[#This Row],[Sales]],0)</f>
        <v>0.41052631578947368</v>
      </c>
      <c r="R705" t="str">
        <f>TEXT(SalesData[[#This Row],[Order Date]],"mmm-yyyy")</f>
        <v>May-2026</v>
      </c>
      <c r="S705">
        <f>YEAR(SalesData[[#This Row],[Order Date]])</f>
        <v>2026</v>
      </c>
      <c r="T705" t="str">
        <f>IF(SalesData[[#This Row],[Profit Margin]]&gt;=30%,"High",IF(SalesData[[#This Row],[Profit Margin]]&gt;=15%,"Medium","Low"))</f>
        <v>High</v>
      </c>
    </row>
    <row r="706" spans="1:20" x14ac:dyDescent="0.35">
      <c r="A706" t="s">
        <v>1212</v>
      </c>
      <c r="B706" s="23" t="s">
        <v>1213</v>
      </c>
      <c r="C706" t="s">
        <v>264</v>
      </c>
      <c r="D706" t="s">
        <v>54</v>
      </c>
      <c r="E706" t="s">
        <v>116</v>
      </c>
      <c r="F706" t="s">
        <v>45</v>
      </c>
      <c r="G706" t="s">
        <v>122</v>
      </c>
      <c r="H706" t="s">
        <v>33</v>
      </c>
      <c r="I706">
        <v>3</v>
      </c>
      <c r="J706" s="4">
        <v>450</v>
      </c>
      <c r="K706" s="6">
        <v>0</v>
      </c>
      <c r="L706" s="8">
        <v>1350</v>
      </c>
      <c r="M706" s="8">
        <v>750</v>
      </c>
      <c r="N706" s="8">
        <v>600</v>
      </c>
      <c r="O706" s="8">
        <f>SalesData[[#This Row],[Quantity]]*SalesData[[#This Row],[Unit Price]]*(1-SalesData[[#This Row],[Discount]])</f>
        <v>1350</v>
      </c>
      <c r="P706" s="8">
        <f>SalesData[[#This Row],[Sales_Check]]-SalesData[[#This Row],[Cost]]</f>
        <v>600</v>
      </c>
      <c r="Q706" s="13">
        <f>IFERROR(SalesData[[#This Row],[Profit]]/SalesData[[#This Row],[Sales]],0)</f>
        <v>0.44444444444444442</v>
      </c>
      <c r="R706" t="str">
        <f>TEXT(SalesData[[#This Row],[Order Date]],"mmm-yyyy")</f>
        <v>May-2026</v>
      </c>
      <c r="S706">
        <f>YEAR(SalesData[[#This Row],[Order Date]])</f>
        <v>2026</v>
      </c>
      <c r="T706" t="str">
        <f>IF(SalesData[[#This Row],[Profit Margin]]&gt;=30%,"High",IF(SalesData[[#This Row],[Profit Margin]]&gt;=15%,"Medium","Low"))</f>
        <v>High</v>
      </c>
    </row>
    <row r="707" spans="1:20" x14ac:dyDescent="0.35">
      <c r="A707" t="s">
        <v>1214</v>
      </c>
      <c r="B707" s="23" t="s">
        <v>1213</v>
      </c>
      <c r="C707" t="s">
        <v>64</v>
      </c>
      <c r="D707" t="s">
        <v>17</v>
      </c>
      <c r="E707" t="s">
        <v>124</v>
      </c>
      <c r="F707" t="s">
        <v>45</v>
      </c>
      <c r="G707" t="s">
        <v>46</v>
      </c>
      <c r="H707" t="s">
        <v>47</v>
      </c>
      <c r="I707">
        <v>8</v>
      </c>
      <c r="J707" s="4">
        <v>1200</v>
      </c>
      <c r="K707" s="6">
        <v>0</v>
      </c>
      <c r="L707" s="8">
        <v>9600</v>
      </c>
      <c r="M707" s="8">
        <v>5760</v>
      </c>
      <c r="N707" s="8">
        <v>3840</v>
      </c>
      <c r="O707" s="8">
        <f>SalesData[[#This Row],[Quantity]]*SalesData[[#This Row],[Unit Price]]*(1-SalesData[[#This Row],[Discount]])</f>
        <v>9600</v>
      </c>
      <c r="P707" s="8">
        <f>SalesData[[#This Row],[Sales_Check]]-SalesData[[#This Row],[Cost]]</f>
        <v>3840</v>
      </c>
      <c r="Q707" s="13">
        <f>IFERROR(SalesData[[#This Row],[Profit]]/SalesData[[#This Row],[Sales]],0)</f>
        <v>0.4</v>
      </c>
      <c r="R707" t="str">
        <f>TEXT(SalesData[[#This Row],[Order Date]],"mmm-yyyy")</f>
        <v>May-2026</v>
      </c>
      <c r="S707">
        <f>YEAR(SalesData[[#This Row],[Order Date]])</f>
        <v>2026</v>
      </c>
      <c r="T707" t="str">
        <f>IF(SalesData[[#This Row],[Profit Margin]]&gt;=30%,"High",IF(SalesData[[#This Row],[Profit Margin]]&gt;=15%,"Medium","Low"))</f>
        <v>High</v>
      </c>
    </row>
    <row r="708" spans="1:20" x14ac:dyDescent="0.35">
      <c r="A708" t="s">
        <v>1215</v>
      </c>
      <c r="B708" s="23" t="s">
        <v>1213</v>
      </c>
      <c r="C708" t="s">
        <v>380</v>
      </c>
      <c r="D708" t="s">
        <v>25</v>
      </c>
      <c r="E708" t="s">
        <v>36</v>
      </c>
      <c r="F708" t="s">
        <v>45</v>
      </c>
      <c r="G708" t="s">
        <v>104</v>
      </c>
      <c r="H708" t="s">
        <v>47</v>
      </c>
      <c r="I708">
        <v>3</v>
      </c>
      <c r="J708" s="4">
        <v>700</v>
      </c>
      <c r="K708" s="6">
        <v>0</v>
      </c>
      <c r="L708" s="8">
        <v>2100</v>
      </c>
      <c r="M708" s="8">
        <v>1200</v>
      </c>
      <c r="N708" s="8">
        <v>900</v>
      </c>
      <c r="O708" s="8">
        <f>SalesData[[#This Row],[Quantity]]*SalesData[[#This Row],[Unit Price]]*(1-SalesData[[#This Row],[Discount]])</f>
        <v>2100</v>
      </c>
      <c r="P708" s="8">
        <f>SalesData[[#This Row],[Sales_Check]]-SalesData[[#This Row],[Cost]]</f>
        <v>900</v>
      </c>
      <c r="Q708" s="13">
        <f>IFERROR(SalesData[[#This Row],[Profit]]/SalesData[[#This Row],[Sales]],0)</f>
        <v>0.42857142857142855</v>
      </c>
      <c r="R708" t="str">
        <f>TEXT(SalesData[[#This Row],[Order Date]],"mmm-yyyy")</f>
        <v>May-2026</v>
      </c>
      <c r="S708">
        <f>YEAR(SalesData[[#This Row],[Order Date]])</f>
        <v>2026</v>
      </c>
      <c r="T708" t="str">
        <f>IF(SalesData[[#This Row],[Profit Margin]]&gt;=30%,"High",IF(SalesData[[#This Row],[Profit Margin]]&gt;=15%,"Medium","Low"))</f>
        <v>High</v>
      </c>
    </row>
    <row r="709" spans="1:20" x14ac:dyDescent="0.35">
      <c r="A709" t="s">
        <v>1216</v>
      </c>
      <c r="B709" s="23" t="s">
        <v>1213</v>
      </c>
      <c r="C709" t="s">
        <v>129</v>
      </c>
      <c r="D709" t="s">
        <v>17</v>
      </c>
      <c r="E709" t="s">
        <v>18</v>
      </c>
      <c r="F709" t="s">
        <v>37</v>
      </c>
      <c r="G709" t="s">
        <v>140</v>
      </c>
      <c r="H709" t="s">
        <v>29</v>
      </c>
      <c r="I709">
        <v>7</v>
      </c>
      <c r="J709" s="4">
        <v>1800</v>
      </c>
      <c r="K709" s="6">
        <v>0</v>
      </c>
      <c r="L709" s="8">
        <v>12600</v>
      </c>
      <c r="M709" s="8">
        <v>7700</v>
      </c>
      <c r="N709" s="8">
        <v>4900</v>
      </c>
      <c r="O709" s="8">
        <f>SalesData[[#This Row],[Quantity]]*SalesData[[#This Row],[Unit Price]]*(1-SalesData[[#This Row],[Discount]])</f>
        <v>12600</v>
      </c>
      <c r="P709" s="8">
        <f>SalesData[[#This Row],[Sales_Check]]-SalesData[[#This Row],[Cost]]</f>
        <v>4900</v>
      </c>
      <c r="Q709" s="13">
        <f>IFERROR(SalesData[[#This Row],[Profit]]/SalesData[[#This Row],[Sales]],0)</f>
        <v>0.3888888888888889</v>
      </c>
      <c r="R709" t="str">
        <f>TEXT(SalesData[[#This Row],[Order Date]],"mmm-yyyy")</f>
        <v>May-2026</v>
      </c>
      <c r="S709">
        <f>YEAR(SalesData[[#This Row],[Order Date]])</f>
        <v>2026</v>
      </c>
      <c r="T709" t="str">
        <f>IF(SalesData[[#This Row],[Profit Margin]]&gt;=30%,"High",IF(SalesData[[#This Row],[Profit Margin]]&gt;=15%,"Medium","Low"))</f>
        <v>High</v>
      </c>
    </row>
    <row r="710" spans="1:20" x14ac:dyDescent="0.35">
      <c r="A710" t="s">
        <v>1217</v>
      </c>
      <c r="B710" s="23" t="s">
        <v>1218</v>
      </c>
      <c r="C710" t="s">
        <v>427</v>
      </c>
      <c r="D710" t="s">
        <v>43</v>
      </c>
      <c r="E710" t="s">
        <v>62</v>
      </c>
      <c r="F710" t="s">
        <v>19</v>
      </c>
      <c r="G710" t="s">
        <v>20</v>
      </c>
      <c r="H710" t="s">
        <v>33</v>
      </c>
      <c r="I710">
        <v>7</v>
      </c>
      <c r="J710" s="4">
        <v>500</v>
      </c>
      <c r="K710" s="6">
        <v>0.1</v>
      </c>
      <c r="L710" s="8">
        <v>3150</v>
      </c>
      <c r="M710" s="8">
        <v>1960</v>
      </c>
      <c r="N710" s="8">
        <v>1190</v>
      </c>
      <c r="O710" s="8">
        <f>SalesData[[#This Row],[Quantity]]*SalesData[[#This Row],[Unit Price]]*(1-SalesData[[#This Row],[Discount]])</f>
        <v>3150</v>
      </c>
      <c r="P710" s="8">
        <f>SalesData[[#This Row],[Sales_Check]]-SalesData[[#This Row],[Cost]]</f>
        <v>1190</v>
      </c>
      <c r="Q710" s="13">
        <f>IFERROR(SalesData[[#This Row],[Profit]]/SalesData[[#This Row],[Sales]],0)</f>
        <v>0.37777777777777777</v>
      </c>
      <c r="R710" t="str">
        <f>TEXT(SalesData[[#This Row],[Order Date]],"mmm-yyyy")</f>
        <v>May-2026</v>
      </c>
      <c r="S710">
        <f>YEAR(SalesData[[#This Row],[Order Date]])</f>
        <v>2026</v>
      </c>
      <c r="T710" t="str">
        <f>IF(SalesData[[#This Row],[Profit Margin]]&gt;=30%,"High",IF(SalesData[[#This Row],[Profit Margin]]&gt;=15%,"Medium","Low"))</f>
        <v>High</v>
      </c>
    </row>
    <row r="711" spans="1:20" x14ac:dyDescent="0.35">
      <c r="A711" t="s">
        <v>1219</v>
      </c>
      <c r="B711" s="23" t="s">
        <v>1218</v>
      </c>
      <c r="C711" t="s">
        <v>713</v>
      </c>
      <c r="D711" t="s">
        <v>43</v>
      </c>
      <c r="E711" t="s">
        <v>44</v>
      </c>
      <c r="F711" t="s">
        <v>37</v>
      </c>
      <c r="G711" t="s">
        <v>38</v>
      </c>
      <c r="H711" t="s">
        <v>21</v>
      </c>
      <c r="I711">
        <v>5</v>
      </c>
      <c r="J711" s="4">
        <v>2200</v>
      </c>
      <c r="K711" s="6">
        <v>0.15</v>
      </c>
      <c r="L711" s="8">
        <v>9350</v>
      </c>
      <c r="M711" s="8">
        <v>7250</v>
      </c>
      <c r="N711" s="8">
        <v>2100</v>
      </c>
      <c r="O711" s="8">
        <f>SalesData[[#This Row],[Quantity]]*SalesData[[#This Row],[Unit Price]]*(1-SalesData[[#This Row],[Discount]])</f>
        <v>9350</v>
      </c>
      <c r="P711" s="8">
        <f>SalesData[[#This Row],[Sales_Check]]-SalesData[[#This Row],[Cost]]</f>
        <v>2100</v>
      </c>
      <c r="Q711" s="13">
        <f>IFERROR(SalesData[[#This Row],[Profit]]/SalesData[[#This Row],[Sales]],0)</f>
        <v>0.22459893048128343</v>
      </c>
      <c r="R711" t="str">
        <f>TEXT(SalesData[[#This Row],[Order Date]],"mmm-yyyy")</f>
        <v>May-2026</v>
      </c>
      <c r="S711">
        <f>YEAR(SalesData[[#This Row],[Order Date]])</f>
        <v>2026</v>
      </c>
      <c r="T711" t="str">
        <f>IF(SalesData[[#This Row],[Profit Margin]]&gt;=30%,"High",IF(SalesData[[#This Row],[Profit Margin]]&gt;=15%,"Medium","Low"))</f>
        <v>Medium</v>
      </c>
    </row>
    <row r="712" spans="1:20" x14ac:dyDescent="0.35">
      <c r="A712" t="s">
        <v>1220</v>
      </c>
      <c r="B712" s="23" t="s">
        <v>1218</v>
      </c>
      <c r="C712" t="s">
        <v>1221</v>
      </c>
      <c r="D712" t="s">
        <v>25</v>
      </c>
      <c r="E712" t="s">
        <v>89</v>
      </c>
      <c r="F712" t="s">
        <v>37</v>
      </c>
      <c r="G712" t="s">
        <v>140</v>
      </c>
      <c r="H712" t="s">
        <v>39</v>
      </c>
      <c r="I712">
        <v>8</v>
      </c>
      <c r="J712" s="4">
        <v>550</v>
      </c>
      <c r="K712" s="6">
        <v>0.1</v>
      </c>
      <c r="L712" s="8">
        <v>3960</v>
      </c>
      <c r="M712" s="8">
        <v>2400</v>
      </c>
      <c r="N712" s="8">
        <v>1560</v>
      </c>
      <c r="O712" s="8">
        <f>SalesData[[#This Row],[Quantity]]*SalesData[[#This Row],[Unit Price]]*(1-SalesData[[#This Row],[Discount]])</f>
        <v>3960</v>
      </c>
      <c r="P712" s="8">
        <f>SalesData[[#This Row],[Sales_Check]]-SalesData[[#This Row],[Cost]]</f>
        <v>1560</v>
      </c>
      <c r="Q712" s="13">
        <f>IFERROR(SalesData[[#This Row],[Profit]]/SalesData[[#This Row],[Sales]],0)</f>
        <v>0.39393939393939392</v>
      </c>
      <c r="R712" t="str">
        <f>TEXT(SalesData[[#This Row],[Order Date]],"mmm-yyyy")</f>
        <v>May-2026</v>
      </c>
      <c r="S712">
        <f>YEAR(SalesData[[#This Row],[Order Date]])</f>
        <v>2026</v>
      </c>
      <c r="T712" t="str">
        <f>IF(SalesData[[#This Row],[Profit Margin]]&gt;=30%,"High",IF(SalesData[[#This Row],[Profit Margin]]&gt;=15%,"Medium","Low"))</f>
        <v>High</v>
      </c>
    </row>
    <row r="713" spans="1:20" x14ac:dyDescent="0.35">
      <c r="A713" t="s">
        <v>1222</v>
      </c>
      <c r="B713" s="23" t="s">
        <v>1218</v>
      </c>
      <c r="C713" t="s">
        <v>272</v>
      </c>
      <c r="D713" t="s">
        <v>17</v>
      </c>
      <c r="E713" t="s">
        <v>50</v>
      </c>
      <c r="F713" t="s">
        <v>27</v>
      </c>
      <c r="G713" t="s">
        <v>51</v>
      </c>
      <c r="H713" t="s">
        <v>29</v>
      </c>
      <c r="I713">
        <v>3</v>
      </c>
      <c r="J713" s="4">
        <v>650</v>
      </c>
      <c r="K713" s="6">
        <v>0.1</v>
      </c>
      <c r="L713" s="8">
        <v>1755</v>
      </c>
      <c r="M713" s="8">
        <v>1140</v>
      </c>
      <c r="N713" s="8">
        <v>615</v>
      </c>
      <c r="O713" s="8">
        <f>SalesData[[#This Row],[Quantity]]*SalesData[[#This Row],[Unit Price]]*(1-SalesData[[#This Row],[Discount]])</f>
        <v>1755</v>
      </c>
      <c r="P713" s="8">
        <f>SalesData[[#This Row],[Sales_Check]]-SalesData[[#This Row],[Cost]]</f>
        <v>615</v>
      </c>
      <c r="Q713" s="13">
        <f>IFERROR(SalesData[[#This Row],[Profit]]/SalesData[[#This Row],[Sales]],0)</f>
        <v>0.3504273504273504</v>
      </c>
      <c r="R713" t="str">
        <f>TEXT(SalesData[[#This Row],[Order Date]],"mmm-yyyy")</f>
        <v>May-2026</v>
      </c>
      <c r="S713">
        <f>YEAR(SalesData[[#This Row],[Order Date]])</f>
        <v>2026</v>
      </c>
      <c r="T713" t="str">
        <f>IF(SalesData[[#This Row],[Profit Margin]]&gt;=30%,"High",IF(SalesData[[#This Row],[Profit Margin]]&gt;=15%,"Medium","Low"))</f>
        <v>High</v>
      </c>
    </row>
    <row r="714" spans="1:20" x14ac:dyDescent="0.35">
      <c r="A714" t="s">
        <v>1223</v>
      </c>
      <c r="B714" s="23" t="s">
        <v>1224</v>
      </c>
      <c r="C714" t="s">
        <v>637</v>
      </c>
      <c r="D714" t="s">
        <v>54</v>
      </c>
      <c r="E714" t="s">
        <v>103</v>
      </c>
      <c r="F714" t="s">
        <v>27</v>
      </c>
      <c r="G714" t="s">
        <v>90</v>
      </c>
      <c r="H714" t="s">
        <v>21</v>
      </c>
      <c r="I714">
        <v>8</v>
      </c>
      <c r="J714" s="4">
        <v>150</v>
      </c>
      <c r="K714" s="6">
        <v>0</v>
      </c>
      <c r="L714" s="8">
        <v>1200</v>
      </c>
      <c r="M714" s="8">
        <v>600</v>
      </c>
      <c r="N714" s="8">
        <v>600</v>
      </c>
      <c r="O714" s="8">
        <f>SalesData[[#This Row],[Quantity]]*SalesData[[#This Row],[Unit Price]]*(1-SalesData[[#This Row],[Discount]])</f>
        <v>1200</v>
      </c>
      <c r="P714" s="8">
        <f>SalesData[[#This Row],[Sales_Check]]-SalesData[[#This Row],[Cost]]</f>
        <v>600</v>
      </c>
      <c r="Q714" s="13">
        <f>IFERROR(SalesData[[#This Row],[Profit]]/SalesData[[#This Row],[Sales]],0)</f>
        <v>0.5</v>
      </c>
      <c r="R714" t="str">
        <f>TEXT(SalesData[[#This Row],[Order Date]],"mmm-yyyy")</f>
        <v>May-2026</v>
      </c>
      <c r="S714">
        <f>YEAR(SalesData[[#This Row],[Order Date]])</f>
        <v>2026</v>
      </c>
      <c r="T714" t="str">
        <f>IF(SalesData[[#This Row],[Profit Margin]]&gt;=30%,"High",IF(SalesData[[#This Row],[Profit Margin]]&gt;=15%,"Medium","Low"))</f>
        <v>High</v>
      </c>
    </row>
    <row r="715" spans="1:20" x14ac:dyDescent="0.35">
      <c r="A715" t="s">
        <v>1225</v>
      </c>
      <c r="B715" s="23" t="s">
        <v>1224</v>
      </c>
      <c r="C715" t="s">
        <v>732</v>
      </c>
      <c r="D715" t="s">
        <v>25</v>
      </c>
      <c r="E715" t="s">
        <v>89</v>
      </c>
      <c r="F715" t="s">
        <v>45</v>
      </c>
      <c r="G715" t="s">
        <v>104</v>
      </c>
      <c r="H715" t="s">
        <v>21</v>
      </c>
      <c r="I715">
        <v>5</v>
      </c>
      <c r="J715" s="4">
        <v>550</v>
      </c>
      <c r="K715" s="6">
        <v>0.05</v>
      </c>
      <c r="L715" s="8">
        <v>2612.5</v>
      </c>
      <c r="M715" s="8">
        <v>1500</v>
      </c>
      <c r="N715" s="8">
        <v>1112.5</v>
      </c>
      <c r="O715" s="8">
        <f>SalesData[[#This Row],[Quantity]]*SalesData[[#This Row],[Unit Price]]*(1-SalesData[[#This Row],[Discount]])</f>
        <v>2612.5</v>
      </c>
      <c r="P715" s="8">
        <f>SalesData[[#This Row],[Sales_Check]]-SalesData[[#This Row],[Cost]]</f>
        <v>1112.5</v>
      </c>
      <c r="Q715" s="13">
        <f>IFERROR(SalesData[[#This Row],[Profit]]/SalesData[[#This Row],[Sales]],0)</f>
        <v>0.42583732057416268</v>
      </c>
      <c r="R715" t="str">
        <f>TEXT(SalesData[[#This Row],[Order Date]],"mmm-yyyy")</f>
        <v>May-2026</v>
      </c>
      <c r="S715">
        <f>YEAR(SalesData[[#This Row],[Order Date]])</f>
        <v>2026</v>
      </c>
      <c r="T715" t="str">
        <f>IF(SalesData[[#This Row],[Profit Margin]]&gt;=30%,"High",IF(SalesData[[#This Row],[Profit Margin]]&gt;=15%,"Medium","Low"))</f>
        <v>High</v>
      </c>
    </row>
    <row r="716" spans="1:20" x14ac:dyDescent="0.35">
      <c r="A716" t="s">
        <v>1226</v>
      </c>
      <c r="B716" s="23" t="s">
        <v>1224</v>
      </c>
      <c r="C716" t="s">
        <v>598</v>
      </c>
      <c r="D716" t="s">
        <v>54</v>
      </c>
      <c r="E716" t="s">
        <v>116</v>
      </c>
      <c r="F716" t="s">
        <v>37</v>
      </c>
      <c r="G716" t="s">
        <v>97</v>
      </c>
      <c r="H716" t="s">
        <v>125</v>
      </c>
      <c r="I716">
        <v>5</v>
      </c>
      <c r="J716" s="4">
        <v>450</v>
      </c>
      <c r="K716" s="6">
        <v>0</v>
      </c>
      <c r="L716" s="8">
        <v>2250</v>
      </c>
      <c r="M716" s="8">
        <v>1250</v>
      </c>
      <c r="N716" s="8">
        <v>1000</v>
      </c>
      <c r="O716" s="8">
        <f>SalesData[[#This Row],[Quantity]]*SalesData[[#This Row],[Unit Price]]*(1-SalesData[[#This Row],[Discount]])</f>
        <v>2250</v>
      </c>
      <c r="P716" s="8">
        <f>SalesData[[#This Row],[Sales_Check]]-SalesData[[#This Row],[Cost]]</f>
        <v>1000</v>
      </c>
      <c r="Q716" s="13">
        <f>IFERROR(SalesData[[#This Row],[Profit]]/SalesData[[#This Row],[Sales]],0)</f>
        <v>0.44444444444444442</v>
      </c>
      <c r="R716" t="str">
        <f>TEXT(SalesData[[#This Row],[Order Date]],"mmm-yyyy")</f>
        <v>May-2026</v>
      </c>
      <c r="S716">
        <f>YEAR(SalesData[[#This Row],[Order Date]])</f>
        <v>2026</v>
      </c>
      <c r="T716" t="str">
        <f>IF(SalesData[[#This Row],[Profit Margin]]&gt;=30%,"High",IF(SalesData[[#This Row],[Profit Margin]]&gt;=15%,"Medium","Low"))</f>
        <v>High</v>
      </c>
    </row>
    <row r="717" spans="1:20" x14ac:dyDescent="0.35">
      <c r="A717" t="s">
        <v>1227</v>
      </c>
      <c r="B717" s="23" t="s">
        <v>1224</v>
      </c>
      <c r="C717" t="s">
        <v>234</v>
      </c>
      <c r="D717" t="s">
        <v>25</v>
      </c>
      <c r="E717" t="s">
        <v>26</v>
      </c>
      <c r="F717" t="s">
        <v>45</v>
      </c>
      <c r="G717" t="s">
        <v>104</v>
      </c>
      <c r="H717" t="s">
        <v>29</v>
      </c>
      <c r="I717">
        <v>10</v>
      </c>
      <c r="J717" s="4">
        <v>600</v>
      </c>
      <c r="K717" s="6">
        <v>0.05</v>
      </c>
      <c r="L717" s="8">
        <v>5700</v>
      </c>
      <c r="M717" s="8">
        <v>3300</v>
      </c>
      <c r="N717" s="8">
        <v>2400</v>
      </c>
      <c r="O717" s="8">
        <f>SalesData[[#This Row],[Quantity]]*SalesData[[#This Row],[Unit Price]]*(1-SalesData[[#This Row],[Discount]])</f>
        <v>5700</v>
      </c>
      <c r="P717" s="8">
        <f>SalesData[[#This Row],[Sales_Check]]-SalesData[[#This Row],[Cost]]</f>
        <v>2400</v>
      </c>
      <c r="Q717" s="13">
        <f>IFERROR(SalesData[[#This Row],[Profit]]/SalesData[[#This Row],[Sales]],0)</f>
        <v>0.42105263157894735</v>
      </c>
      <c r="R717" t="str">
        <f>TEXT(SalesData[[#This Row],[Order Date]],"mmm-yyyy")</f>
        <v>May-2026</v>
      </c>
      <c r="S717">
        <f>YEAR(SalesData[[#This Row],[Order Date]])</f>
        <v>2026</v>
      </c>
      <c r="T717" t="str">
        <f>IF(SalesData[[#This Row],[Profit Margin]]&gt;=30%,"High",IF(SalesData[[#This Row],[Profit Margin]]&gt;=15%,"Medium","Low"))</f>
        <v>High</v>
      </c>
    </row>
    <row r="718" spans="1:20" x14ac:dyDescent="0.35">
      <c r="A718" t="s">
        <v>1228</v>
      </c>
      <c r="B718" s="23" t="s">
        <v>1224</v>
      </c>
      <c r="C718" t="s">
        <v>158</v>
      </c>
      <c r="D718" t="s">
        <v>54</v>
      </c>
      <c r="E718" t="s">
        <v>110</v>
      </c>
      <c r="F718" t="s">
        <v>19</v>
      </c>
      <c r="G718" t="s">
        <v>215</v>
      </c>
      <c r="H718" t="s">
        <v>33</v>
      </c>
      <c r="I718">
        <v>9</v>
      </c>
      <c r="J718" s="4">
        <v>280</v>
      </c>
      <c r="K718" s="6">
        <v>0</v>
      </c>
      <c r="L718" s="8">
        <v>2520</v>
      </c>
      <c r="M718" s="8">
        <v>1350</v>
      </c>
      <c r="N718" s="8">
        <v>1170</v>
      </c>
      <c r="O718" s="8">
        <f>SalesData[[#This Row],[Quantity]]*SalesData[[#This Row],[Unit Price]]*(1-SalesData[[#This Row],[Discount]])</f>
        <v>2520</v>
      </c>
      <c r="P718" s="8">
        <f>SalesData[[#This Row],[Sales_Check]]-SalesData[[#This Row],[Cost]]</f>
        <v>1170</v>
      </c>
      <c r="Q718" s="13">
        <f>IFERROR(SalesData[[#This Row],[Profit]]/SalesData[[#This Row],[Sales]],0)</f>
        <v>0.4642857142857143</v>
      </c>
      <c r="R718" t="str">
        <f>TEXT(SalesData[[#This Row],[Order Date]],"mmm-yyyy")</f>
        <v>May-2026</v>
      </c>
      <c r="S718">
        <f>YEAR(SalesData[[#This Row],[Order Date]])</f>
        <v>2026</v>
      </c>
      <c r="T718" t="str">
        <f>IF(SalesData[[#This Row],[Profit Margin]]&gt;=30%,"High",IF(SalesData[[#This Row],[Profit Margin]]&gt;=15%,"Medium","Low"))</f>
        <v>High</v>
      </c>
    </row>
    <row r="719" spans="1:20" x14ac:dyDescent="0.35">
      <c r="A719" t="s">
        <v>1229</v>
      </c>
      <c r="B719" s="23" t="s">
        <v>1230</v>
      </c>
      <c r="C719" t="s">
        <v>331</v>
      </c>
      <c r="D719" t="s">
        <v>43</v>
      </c>
      <c r="E719" t="s">
        <v>143</v>
      </c>
      <c r="F719" t="s">
        <v>27</v>
      </c>
      <c r="G719" t="s">
        <v>28</v>
      </c>
      <c r="H719" t="s">
        <v>29</v>
      </c>
      <c r="I719">
        <v>10</v>
      </c>
      <c r="J719" s="4">
        <v>650</v>
      </c>
      <c r="K719" s="6">
        <v>0.1</v>
      </c>
      <c r="L719" s="8">
        <v>5850</v>
      </c>
      <c r="M719" s="8">
        <v>3500</v>
      </c>
      <c r="N719" s="8">
        <v>2350</v>
      </c>
      <c r="O719" s="8">
        <f>SalesData[[#This Row],[Quantity]]*SalesData[[#This Row],[Unit Price]]*(1-SalesData[[#This Row],[Discount]])</f>
        <v>5850</v>
      </c>
      <c r="P719" s="8">
        <f>SalesData[[#This Row],[Sales_Check]]-SalesData[[#This Row],[Cost]]</f>
        <v>2350</v>
      </c>
      <c r="Q719" s="13">
        <f>IFERROR(SalesData[[#This Row],[Profit]]/SalesData[[#This Row],[Sales]],0)</f>
        <v>0.40170940170940173</v>
      </c>
      <c r="R719" t="str">
        <f>TEXT(SalesData[[#This Row],[Order Date]],"mmm-yyyy")</f>
        <v>May-2026</v>
      </c>
      <c r="S719">
        <f>YEAR(SalesData[[#This Row],[Order Date]])</f>
        <v>2026</v>
      </c>
      <c r="T719" t="str">
        <f>IF(SalesData[[#This Row],[Profit Margin]]&gt;=30%,"High",IF(SalesData[[#This Row],[Profit Margin]]&gt;=15%,"Medium","Low"))</f>
        <v>High</v>
      </c>
    </row>
    <row r="720" spans="1:20" x14ac:dyDescent="0.35">
      <c r="A720" t="s">
        <v>1231</v>
      </c>
      <c r="B720" s="23" t="s">
        <v>1230</v>
      </c>
      <c r="C720" t="s">
        <v>102</v>
      </c>
      <c r="D720" t="s">
        <v>25</v>
      </c>
      <c r="E720" t="s">
        <v>89</v>
      </c>
      <c r="F720" t="s">
        <v>19</v>
      </c>
      <c r="G720" t="s">
        <v>20</v>
      </c>
      <c r="H720" t="s">
        <v>125</v>
      </c>
      <c r="I720">
        <v>5</v>
      </c>
      <c r="J720" s="4">
        <v>550</v>
      </c>
      <c r="K720" s="6">
        <v>0.05</v>
      </c>
      <c r="L720" s="8">
        <v>2612.5</v>
      </c>
      <c r="M720" s="8">
        <v>1500</v>
      </c>
      <c r="N720" s="8">
        <v>1112.5</v>
      </c>
      <c r="O720" s="8">
        <f>SalesData[[#This Row],[Quantity]]*SalesData[[#This Row],[Unit Price]]*(1-SalesData[[#This Row],[Discount]])</f>
        <v>2612.5</v>
      </c>
      <c r="P720" s="8">
        <f>SalesData[[#This Row],[Sales_Check]]-SalesData[[#This Row],[Cost]]</f>
        <v>1112.5</v>
      </c>
      <c r="Q720" s="13">
        <f>IFERROR(SalesData[[#This Row],[Profit]]/SalesData[[#This Row],[Sales]],0)</f>
        <v>0.42583732057416268</v>
      </c>
      <c r="R720" t="str">
        <f>TEXT(SalesData[[#This Row],[Order Date]],"mmm-yyyy")</f>
        <v>May-2026</v>
      </c>
      <c r="S720">
        <f>YEAR(SalesData[[#This Row],[Order Date]])</f>
        <v>2026</v>
      </c>
      <c r="T720" t="str">
        <f>IF(SalesData[[#This Row],[Profit Margin]]&gt;=30%,"High",IF(SalesData[[#This Row],[Profit Margin]]&gt;=15%,"Medium","Low"))</f>
        <v>High</v>
      </c>
    </row>
    <row r="721" spans="1:20" x14ac:dyDescent="0.35">
      <c r="A721" t="s">
        <v>1232</v>
      </c>
      <c r="B721" s="23" t="s">
        <v>1230</v>
      </c>
      <c r="C721" t="s">
        <v>835</v>
      </c>
      <c r="D721" t="s">
        <v>17</v>
      </c>
      <c r="E721" t="s">
        <v>32</v>
      </c>
      <c r="F721" t="s">
        <v>19</v>
      </c>
      <c r="G721" t="s">
        <v>215</v>
      </c>
      <c r="H721" t="s">
        <v>33</v>
      </c>
      <c r="I721">
        <v>10</v>
      </c>
      <c r="J721" s="4">
        <v>1500</v>
      </c>
      <c r="K721" s="6">
        <v>0</v>
      </c>
      <c r="L721" s="8">
        <v>15000</v>
      </c>
      <c r="M721" s="8">
        <v>9000</v>
      </c>
      <c r="N721" s="8">
        <v>6000</v>
      </c>
      <c r="O721" s="8">
        <f>SalesData[[#This Row],[Quantity]]*SalesData[[#This Row],[Unit Price]]*(1-SalesData[[#This Row],[Discount]])</f>
        <v>15000</v>
      </c>
      <c r="P721" s="8">
        <f>SalesData[[#This Row],[Sales_Check]]-SalesData[[#This Row],[Cost]]</f>
        <v>6000</v>
      </c>
      <c r="Q721" s="13">
        <f>IFERROR(SalesData[[#This Row],[Profit]]/SalesData[[#This Row],[Sales]],0)</f>
        <v>0.4</v>
      </c>
      <c r="R721" t="str">
        <f>TEXT(SalesData[[#This Row],[Order Date]],"mmm-yyyy")</f>
        <v>May-2026</v>
      </c>
      <c r="S721">
        <f>YEAR(SalesData[[#This Row],[Order Date]])</f>
        <v>2026</v>
      </c>
      <c r="T721" t="str">
        <f>IF(SalesData[[#This Row],[Profit Margin]]&gt;=30%,"High",IF(SalesData[[#This Row],[Profit Margin]]&gt;=15%,"Medium","Low"))</f>
        <v>High</v>
      </c>
    </row>
    <row r="722" spans="1:20" x14ac:dyDescent="0.35">
      <c r="A722" t="s">
        <v>1233</v>
      </c>
      <c r="B722" s="23" t="s">
        <v>1230</v>
      </c>
      <c r="C722" t="s">
        <v>410</v>
      </c>
      <c r="D722" t="s">
        <v>17</v>
      </c>
      <c r="E722" t="s">
        <v>65</v>
      </c>
      <c r="F722" t="s">
        <v>45</v>
      </c>
      <c r="G722" t="s">
        <v>104</v>
      </c>
      <c r="H722" t="s">
        <v>125</v>
      </c>
      <c r="I722">
        <v>5</v>
      </c>
      <c r="J722" s="4">
        <v>2200</v>
      </c>
      <c r="K722" s="6">
        <v>0</v>
      </c>
      <c r="L722" s="8">
        <v>11000</v>
      </c>
      <c r="M722" s="8">
        <v>7000</v>
      </c>
      <c r="N722" s="8">
        <v>4000</v>
      </c>
      <c r="O722" s="8">
        <f>SalesData[[#This Row],[Quantity]]*SalesData[[#This Row],[Unit Price]]*(1-SalesData[[#This Row],[Discount]])</f>
        <v>11000</v>
      </c>
      <c r="P722" s="8">
        <f>SalesData[[#This Row],[Sales_Check]]-SalesData[[#This Row],[Cost]]</f>
        <v>4000</v>
      </c>
      <c r="Q722" s="13">
        <f>IFERROR(SalesData[[#This Row],[Profit]]/SalesData[[#This Row],[Sales]],0)</f>
        <v>0.36363636363636365</v>
      </c>
      <c r="R722" t="str">
        <f>TEXT(SalesData[[#This Row],[Order Date]],"mmm-yyyy")</f>
        <v>May-2026</v>
      </c>
      <c r="S722">
        <f>YEAR(SalesData[[#This Row],[Order Date]])</f>
        <v>2026</v>
      </c>
      <c r="T722" t="str">
        <f>IF(SalesData[[#This Row],[Profit Margin]]&gt;=30%,"High",IF(SalesData[[#This Row],[Profit Margin]]&gt;=15%,"Medium","Low"))</f>
        <v>High</v>
      </c>
    </row>
    <row r="723" spans="1:20" x14ac:dyDescent="0.35">
      <c r="A723" t="s">
        <v>1234</v>
      </c>
      <c r="B723" s="23" t="s">
        <v>1235</v>
      </c>
      <c r="C723" t="s">
        <v>261</v>
      </c>
      <c r="D723" t="s">
        <v>17</v>
      </c>
      <c r="E723" t="s">
        <v>50</v>
      </c>
      <c r="F723" t="s">
        <v>37</v>
      </c>
      <c r="G723" t="s">
        <v>38</v>
      </c>
      <c r="H723" t="s">
        <v>39</v>
      </c>
      <c r="I723">
        <v>8</v>
      </c>
      <c r="J723" s="4">
        <v>650</v>
      </c>
      <c r="K723" s="6">
        <v>0</v>
      </c>
      <c r="L723" s="8">
        <v>5200</v>
      </c>
      <c r="M723" s="8">
        <v>3040</v>
      </c>
      <c r="N723" s="8">
        <v>2160</v>
      </c>
      <c r="O723" s="8">
        <f>SalesData[[#This Row],[Quantity]]*SalesData[[#This Row],[Unit Price]]*(1-SalesData[[#This Row],[Discount]])</f>
        <v>5200</v>
      </c>
      <c r="P723" s="8">
        <f>SalesData[[#This Row],[Sales_Check]]-SalesData[[#This Row],[Cost]]</f>
        <v>2160</v>
      </c>
      <c r="Q723" s="13">
        <f>IFERROR(SalesData[[#This Row],[Profit]]/SalesData[[#This Row],[Sales]],0)</f>
        <v>0.41538461538461541</v>
      </c>
      <c r="R723" t="str">
        <f>TEXT(SalesData[[#This Row],[Order Date]],"mmm-yyyy")</f>
        <v>May-2026</v>
      </c>
      <c r="S723">
        <f>YEAR(SalesData[[#This Row],[Order Date]])</f>
        <v>2026</v>
      </c>
      <c r="T723" t="str">
        <f>IF(SalesData[[#This Row],[Profit Margin]]&gt;=30%,"High",IF(SalesData[[#This Row],[Profit Margin]]&gt;=15%,"Medium","Low"))</f>
        <v>High</v>
      </c>
    </row>
    <row r="724" spans="1:20" x14ac:dyDescent="0.35">
      <c r="A724" t="s">
        <v>1236</v>
      </c>
      <c r="B724" s="23" t="s">
        <v>1235</v>
      </c>
      <c r="C724" t="s">
        <v>294</v>
      </c>
      <c r="D724" t="s">
        <v>25</v>
      </c>
      <c r="E724" t="s">
        <v>69</v>
      </c>
      <c r="F724" t="s">
        <v>19</v>
      </c>
      <c r="G724" t="s">
        <v>56</v>
      </c>
      <c r="H724" t="s">
        <v>125</v>
      </c>
      <c r="I724">
        <v>5</v>
      </c>
      <c r="J724" s="4">
        <v>350</v>
      </c>
      <c r="K724" s="6">
        <v>0.1</v>
      </c>
      <c r="L724" s="8">
        <v>1575</v>
      </c>
      <c r="M724" s="8">
        <v>900</v>
      </c>
      <c r="N724" s="8">
        <v>675</v>
      </c>
      <c r="O724" s="8">
        <f>SalesData[[#This Row],[Quantity]]*SalesData[[#This Row],[Unit Price]]*(1-SalesData[[#This Row],[Discount]])</f>
        <v>1575</v>
      </c>
      <c r="P724" s="8">
        <f>SalesData[[#This Row],[Sales_Check]]-SalesData[[#This Row],[Cost]]</f>
        <v>675</v>
      </c>
      <c r="Q724" s="13">
        <f>IFERROR(SalesData[[#This Row],[Profit]]/SalesData[[#This Row],[Sales]],0)</f>
        <v>0.42857142857142855</v>
      </c>
      <c r="R724" t="str">
        <f>TEXT(SalesData[[#This Row],[Order Date]],"mmm-yyyy")</f>
        <v>May-2026</v>
      </c>
      <c r="S724">
        <f>YEAR(SalesData[[#This Row],[Order Date]])</f>
        <v>2026</v>
      </c>
      <c r="T724" t="str">
        <f>IF(SalesData[[#This Row],[Profit Margin]]&gt;=30%,"High",IF(SalesData[[#This Row],[Profit Margin]]&gt;=15%,"Medium","Low"))</f>
        <v>High</v>
      </c>
    </row>
    <row r="725" spans="1:20" x14ac:dyDescent="0.35">
      <c r="A725" t="s">
        <v>1237</v>
      </c>
      <c r="B725" s="23" t="s">
        <v>1235</v>
      </c>
      <c r="C725" t="s">
        <v>82</v>
      </c>
      <c r="D725" t="s">
        <v>54</v>
      </c>
      <c r="E725" t="s">
        <v>107</v>
      </c>
      <c r="F725" t="s">
        <v>45</v>
      </c>
      <c r="G725" t="s">
        <v>70</v>
      </c>
      <c r="H725" t="s">
        <v>39</v>
      </c>
      <c r="I725">
        <v>10</v>
      </c>
      <c r="J725" s="4">
        <v>120</v>
      </c>
      <c r="K725" s="6">
        <v>0</v>
      </c>
      <c r="L725" s="8">
        <v>1200</v>
      </c>
      <c r="M725" s="8">
        <v>550</v>
      </c>
      <c r="N725" s="8">
        <v>650</v>
      </c>
      <c r="O725" s="8">
        <f>SalesData[[#This Row],[Quantity]]*SalesData[[#This Row],[Unit Price]]*(1-SalesData[[#This Row],[Discount]])</f>
        <v>1200</v>
      </c>
      <c r="P725" s="8">
        <f>SalesData[[#This Row],[Sales_Check]]-SalesData[[#This Row],[Cost]]</f>
        <v>650</v>
      </c>
      <c r="Q725" s="13">
        <f>IFERROR(SalesData[[#This Row],[Profit]]/SalesData[[#This Row],[Sales]],0)</f>
        <v>0.54166666666666663</v>
      </c>
      <c r="R725" t="str">
        <f>TEXT(SalesData[[#This Row],[Order Date]],"mmm-yyyy")</f>
        <v>May-2026</v>
      </c>
      <c r="S725">
        <f>YEAR(SalesData[[#This Row],[Order Date]])</f>
        <v>2026</v>
      </c>
      <c r="T725" t="str">
        <f>IF(SalesData[[#This Row],[Profit Margin]]&gt;=30%,"High",IF(SalesData[[#This Row],[Profit Margin]]&gt;=15%,"Medium","Low"))</f>
        <v>High</v>
      </c>
    </row>
    <row r="726" spans="1:20" x14ac:dyDescent="0.35">
      <c r="A726" t="s">
        <v>1238</v>
      </c>
      <c r="B726" s="23" t="s">
        <v>1235</v>
      </c>
      <c r="C726" t="s">
        <v>431</v>
      </c>
      <c r="D726" t="s">
        <v>17</v>
      </c>
      <c r="E726" t="s">
        <v>18</v>
      </c>
      <c r="F726" t="s">
        <v>37</v>
      </c>
      <c r="G726" t="s">
        <v>38</v>
      </c>
      <c r="H726" t="s">
        <v>47</v>
      </c>
      <c r="I726">
        <v>6</v>
      </c>
      <c r="J726" s="4">
        <v>1800</v>
      </c>
      <c r="K726" s="6">
        <v>0.1</v>
      </c>
      <c r="L726" s="8">
        <v>9720</v>
      </c>
      <c r="M726" s="8">
        <v>6600</v>
      </c>
      <c r="N726" s="8">
        <v>3120</v>
      </c>
      <c r="O726" s="8">
        <f>SalesData[[#This Row],[Quantity]]*SalesData[[#This Row],[Unit Price]]*(1-SalesData[[#This Row],[Discount]])</f>
        <v>9720</v>
      </c>
      <c r="P726" s="8">
        <f>SalesData[[#This Row],[Sales_Check]]-SalesData[[#This Row],[Cost]]</f>
        <v>3120</v>
      </c>
      <c r="Q726" s="13">
        <f>IFERROR(SalesData[[#This Row],[Profit]]/SalesData[[#This Row],[Sales]],0)</f>
        <v>0.32098765432098764</v>
      </c>
      <c r="R726" t="str">
        <f>TEXT(SalesData[[#This Row],[Order Date]],"mmm-yyyy")</f>
        <v>May-2026</v>
      </c>
      <c r="S726">
        <f>YEAR(SalesData[[#This Row],[Order Date]])</f>
        <v>2026</v>
      </c>
      <c r="T726" t="str">
        <f>IF(SalesData[[#This Row],[Profit Margin]]&gt;=30%,"High",IF(SalesData[[#This Row],[Profit Margin]]&gt;=15%,"Medium","Low"))</f>
        <v>High</v>
      </c>
    </row>
    <row r="727" spans="1:20" x14ac:dyDescent="0.35">
      <c r="A727" t="s">
        <v>1239</v>
      </c>
      <c r="B727" s="23" t="s">
        <v>1240</v>
      </c>
      <c r="C727" t="s">
        <v>77</v>
      </c>
      <c r="D727" t="s">
        <v>54</v>
      </c>
      <c r="E727" t="s">
        <v>55</v>
      </c>
      <c r="F727" t="s">
        <v>37</v>
      </c>
      <c r="G727" t="s">
        <v>140</v>
      </c>
      <c r="H727" t="s">
        <v>33</v>
      </c>
      <c r="I727">
        <v>3</v>
      </c>
      <c r="J727" s="4">
        <v>180</v>
      </c>
      <c r="K727" s="6">
        <v>0</v>
      </c>
      <c r="L727" s="8">
        <v>540</v>
      </c>
      <c r="M727" s="8">
        <v>270</v>
      </c>
      <c r="N727" s="8">
        <v>270</v>
      </c>
      <c r="O727" s="8">
        <f>SalesData[[#This Row],[Quantity]]*SalesData[[#This Row],[Unit Price]]*(1-SalesData[[#This Row],[Discount]])</f>
        <v>540</v>
      </c>
      <c r="P727" s="8">
        <f>SalesData[[#This Row],[Sales_Check]]-SalesData[[#This Row],[Cost]]</f>
        <v>270</v>
      </c>
      <c r="Q727" s="13">
        <f>IFERROR(SalesData[[#This Row],[Profit]]/SalesData[[#This Row],[Sales]],0)</f>
        <v>0.5</v>
      </c>
      <c r="R727" t="str">
        <f>TEXT(SalesData[[#This Row],[Order Date]],"mmm-yyyy")</f>
        <v>May-2026</v>
      </c>
      <c r="S727">
        <f>YEAR(SalesData[[#This Row],[Order Date]])</f>
        <v>2026</v>
      </c>
      <c r="T727" t="str">
        <f>IF(SalesData[[#This Row],[Profit Margin]]&gt;=30%,"High",IF(SalesData[[#This Row],[Profit Margin]]&gt;=15%,"Medium","Low"))</f>
        <v>High</v>
      </c>
    </row>
    <row r="728" spans="1:20" x14ac:dyDescent="0.35">
      <c r="A728" t="s">
        <v>1241</v>
      </c>
      <c r="B728" s="23" t="s">
        <v>1240</v>
      </c>
      <c r="C728" t="s">
        <v>713</v>
      </c>
      <c r="D728" t="s">
        <v>43</v>
      </c>
      <c r="E728" t="s">
        <v>62</v>
      </c>
      <c r="F728" t="s">
        <v>27</v>
      </c>
      <c r="G728" t="s">
        <v>85</v>
      </c>
      <c r="H728" t="s">
        <v>33</v>
      </c>
      <c r="I728">
        <v>5</v>
      </c>
      <c r="J728" s="4">
        <v>500</v>
      </c>
      <c r="K728" s="6">
        <v>0.1</v>
      </c>
      <c r="L728" s="8">
        <v>2250</v>
      </c>
      <c r="M728" s="8">
        <v>1400</v>
      </c>
      <c r="N728" s="8">
        <v>850</v>
      </c>
      <c r="O728" s="8">
        <f>SalesData[[#This Row],[Quantity]]*SalesData[[#This Row],[Unit Price]]*(1-SalesData[[#This Row],[Discount]])</f>
        <v>2250</v>
      </c>
      <c r="P728" s="8">
        <f>SalesData[[#This Row],[Sales_Check]]-SalesData[[#This Row],[Cost]]</f>
        <v>850</v>
      </c>
      <c r="Q728" s="13">
        <f>IFERROR(SalesData[[#This Row],[Profit]]/SalesData[[#This Row],[Sales]],0)</f>
        <v>0.37777777777777777</v>
      </c>
      <c r="R728" t="str">
        <f>TEXT(SalesData[[#This Row],[Order Date]],"mmm-yyyy")</f>
        <v>May-2026</v>
      </c>
      <c r="S728">
        <f>YEAR(SalesData[[#This Row],[Order Date]])</f>
        <v>2026</v>
      </c>
      <c r="T728" t="str">
        <f>IF(SalesData[[#This Row],[Profit Margin]]&gt;=30%,"High",IF(SalesData[[#This Row],[Profit Margin]]&gt;=15%,"Medium","Low"))</f>
        <v>High</v>
      </c>
    </row>
    <row r="729" spans="1:20" x14ac:dyDescent="0.35">
      <c r="A729" t="s">
        <v>1242</v>
      </c>
      <c r="B729" s="23" t="s">
        <v>1240</v>
      </c>
      <c r="C729" t="s">
        <v>625</v>
      </c>
      <c r="D729" t="s">
        <v>54</v>
      </c>
      <c r="E729" t="s">
        <v>107</v>
      </c>
      <c r="F729" t="s">
        <v>37</v>
      </c>
      <c r="G729" t="s">
        <v>97</v>
      </c>
      <c r="H729" t="s">
        <v>29</v>
      </c>
      <c r="I729">
        <v>1</v>
      </c>
      <c r="J729" s="4">
        <v>120</v>
      </c>
      <c r="K729" s="6">
        <v>0</v>
      </c>
      <c r="L729" s="8">
        <v>120</v>
      </c>
      <c r="M729" s="8">
        <v>55</v>
      </c>
      <c r="N729" s="8">
        <v>65</v>
      </c>
      <c r="O729" s="8">
        <f>SalesData[[#This Row],[Quantity]]*SalesData[[#This Row],[Unit Price]]*(1-SalesData[[#This Row],[Discount]])</f>
        <v>120</v>
      </c>
      <c r="P729" s="8">
        <f>SalesData[[#This Row],[Sales_Check]]-SalesData[[#This Row],[Cost]]</f>
        <v>65</v>
      </c>
      <c r="Q729" s="13">
        <f>IFERROR(SalesData[[#This Row],[Profit]]/SalesData[[#This Row],[Sales]],0)</f>
        <v>0.54166666666666663</v>
      </c>
      <c r="R729" t="str">
        <f>TEXT(SalesData[[#This Row],[Order Date]],"mmm-yyyy")</f>
        <v>May-2026</v>
      </c>
      <c r="S729">
        <f>YEAR(SalesData[[#This Row],[Order Date]])</f>
        <v>2026</v>
      </c>
      <c r="T729" t="str">
        <f>IF(SalesData[[#This Row],[Profit Margin]]&gt;=30%,"High",IF(SalesData[[#This Row],[Profit Margin]]&gt;=15%,"Medium","Low"))</f>
        <v>High</v>
      </c>
    </row>
    <row r="730" spans="1:20" x14ac:dyDescent="0.35">
      <c r="A730" t="s">
        <v>1243</v>
      </c>
      <c r="B730" s="23" t="s">
        <v>1240</v>
      </c>
      <c r="C730" t="s">
        <v>878</v>
      </c>
      <c r="D730" t="s">
        <v>25</v>
      </c>
      <c r="E730" t="s">
        <v>80</v>
      </c>
      <c r="F730" t="s">
        <v>19</v>
      </c>
      <c r="G730" t="s">
        <v>56</v>
      </c>
      <c r="H730" t="s">
        <v>33</v>
      </c>
      <c r="I730">
        <v>3</v>
      </c>
      <c r="J730" s="4">
        <v>950</v>
      </c>
      <c r="K730" s="6">
        <v>0.15</v>
      </c>
      <c r="L730" s="8">
        <v>2422.5</v>
      </c>
      <c r="M730" s="8">
        <v>1680</v>
      </c>
      <c r="N730" s="8">
        <v>742.5</v>
      </c>
      <c r="O730" s="8">
        <f>SalesData[[#This Row],[Quantity]]*SalesData[[#This Row],[Unit Price]]*(1-SalesData[[#This Row],[Discount]])</f>
        <v>2422.5</v>
      </c>
      <c r="P730" s="8">
        <f>SalesData[[#This Row],[Sales_Check]]-SalesData[[#This Row],[Cost]]</f>
        <v>742.5</v>
      </c>
      <c r="Q730" s="13">
        <f>IFERROR(SalesData[[#This Row],[Profit]]/SalesData[[#This Row],[Sales]],0)</f>
        <v>0.30650154798761609</v>
      </c>
      <c r="R730" t="str">
        <f>TEXT(SalesData[[#This Row],[Order Date]],"mmm-yyyy")</f>
        <v>May-2026</v>
      </c>
      <c r="S730">
        <f>YEAR(SalesData[[#This Row],[Order Date]])</f>
        <v>2026</v>
      </c>
      <c r="T730" t="str">
        <f>IF(SalesData[[#This Row],[Profit Margin]]&gt;=30%,"High",IF(SalesData[[#This Row],[Profit Margin]]&gt;=15%,"Medium","Low"))</f>
        <v>High</v>
      </c>
    </row>
    <row r="731" spans="1:20" x14ac:dyDescent="0.35">
      <c r="A731" t="s">
        <v>1244</v>
      </c>
      <c r="B731" s="23" t="s">
        <v>1245</v>
      </c>
      <c r="C731" t="s">
        <v>615</v>
      </c>
      <c r="D731" t="s">
        <v>25</v>
      </c>
      <c r="E731" t="s">
        <v>69</v>
      </c>
      <c r="F731" t="s">
        <v>19</v>
      </c>
      <c r="G731" t="s">
        <v>215</v>
      </c>
      <c r="H731" t="s">
        <v>47</v>
      </c>
      <c r="I731">
        <v>10</v>
      </c>
      <c r="J731" s="4">
        <v>350</v>
      </c>
      <c r="K731" s="6">
        <v>0.1</v>
      </c>
      <c r="L731" s="8">
        <v>3150</v>
      </c>
      <c r="M731" s="8">
        <v>1800</v>
      </c>
      <c r="N731" s="8">
        <v>1350</v>
      </c>
      <c r="O731" s="8">
        <f>SalesData[[#This Row],[Quantity]]*SalesData[[#This Row],[Unit Price]]*(1-SalesData[[#This Row],[Discount]])</f>
        <v>3150</v>
      </c>
      <c r="P731" s="8">
        <f>SalesData[[#This Row],[Sales_Check]]-SalesData[[#This Row],[Cost]]</f>
        <v>1350</v>
      </c>
      <c r="Q731" s="13">
        <f>IFERROR(SalesData[[#This Row],[Profit]]/SalesData[[#This Row],[Sales]],0)</f>
        <v>0.42857142857142855</v>
      </c>
      <c r="R731" t="str">
        <f>TEXT(SalesData[[#This Row],[Order Date]],"mmm-yyyy")</f>
        <v>May-2026</v>
      </c>
      <c r="S731">
        <f>YEAR(SalesData[[#This Row],[Order Date]])</f>
        <v>2026</v>
      </c>
      <c r="T731" t="str">
        <f>IF(SalesData[[#This Row],[Profit Margin]]&gt;=30%,"High",IF(SalesData[[#This Row],[Profit Margin]]&gt;=15%,"Medium","Low"))</f>
        <v>High</v>
      </c>
    </row>
    <row r="732" spans="1:20" x14ac:dyDescent="0.35">
      <c r="A732" t="s">
        <v>1246</v>
      </c>
      <c r="B732" s="23" t="s">
        <v>1245</v>
      </c>
      <c r="C732" t="s">
        <v>142</v>
      </c>
      <c r="D732" t="s">
        <v>17</v>
      </c>
      <c r="E732" t="s">
        <v>32</v>
      </c>
      <c r="F732" t="s">
        <v>19</v>
      </c>
      <c r="G732" t="s">
        <v>113</v>
      </c>
      <c r="H732" t="s">
        <v>21</v>
      </c>
      <c r="I732">
        <v>2</v>
      </c>
      <c r="J732" s="4">
        <v>1500</v>
      </c>
      <c r="K732" s="6">
        <v>0.05</v>
      </c>
      <c r="L732" s="8">
        <v>2850</v>
      </c>
      <c r="M732" s="8">
        <v>1800</v>
      </c>
      <c r="N732" s="8">
        <v>1050</v>
      </c>
      <c r="O732" s="8">
        <f>SalesData[[#This Row],[Quantity]]*SalesData[[#This Row],[Unit Price]]*(1-SalesData[[#This Row],[Discount]])</f>
        <v>2850</v>
      </c>
      <c r="P732" s="8">
        <f>SalesData[[#This Row],[Sales_Check]]-SalesData[[#This Row],[Cost]]</f>
        <v>1050</v>
      </c>
      <c r="Q732" s="13">
        <f>IFERROR(SalesData[[#This Row],[Profit]]/SalesData[[#This Row],[Sales]],0)</f>
        <v>0.36842105263157893</v>
      </c>
      <c r="R732" t="str">
        <f>TEXT(SalesData[[#This Row],[Order Date]],"mmm-yyyy")</f>
        <v>May-2026</v>
      </c>
      <c r="S732">
        <f>YEAR(SalesData[[#This Row],[Order Date]])</f>
        <v>2026</v>
      </c>
      <c r="T732" t="str">
        <f>IF(SalesData[[#This Row],[Profit Margin]]&gt;=30%,"High",IF(SalesData[[#This Row],[Profit Margin]]&gt;=15%,"Medium","Low"))</f>
        <v>High</v>
      </c>
    </row>
    <row r="733" spans="1:20" x14ac:dyDescent="0.35">
      <c r="A733" t="s">
        <v>1247</v>
      </c>
      <c r="B733" s="23" t="s">
        <v>1245</v>
      </c>
      <c r="C733" t="s">
        <v>802</v>
      </c>
      <c r="D733" t="s">
        <v>17</v>
      </c>
      <c r="E733" t="s">
        <v>65</v>
      </c>
      <c r="F733" t="s">
        <v>27</v>
      </c>
      <c r="G733" t="s">
        <v>90</v>
      </c>
      <c r="H733" t="s">
        <v>33</v>
      </c>
      <c r="I733">
        <v>5</v>
      </c>
      <c r="J733" s="4">
        <v>2200</v>
      </c>
      <c r="K733" s="6">
        <v>0.15</v>
      </c>
      <c r="L733" s="8">
        <v>9350</v>
      </c>
      <c r="M733" s="8">
        <v>7000</v>
      </c>
      <c r="N733" s="8">
        <v>2350</v>
      </c>
      <c r="O733" s="8">
        <f>SalesData[[#This Row],[Quantity]]*SalesData[[#This Row],[Unit Price]]*(1-SalesData[[#This Row],[Discount]])</f>
        <v>9350</v>
      </c>
      <c r="P733" s="8">
        <f>SalesData[[#This Row],[Sales_Check]]-SalesData[[#This Row],[Cost]]</f>
        <v>2350</v>
      </c>
      <c r="Q733" s="13">
        <f>IFERROR(SalesData[[#This Row],[Profit]]/SalesData[[#This Row],[Sales]],0)</f>
        <v>0.25133689839572193</v>
      </c>
      <c r="R733" t="str">
        <f>TEXT(SalesData[[#This Row],[Order Date]],"mmm-yyyy")</f>
        <v>May-2026</v>
      </c>
      <c r="S733">
        <f>YEAR(SalesData[[#This Row],[Order Date]])</f>
        <v>2026</v>
      </c>
      <c r="T733" t="str">
        <f>IF(SalesData[[#This Row],[Profit Margin]]&gt;=30%,"High",IF(SalesData[[#This Row],[Profit Margin]]&gt;=15%,"Medium","Low"))</f>
        <v>Medium</v>
      </c>
    </row>
    <row r="734" spans="1:20" x14ac:dyDescent="0.35">
      <c r="A734" t="s">
        <v>1248</v>
      </c>
      <c r="B734" s="23" t="s">
        <v>1245</v>
      </c>
      <c r="C734" t="s">
        <v>64</v>
      </c>
      <c r="D734" t="s">
        <v>17</v>
      </c>
      <c r="E734" t="s">
        <v>124</v>
      </c>
      <c r="F734" t="s">
        <v>27</v>
      </c>
      <c r="G734" t="s">
        <v>51</v>
      </c>
      <c r="H734" t="s">
        <v>125</v>
      </c>
      <c r="I734">
        <v>4</v>
      </c>
      <c r="J734" s="4">
        <v>1200</v>
      </c>
      <c r="K734" s="6">
        <v>0.05</v>
      </c>
      <c r="L734" s="8">
        <v>4560</v>
      </c>
      <c r="M734" s="8">
        <v>2880</v>
      </c>
      <c r="N734" s="8">
        <v>1680</v>
      </c>
      <c r="O734" s="8">
        <f>SalesData[[#This Row],[Quantity]]*SalesData[[#This Row],[Unit Price]]*(1-SalesData[[#This Row],[Discount]])</f>
        <v>4560</v>
      </c>
      <c r="P734" s="8">
        <f>SalesData[[#This Row],[Sales_Check]]-SalesData[[#This Row],[Cost]]</f>
        <v>1680</v>
      </c>
      <c r="Q734" s="13">
        <f>IFERROR(SalesData[[#This Row],[Profit]]/SalesData[[#This Row],[Sales]],0)</f>
        <v>0.36842105263157893</v>
      </c>
      <c r="R734" t="str">
        <f>TEXT(SalesData[[#This Row],[Order Date]],"mmm-yyyy")</f>
        <v>May-2026</v>
      </c>
      <c r="S734">
        <f>YEAR(SalesData[[#This Row],[Order Date]])</f>
        <v>2026</v>
      </c>
      <c r="T734" t="str">
        <f>IF(SalesData[[#This Row],[Profit Margin]]&gt;=30%,"High",IF(SalesData[[#This Row],[Profit Margin]]&gt;=15%,"Medium","Low"))</f>
        <v>High</v>
      </c>
    </row>
    <row r="735" spans="1:20" x14ac:dyDescent="0.35">
      <c r="A735" t="s">
        <v>1249</v>
      </c>
      <c r="B735" s="23" t="s">
        <v>1245</v>
      </c>
      <c r="C735" t="s">
        <v>350</v>
      </c>
      <c r="D735" t="s">
        <v>54</v>
      </c>
      <c r="E735" t="s">
        <v>107</v>
      </c>
      <c r="F735" t="s">
        <v>37</v>
      </c>
      <c r="G735" t="s">
        <v>38</v>
      </c>
      <c r="H735" t="s">
        <v>29</v>
      </c>
      <c r="I735">
        <v>2</v>
      </c>
      <c r="J735" s="4">
        <v>120</v>
      </c>
      <c r="K735" s="6">
        <v>0</v>
      </c>
      <c r="L735" s="8">
        <v>240</v>
      </c>
      <c r="M735" s="8">
        <v>110</v>
      </c>
      <c r="N735" s="8">
        <v>130</v>
      </c>
      <c r="O735" s="8">
        <f>SalesData[[#This Row],[Quantity]]*SalesData[[#This Row],[Unit Price]]*(1-SalesData[[#This Row],[Discount]])</f>
        <v>240</v>
      </c>
      <c r="P735" s="8">
        <f>SalesData[[#This Row],[Sales_Check]]-SalesData[[#This Row],[Cost]]</f>
        <v>130</v>
      </c>
      <c r="Q735" s="13">
        <f>IFERROR(SalesData[[#This Row],[Profit]]/SalesData[[#This Row],[Sales]],0)</f>
        <v>0.54166666666666663</v>
      </c>
      <c r="R735" t="str">
        <f>TEXT(SalesData[[#This Row],[Order Date]],"mmm-yyyy")</f>
        <v>May-2026</v>
      </c>
      <c r="S735">
        <f>YEAR(SalesData[[#This Row],[Order Date]])</f>
        <v>2026</v>
      </c>
      <c r="T735" t="str">
        <f>IF(SalesData[[#This Row],[Profit Margin]]&gt;=30%,"High",IF(SalesData[[#This Row],[Profit Margin]]&gt;=15%,"Medium","Low"))</f>
        <v>High</v>
      </c>
    </row>
    <row r="736" spans="1:20" x14ac:dyDescent="0.35">
      <c r="A736" t="s">
        <v>1250</v>
      </c>
      <c r="B736" s="23" t="s">
        <v>1245</v>
      </c>
      <c r="C736" t="s">
        <v>196</v>
      </c>
      <c r="D736" t="s">
        <v>17</v>
      </c>
      <c r="E736" t="s">
        <v>124</v>
      </c>
      <c r="F736" t="s">
        <v>45</v>
      </c>
      <c r="G736" t="s">
        <v>104</v>
      </c>
      <c r="H736" t="s">
        <v>39</v>
      </c>
      <c r="I736">
        <v>7</v>
      </c>
      <c r="J736" s="4">
        <v>1200</v>
      </c>
      <c r="K736" s="6">
        <v>0.05</v>
      </c>
      <c r="L736" s="8">
        <v>7980</v>
      </c>
      <c r="M736" s="8">
        <v>5040</v>
      </c>
      <c r="N736" s="8">
        <v>2940</v>
      </c>
      <c r="O736" s="8">
        <f>SalesData[[#This Row],[Quantity]]*SalesData[[#This Row],[Unit Price]]*(1-SalesData[[#This Row],[Discount]])</f>
        <v>7980</v>
      </c>
      <c r="P736" s="8">
        <f>SalesData[[#This Row],[Sales_Check]]-SalesData[[#This Row],[Cost]]</f>
        <v>2940</v>
      </c>
      <c r="Q736" s="13">
        <f>IFERROR(SalesData[[#This Row],[Profit]]/SalesData[[#This Row],[Sales]],0)</f>
        <v>0.36842105263157893</v>
      </c>
      <c r="R736" t="str">
        <f>TEXT(SalesData[[#This Row],[Order Date]],"mmm-yyyy")</f>
        <v>May-2026</v>
      </c>
      <c r="S736">
        <f>YEAR(SalesData[[#This Row],[Order Date]])</f>
        <v>2026</v>
      </c>
      <c r="T736" t="str">
        <f>IF(SalesData[[#This Row],[Profit Margin]]&gt;=30%,"High",IF(SalesData[[#This Row],[Profit Margin]]&gt;=15%,"Medium","Low"))</f>
        <v>High</v>
      </c>
    </row>
    <row r="737" spans="1:20" x14ac:dyDescent="0.35">
      <c r="A737" t="s">
        <v>1251</v>
      </c>
      <c r="B737" s="23" t="s">
        <v>1252</v>
      </c>
      <c r="C737" t="s">
        <v>639</v>
      </c>
      <c r="D737" t="s">
        <v>17</v>
      </c>
      <c r="E737" t="s">
        <v>124</v>
      </c>
      <c r="F737" t="s">
        <v>45</v>
      </c>
      <c r="G737" t="s">
        <v>46</v>
      </c>
      <c r="H737" t="s">
        <v>39</v>
      </c>
      <c r="I737">
        <v>7</v>
      </c>
      <c r="J737" s="4">
        <v>1200</v>
      </c>
      <c r="K737" s="6">
        <v>0</v>
      </c>
      <c r="L737" s="8">
        <v>8400</v>
      </c>
      <c r="M737" s="8">
        <v>5040</v>
      </c>
      <c r="N737" s="8">
        <v>3360</v>
      </c>
      <c r="O737" s="8">
        <f>SalesData[[#This Row],[Quantity]]*SalesData[[#This Row],[Unit Price]]*(1-SalesData[[#This Row],[Discount]])</f>
        <v>8400</v>
      </c>
      <c r="P737" s="8">
        <f>SalesData[[#This Row],[Sales_Check]]-SalesData[[#This Row],[Cost]]</f>
        <v>3360</v>
      </c>
      <c r="Q737" s="13">
        <f>IFERROR(SalesData[[#This Row],[Profit]]/SalesData[[#This Row],[Sales]],0)</f>
        <v>0.4</v>
      </c>
      <c r="R737" t="str">
        <f>TEXT(SalesData[[#This Row],[Order Date]],"mmm-yyyy")</f>
        <v>Jun-2026</v>
      </c>
      <c r="S737">
        <f>YEAR(SalesData[[#This Row],[Order Date]])</f>
        <v>2026</v>
      </c>
      <c r="T737" t="str">
        <f>IF(SalesData[[#This Row],[Profit Margin]]&gt;=30%,"High",IF(SalesData[[#This Row],[Profit Margin]]&gt;=15%,"Medium","Low"))</f>
        <v>High</v>
      </c>
    </row>
    <row r="738" spans="1:20" x14ac:dyDescent="0.35">
      <c r="A738" t="s">
        <v>1253</v>
      </c>
      <c r="B738" s="23" t="s">
        <v>1254</v>
      </c>
      <c r="C738" t="s">
        <v>72</v>
      </c>
      <c r="D738" t="s">
        <v>43</v>
      </c>
      <c r="E738" t="s">
        <v>143</v>
      </c>
      <c r="F738" t="s">
        <v>45</v>
      </c>
      <c r="G738" t="s">
        <v>122</v>
      </c>
      <c r="H738" t="s">
        <v>33</v>
      </c>
      <c r="I738">
        <v>1</v>
      </c>
      <c r="J738" s="4">
        <v>650</v>
      </c>
      <c r="K738" s="6">
        <v>0</v>
      </c>
      <c r="L738" s="8">
        <v>650</v>
      </c>
      <c r="M738" s="8">
        <v>350</v>
      </c>
      <c r="N738" s="8">
        <v>300</v>
      </c>
      <c r="O738" s="8">
        <f>SalesData[[#This Row],[Quantity]]*SalesData[[#This Row],[Unit Price]]*(1-SalesData[[#This Row],[Discount]])</f>
        <v>650</v>
      </c>
      <c r="P738" s="8">
        <f>SalesData[[#This Row],[Sales_Check]]-SalesData[[#This Row],[Cost]]</f>
        <v>300</v>
      </c>
      <c r="Q738" s="13">
        <f>IFERROR(SalesData[[#This Row],[Profit]]/SalesData[[#This Row],[Sales]],0)</f>
        <v>0.46153846153846156</v>
      </c>
      <c r="R738" t="str">
        <f>TEXT(SalesData[[#This Row],[Order Date]],"mmm-yyyy")</f>
        <v>Jun-2026</v>
      </c>
      <c r="S738">
        <f>YEAR(SalesData[[#This Row],[Order Date]])</f>
        <v>2026</v>
      </c>
      <c r="T738" t="str">
        <f>IF(SalesData[[#This Row],[Profit Margin]]&gt;=30%,"High",IF(SalesData[[#This Row],[Profit Margin]]&gt;=15%,"Medium","Low"))</f>
        <v>High</v>
      </c>
    </row>
    <row r="739" spans="1:20" x14ac:dyDescent="0.35">
      <c r="A739" t="s">
        <v>1255</v>
      </c>
      <c r="B739" s="23" t="s">
        <v>1254</v>
      </c>
      <c r="C739" t="s">
        <v>343</v>
      </c>
      <c r="D739" t="s">
        <v>25</v>
      </c>
      <c r="E739" t="s">
        <v>26</v>
      </c>
      <c r="F739" t="s">
        <v>19</v>
      </c>
      <c r="G739" t="s">
        <v>20</v>
      </c>
      <c r="H739" t="s">
        <v>21</v>
      </c>
      <c r="I739">
        <v>6</v>
      </c>
      <c r="J739" s="4">
        <v>600</v>
      </c>
      <c r="K739" s="6">
        <v>0.05</v>
      </c>
      <c r="L739" s="8">
        <v>3420</v>
      </c>
      <c r="M739" s="8">
        <v>1980</v>
      </c>
      <c r="N739" s="8">
        <v>1440</v>
      </c>
      <c r="O739" s="8">
        <f>SalesData[[#This Row],[Quantity]]*SalesData[[#This Row],[Unit Price]]*(1-SalesData[[#This Row],[Discount]])</f>
        <v>3420</v>
      </c>
      <c r="P739" s="8">
        <f>SalesData[[#This Row],[Sales_Check]]-SalesData[[#This Row],[Cost]]</f>
        <v>1440</v>
      </c>
      <c r="Q739" s="13">
        <f>IFERROR(SalesData[[#This Row],[Profit]]/SalesData[[#This Row],[Sales]],0)</f>
        <v>0.42105263157894735</v>
      </c>
      <c r="R739" t="str">
        <f>TEXT(SalesData[[#This Row],[Order Date]],"mmm-yyyy")</f>
        <v>Jun-2026</v>
      </c>
      <c r="S739">
        <f>YEAR(SalesData[[#This Row],[Order Date]])</f>
        <v>2026</v>
      </c>
      <c r="T739" t="str">
        <f>IF(SalesData[[#This Row],[Profit Margin]]&gt;=30%,"High",IF(SalesData[[#This Row],[Profit Margin]]&gt;=15%,"Medium","Low"))</f>
        <v>High</v>
      </c>
    </row>
    <row r="740" spans="1:20" x14ac:dyDescent="0.35">
      <c r="A740" t="s">
        <v>1256</v>
      </c>
      <c r="B740" s="23" t="s">
        <v>1254</v>
      </c>
      <c r="C740" t="s">
        <v>1081</v>
      </c>
      <c r="D740" t="s">
        <v>25</v>
      </c>
      <c r="E740" t="s">
        <v>36</v>
      </c>
      <c r="F740" t="s">
        <v>37</v>
      </c>
      <c r="G740" t="s">
        <v>140</v>
      </c>
      <c r="H740" t="s">
        <v>47</v>
      </c>
      <c r="I740">
        <v>6</v>
      </c>
      <c r="J740" s="4">
        <v>700</v>
      </c>
      <c r="K740" s="6">
        <v>0.15</v>
      </c>
      <c r="L740" s="8">
        <v>3570</v>
      </c>
      <c r="M740" s="8">
        <v>2400</v>
      </c>
      <c r="N740" s="8">
        <v>1170</v>
      </c>
      <c r="O740" s="8">
        <f>SalesData[[#This Row],[Quantity]]*SalesData[[#This Row],[Unit Price]]*(1-SalesData[[#This Row],[Discount]])</f>
        <v>3570</v>
      </c>
      <c r="P740" s="8">
        <f>SalesData[[#This Row],[Sales_Check]]-SalesData[[#This Row],[Cost]]</f>
        <v>1170</v>
      </c>
      <c r="Q740" s="13">
        <f>IFERROR(SalesData[[#This Row],[Profit]]/SalesData[[#This Row],[Sales]],0)</f>
        <v>0.32773109243697479</v>
      </c>
      <c r="R740" t="str">
        <f>TEXT(SalesData[[#This Row],[Order Date]],"mmm-yyyy")</f>
        <v>Jun-2026</v>
      </c>
      <c r="S740">
        <f>YEAR(SalesData[[#This Row],[Order Date]])</f>
        <v>2026</v>
      </c>
      <c r="T740" t="str">
        <f>IF(SalesData[[#This Row],[Profit Margin]]&gt;=30%,"High",IF(SalesData[[#This Row],[Profit Margin]]&gt;=15%,"Medium","Low"))</f>
        <v>High</v>
      </c>
    </row>
    <row r="741" spans="1:20" x14ac:dyDescent="0.35">
      <c r="A741" t="s">
        <v>1257</v>
      </c>
      <c r="B741" s="23" t="s">
        <v>1254</v>
      </c>
      <c r="C741" t="s">
        <v>49</v>
      </c>
      <c r="D741" t="s">
        <v>43</v>
      </c>
      <c r="E741" t="s">
        <v>250</v>
      </c>
      <c r="F741" t="s">
        <v>19</v>
      </c>
      <c r="G741" t="s">
        <v>20</v>
      </c>
      <c r="H741" t="s">
        <v>21</v>
      </c>
      <c r="I741">
        <v>3</v>
      </c>
      <c r="J741" s="4">
        <v>900</v>
      </c>
      <c r="K741" s="6">
        <v>0.1</v>
      </c>
      <c r="L741" s="8">
        <v>2430</v>
      </c>
      <c r="M741" s="8">
        <v>1560</v>
      </c>
      <c r="N741" s="8">
        <v>870</v>
      </c>
      <c r="O741" s="8">
        <f>SalesData[[#This Row],[Quantity]]*SalesData[[#This Row],[Unit Price]]*(1-SalesData[[#This Row],[Discount]])</f>
        <v>2430</v>
      </c>
      <c r="P741" s="8">
        <f>SalesData[[#This Row],[Sales_Check]]-SalesData[[#This Row],[Cost]]</f>
        <v>870</v>
      </c>
      <c r="Q741" s="13">
        <f>IFERROR(SalesData[[#This Row],[Profit]]/SalesData[[#This Row],[Sales]],0)</f>
        <v>0.35802469135802467</v>
      </c>
      <c r="R741" t="str">
        <f>TEXT(SalesData[[#This Row],[Order Date]],"mmm-yyyy")</f>
        <v>Jun-2026</v>
      </c>
      <c r="S741">
        <f>YEAR(SalesData[[#This Row],[Order Date]])</f>
        <v>2026</v>
      </c>
      <c r="T741" t="str">
        <f>IF(SalesData[[#This Row],[Profit Margin]]&gt;=30%,"High",IF(SalesData[[#This Row],[Profit Margin]]&gt;=15%,"Medium","Low"))</f>
        <v>High</v>
      </c>
    </row>
    <row r="742" spans="1:20" x14ac:dyDescent="0.35">
      <c r="A742" t="s">
        <v>1258</v>
      </c>
      <c r="B742" s="23" t="s">
        <v>1254</v>
      </c>
      <c r="C742" t="s">
        <v>427</v>
      </c>
      <c r="D742" t="s">
        <v>43</v>
      </c>
      <c r="E742" t="s">
        <v>250</v>
      </c>
      <c r="F742" t="s">
        <v>19</v>
      </c>
      <c r="G742" t="s">
        <v>56</v>
      </c>
      <c r="H742" t="s">
        <v>21</v>
      </c>
      <c r="I742">
        <v>7</v>
      </c>
      <c r="J742" s="4">
        <v>900</v>
      </c>
      <c r="K742" s="6">
        <v>0.05</v>
      </c>
      <c r="L742" s="8">
        <v>5985</v>
      </c>
      <c r="M742" s="8">
        <v>3640</v>
      </c>
      <c r="N742" s="8">
        <v>2345</v>
      </c>
      <c r="O742" s="8">
        <f>SalesData[[#This Row],[Quantity]]*SalesData[[#This Row],[Unit Price]]*(1-SalesData[[#This Row],[Discount]])</f>
        <v>5985</v>
      </c>
      <c r="P742" s="8">
        <f>SalesData[[#This Row],[Sales_Check]]-SalesData[[#This Row],[Cost]]</f>
        <v>2345</v>
      </c>
      <c r="Q742" s="13">
        <f>IFERROR(SalesData[[#This Row],[Profit]]/SalesData[[#This Row],[Sales]],0)</f>
        <v>0.391812865497076</v>
      </c>
      <c r="R742" t="str">
        <f>TEXT(SalesData[[#This Row],[Order Date]],"mmm-yyyy")</f>
        <v>Jun-2026</v>
      </c>
      <c r="S742">
        <f>YEAR(SalesData[[#This Row],[Order Date]])</f>
        <v>2026</v>
      </c>
      <c r="T742" t="str">
        <f>IF(SalesData[[#This Row],[Profit Margin]]&gt;=30%,"High",IF(SalesData[[#This Row],[Profit Margin]]&gt;=15%,"Medium","Low"))</f>
        <v>High</v>
      </c>
    </row>
    <row r="743" spans="1:20" x14ac:dyDescent="0.35">
      <c r="A743" t="s">
        <v>1259</v>
      </c>
      <c r="B743" s="23" t="s">
        <v>1254</v>
      </c>
      <c r="C743" t="s">
        <v>723</v>
      </c>
      <c r="D743" t="s">
        <v>43</v>
      </c>
      <c r="E743" t="s">
        <v>62</v>
      </c>
      <c r="F743" t="s">
        <v>37</v>
      </c>
      <c r="G743" t="s">
        <v>97</v>
      </c>
      <c r="H743" t="s">
        <v>125</v>
      </c>
      <c r="I743">
        <v>3</v>
      </c>
      <c r="J743" s="4">
        <v>500</v>
      </c>
      <c r="K743" s="6">
        <v>0.05</v>
      </c>
      <c r="L743" s="8">
        <v>1425</v>
      </c>
      <c r="M743" s="8">
        <v>840</v>
      </c>
      <c r="N743" s="8">
        <v>585</v>
      </c>
      <c r="O743" s="8">
        <f>SalesData[[#This Row],[Quantity]]*SalesData[[#This Row],[Unit Price]]*(1-SalesData[[#This Row],[Discount]])</f>
        <v>1425</v>
      </c>
      <c r="P743" s="8">
        <f>SalesData[[#This Row],[Sales_Check]]-SalesData[[#This Row],[Cost]]</f>
        <v>585</v>
      </c>
      <c r="Q743" s="13">
        <f>IFERROR(SalesData[[#This Row],[Profit]]/SalesData[[#This Row],[Sales]],0)</f>
        <v>0.41052631578947368</v>
      </c>
      <c r="R743" t="str">
        <f>TEXT(SalesData[[#This Row],[Order Date]],"mmm-yyyy")</f>
        <v>Jun-2026</v>
      </c>
      <c r="S743">
        <f>YEAR(SalesData[[#This Row],[Order Date]])</f>
        <v>2026</v>
      </c>
      <c r="T743" t="str">
        <f>IF(SalesData[[#This Row],[Profit Margin]]&gt;=30%,"High",IF(SalesData[[#This Row],[Profit Margin]]&gt;=15%,"Medium","Low"))</f>
        <v>High</v>
      </c>
    </row>
    <row r="744" spans="1:20" x14ac:dyDescent="0.35">
      <c r="A744" t="s">
        <v>1260</v>
      </c>
      <c r="B744" s="23" t="s">
        <v>1254</v>
      </c>
      <c r="C744" t="s">
        <v>850</v>
      </c>
      <c r="D744" t="s">
        <v>54</v>
      </c>
      <c r="E744" t="s">
        <v>107</v>
      </c>
      <c r="F744" t="s">
        <v>37</v>
      </c>
      <c r="G744" t="s">
        <v>73</v>
      </c>
      <c r="H744" t="s">
        <v>125</v>
      </c>
      <c r="I744">
        <v>4</v>
      </c>
      <c r="J744" s="4">
        <v>120</v>
      </c>
      <c r="K744" s="6">
        <v>0.05</v>
      </c>
      <c r="L744" s="8">
        <v>456</v>
      </c>
      <c r="M744" s="8">
        <v>220</v>
      </c>
      <c r="N744" s="8">
        <v>236</v>
      </c>
      <c r="O744" s="8">
        <f>SalesData[[#This Row],[Quantity]]*SalesData[[#This Row],[Unit Price]]*(1-SalesData[[#This Row],[Discount]])</f>
        <v>456</v>
      </c>
      <c r="P744" s="8">
        <f>SalesData[[#This Row],[Sales_Check]]-SalesData[[#This Row],[Cost]]</f>
        <v>236</v>
      </c>
      <c r="Q744" s="13">
        <f>IFERROR(SalesData[[#This Row],[Profit]]/SalesData[[#This Row],[Sales]],0)</f>
        <v>0.51754385964912286</v>
      </c>
      <c r="R744" t="str">
        <f>TEXT(SalesData[[#This Row],[Order Date]],"mmm-yyyy")</f>
        <v>Jun-2026</v>
      </c>
      <c r="S744">
        <f>YEAR(SalesData[[#This Row],[Order Date]])</f>
        <v>2026</v>
      </c>
      <c r="T744" t="str">
        <f>IF(SalesData[[#This Row],[Profit Margin]]&gt;=30%,"High",IF(SalesData[[#This Row],[Profit Margin]]&gt;=15%,"Medium","Low"))</f>
        <v>High</v>
      </c>
    </row>
    <row r="745" spans="1:20" x14ac:dyDescent="0.35">
      <c r="A745" t="s">
        <v>1261</v>
      </c>
      <c r="B745" s="23" t="s">
        <v>1254</v>
      </c>
      <c r="C745" t="s">
        <v>973</v>
      </c>
      <c r="D745" t="s">
        <v>17</v>
      </c>
      <c r="E745" t="s">
        <v>124</v>
      </c>
      <c r="F745" t="s">
        <v>19</v>
      </c>
      <c r="G745" t="s">
        <v>215</v>
      </c>
      <c r="H745" t="s">
        <v>29</v>
      </c>
      <c r="I745">
        <v>6</v>
      </c>
      <c r="J745" s="4">
        <v>1200</v>
      </c>
      <c r="K745" s="6">
        <v>0.05</v>
      </c>
      <c r="L745" s="8">
        <v>6840</v>
      </c>
      <c r="M745" s="8">
        <v>4320</v>
      </c>
      <c r="N745" s="8">
        <v>2520</v>
      </c>
      <c r="O745" s="8">
        <f>SalesData[[#This Row],[Quantity]]*SalesData[[#This Row],[Unit Price]]*(1-SalesData[[#This Row],[Discount]])</f>
        <v>6840</v>
      </c>
      <c r="P745" s="8">
        <f>SalesData[[#This Row],[Sales_Check]]-SalesData[[#This Row],[Cost]]</f>
        <v>2520</v>
      </c>
      <c r="Q745" s="13">
        <f>IFERROR(SalesData[[#This Row],[Profit]]/SalesData[[#This Row],[Sales]],0)</f>
        <v>0.36842105263157893</v>
      </c>
      <c r="R745" t="str">
        <f>TEXT(SalesData[[#This Row],[Order Date]],"mmm-yyyy")</f>
        <v>Jun-2026</v>
      </c>
      <c r="S745">
        <f>YEAR(SalesData[[#This Row],[Order Date]])</f>
        <v>2026</v>
      </c>
      <c r="T745" t="str">
        <f>IF(SalesData[[#This Row],[Profit Margin]]&gt;=30%,"High",IF(SalesData[[#This Row],[Profit Margin]]&gt;=15%,"Medium","Low"))</f>
        <v>High</v>
      </c>
    </row>
    <row r="746" spans="1:20" x14ac:dyDescent="0.35">
      <c r="A746" t="s">
        <v>1262</v>
      </c>
      <c r="B746" s="23" t="s">
        <v>1254</v>
      </c>
      <c r="C746" t="s">
        <v>528</v>
      </c>
      <c r="D746" t="s">
        <v>25</v>
      </c>
      <c r="E746" t="s">
        <v>26</v>
      </c>
      <c r="F746" t="s">
        <v>45</v>
      </c>
      <c r="G746" t="s">
        <v>122</v>
      </c>
      <c r="H746" t="s">
        <v>39</v>
      </c>
      <c r="I746">
        <v>2</v>
      </c>
      <c r="J746" s="4">
        <v>600</v>
      </c>
      <c r="K746" s="6">
        <v>0.05</v>
      </c>
      <c r="L746" s="8">
        <v>1140</v>
      </c>
      <c r="M746" s="8">
        <v>660</v>
      </c>
      <c r="N746" s="8">
        <v>480</v>
      </c>
      <c r="O746" s="8">
        <f>SalesData[[#This Row],[Quantity]]*SalesData[[#This Row],[Unit Price]]*(1-SalesData[[#This Row],[Discount]])</f>
        <v>1140</v>
      </c>
      <c r="P746" s="8">
        <f>SalesData[[#This Row],[Sales_Check]]-SalesData[[#This Row],[Cost]]</f>
        <v>480</v>
      </c>
      <c r="Q746" s="13">
        <f>IFERROR(SalesData[[#This Row],[Profit]]/SalesData[[#This Row],[Sales]],0)</f>
        <v>0.42105263157894735</v>
      </c>
      <c r="R746" t="str">
        <f>TEXT(SalesData[[#This Row],[Order Date]],"mmm-yyyy")</f>
        <v>Jun-2026</v>
      </c>
      <c r="S746">
        <f>YEAR(SalesData[[#This Row],[Order Date]])</f>
        <v>2026</v>
      </c>
      <c r="T746" t="str">
        <f>IF(SalesData[[#This Row],[Profit Margin]]&gt;=30%,"High",IF(SalesData[[#This Row],[Profit Margin]]&gt;=15%,"Medium","Low"))</f>
        <v>High</v>
      </c>
    </row>
    <row r="747" spans="1:20" x14ac:dyDescent="0.35">
      <c r="A747" t="s">
        <v>1263</v>
      </c>
      <c r="B747" s="23" t="s">
        <v>1264</v>
      </c>
      <c r="C747" t="s">
        <v>949</v>
      </c>
      <c r="D747" t="s">
        <v>25</v>
      </c>
      <c r="E747" t="s">
        <v>89</v>
      </c>
      <c r="F747" t="s">
        <v>45</v>
      </c>
      <c r="G747" t="s">
        <v>104</v>
      </c>
      <c r="H747" t="s">
        <v>39</v>
      </c>
      <c r="I747">
        <v>6</v>
      </c>
      <c r="J747" s="4">
        <v>550</v>
      </c>
      <c r="K747" s="6">
        <v>0</v>
      </c>
      <c r="L747" s="8">
        <v>3300</v>
      </c>
      <c r="M747" s="8">
        <v>1800</v>
      </c>
      <c r="N747" s="8">
        <v>1500</v>
      </c>
      <c r="O747" s="8">
        <f>SalesData[[#This Row],[Quantity]]*SalesData[[#This Row],[Unit Price]]*(1-SalesData[[#This Row],[Discount]])</f>
        <v>3300</v>
      </c>
      <c r="P747" s="8">
        <f>SalesData[[#This Row],[Sales_Check]]-SalesData[[#This Row],[Cost]]</f>
        <v>1500</v>
      </c>
      <c r="Q747" s="13">
        <f>IFERROR(SalesData[[#This Row],[Profit]]/SalesData[[#This Row],[Sales]],0)</f>
        <v>0.45454545454545453</v>
      </c>
      <c r="R747" t="str">
        <f>TEXT(SalesData[[#This Row],[Order Date]],"mmm-yyyy")</f>
        <v>Jun-2026</v>
      </c>
      <c r="S747">
        <f>YEAR(SalesData[[#This Row],[Order Date]])</f>
        <v>2026</v>
      </c>
      <c r="T747" t="str">
        <f>IF(SalesData[[#This Row],[Profit Margin]]&gt;=30%,"High",IF(SalesData[[#This Row],[Profit Margin]]&gt;=15%,"Medium","Low"))</f>
        <v>High</v>
      </c>
    </row>
    <row r="748" spans="1:20" x14ac:dyDescent="0.35">
      <c r="A748" t="s">
        <v>1265</v>
      </c>
      <c r="B748" s="23" t="s">
        <v>1264</v>
      </c>
      <c r="C748" t="s">
        <v>254</v>
      </c>
      <c r="D748" t="s">
        <v>17</v>
      </c>
      <c r="E748" t="s">
        <v>18</v>
      </c>
      <c r="F748" t="s">
        <v>45</v>
      </c>
      <c r="G748" t="s">
        <v>122</v>
      </c>
      <c r="H748" t="s">
        <v>33</v>
      </c>
      <c r="I748">
        <v>5</v>
      </c>
      <c r="J748" s="4">
        <v>1800</v>
      </c>
      <c r="K748" s="6">
        <v>0.1</v>
      </c>
      <c r="L748" s="8">
        <v>8100</v>
      </c>
      <c r="M748" s="8">
        <v>5500</v>
      </c>
      <c r="N748" s="8">
        <v>2600</v>
      </c>
      <c r="O748" s="8">
        <f>SalesData[[#This Row],[Quantity]]*SalesData[[#This Row],[Unit Price]]*(1-SalesData[[#This Row],[Discount]])</f>
        <v>8100</v>
      </c>
      <c r="P748" s="8">
        <f>SalesData[[#This Row],[Sales_Check]]-SalesData[[#This Row],[Cost]]</f>
        <v>2600</v>
      </c>
      <c r="Q748" s="13">
        <f>IFERROR(SalesData[[#This Row],[Profit]]/SalesData[[#This Row],[Sales]],0)</f>
        <v>0.32098765432098764</v>
      </c>
      <c r="R748" t="str">
        <f>TEXT(SalesData[[#This Row],[Order Date]],"mmm-yyyy")</f>
        <v>Jun-2026</v>
      </c>
      <c r="S748">
        <f>YEAR(SalesData[[#This Row],[Order Date]])</f>
        <v>2026</v>
      </c>
      <c r="T748" t="str">
        <f>IF(SalesData[[#This Row],[Profit Margin]]&gt;=30%,"High",IF(SalesData[[#This Row],[Profit Margin]]&gt;=15%,"Medium","Low"))</f>
        <v>High</v>
      </c>
    </row>
    <row r="749" spans="1:20" x14ac:dyDescent="0.35">
      <c r="A749" t="s">
        <v>1266</v>
      </c>
      <c r="B749" s="23" t="s">
        <v>1267</v>
      </c>
      <c r="C749" t="s">
        <v>557</v>
      </c>
      <c r="D749" t="s">
        <v>43</v>
      </c>
      <c r="E749" t="s">
        <v>44</v>
      </c>
      <c r="F749" t="s">
        <v>45</v>
      </c>
      <c r="G749" t="s">
        <v>46</v>
      </c>
      <c r="H749" t="s">
        <v>21</v>
      </c>
      <c r="I749">
        <v>2</v>
      </c>
      <c r="J749" s="4">
        <v>2200</v>
      </c>
      <c r="K749" s="6">
        <v>0</v>
      </c>
      <c r="L749" s="8">
        <v>4400</v>
      </c>
      <c r="M749" s="8">
        <v>2900</v>
      </c>
      <c r="N749" s="8">
        <v>1500</v>
      </c>
      <c r="O749" s="8">
        <f>SalesData[[#This Row],[Quantity]]*SalesData[[#This Row],[Unit Price]]*(1-SalesData[[#This Row],[Discount]])</f>
        <v>4400</v>
      </c>
      <c r="P749" s="8">
        <f>SalesData[[#This Row],[Sales_Check]]-SalesData[[#This Row],[Cost]]</f>
        <v>1500</v>
      </c>
      <c r="Q749" s="13">
        <f>IFERROR(SalesData[[#This Row],[Profit]]/SalesData[[#This Row],[Sales]],0)</f>
        <v>0.34090909090909088</v>
      </c>
      <c r="R749" t="str">
        <f>TEXT(SalesData[[#This Row],[Order Date]],"mmm-yyyy")</f>
        <v>Jun-2026</v>
      </c>
      <c r="S749">
        <f>YEAR(SalesData[[#This Row],[Order Date]])</f>
        <v>2026</v>
      </c>
      <c r="T749" t="str">
        <f>IF(SalesData[[#This Row],[Profit Margin]]&gt;=30%,"High",IF(SalesData[[#This Row],[Profit Margin]]&gt;=15%,"Medium","Low"))</f>
        <v>High</v>
      </c>
    </row>
    <row r="750" spans="1:20" x14ac:dyDescent="0.35">
      <c r="A750" t="s">
        <v>1268</v>
      </c>
      <c r="B750" s="23" t="s">
        <v>1267</v>
      </c>
      <c r="C750" t="s">
        <v>441</v>
      </c>
      <c r="D750" t="s">
        <v>54</v>
      </c>
      <c r="E750" t="s">
        <v>110</v>
      </c>
      <c r="F750" t="s">
        <v>37</v>
      </c>
      <c r="G750" t="s">
        <v>140</v>
      </c>
      <c r="H750" t="s">
        <v>21</v>
      </c>
      <c r="I750">
        <v>1</v>
      </c>
      <c r="J750" s="4">
        <v>280</v>
      </c>
      <c r="K750" s="6">
        <v>0</v>
      </c>
      <c r="L750" s="8">
        <v>280</v>
      </c>
      <c r="M750" s="8">
        <v>150</v>
      </c>
      <c r="N750" s="8">
        <v>130</v>
      </c>
      <c r="O750" s="8">
        <f>SalesData[[#This Row],[Quantity]]*SalesData[[#This Row],[Unit Price]]*(1-SalesData[[#This Row],[Discount]])</f>
        <v>280</v>
      </c>
      <c r="P750" s="8">
        <f>SalesData[[#This Row],[Sales_Check]]-SalesData[[#This Row],[Cost]]</f>
        <v>130</v>
      </c>
      <c r="Q750" s="13">
        <f>IFERROR(SalesData[[#This Row],[Profit]]/SalesData[[#This Row],[Sales]],0)</f>
        <v>0.4642857142857143</v>
      </c>
      <c r="R750" t="str">
        <f>TEXT(SalesData[[#This Row],[Order Date]],"mmm-yyyy")</f>
        <v>Jun-2026</v>
      </c>
      <c r="S750">
        <f>YEAR(SalesData[[#This Row],[Order Date]])</f>
        <v>2026</v>
      </c>
      <c r="T750" t="str">
        <f>IF(SalesData[[#This Row],[Profit Margin]]&gt;=30%,"High",IF(SalesData[[#This Row],[Profit Margin]]&gt;=15%,"Medium","Low"))</f>
        <v>High</v>
      </c>
    </row>
    <row r="751" spans="1:20" x14ac:dyDescent="0.35">
      <c r="A751" t="s">
        <v>1269</v>
      </c>
      <c r="B751" s="23" t="s">
        <v>1267</v>
      </c>
      <c r="C751" t="s">
        <v>211</v>
      </c>
      <c r="D751" t="s">
        <v>43</v>
      </c>
      <c r="E751" t="s">
        <v>250</v>
      </c>
      <c r="F751" t="s">
        <v>27</v>
      </c>
      <c r="G751" t="s">
        <v>90</v>
      </c>
      <c r="H751" t="s">
        <v>29</v>
      </c>
      <c r="I751">
        <v>3</v>
      </c>
      <c r="J751" s="4">
        <v>900</v>
      </c>
      <c r="K751" s="6">
        <v>0</v>
      </c>
      <c r="L751" s="8">
        <v>2700</v>
      </c>
      <c r="M751" s="8">
        <v>1560</v>
      </c>
      <c r="N751" s="8">
        <v>1140</v>
      </c>
      <c r="O751" s="8">
        <f>SalesData[[#This Row],[Quantity]]*SalesData[[#This Row],[Unit Price]]*(1-SalesData[[#This Row],[Discount]])</f>
        <v>2700</v>
      </c>
      <c r="P751" s="8">
        <f>SalesData[[#This Row],[Sales_Check]]-SalesData[[#This Row],[Cost]]</f>
        <v>1140</v>
      </c>
      <c r="Q751" s="13">
        <f>IFERROR(SalesData[[#This Row],[Profit]]/SalesData[[#This Row],[Sales]],0)</f>
        <v>0.42222222222222222</v>
      </c>
      <c r="R751" t="str">
        <f>TEXT(SalesData[[#This Row],[Order Date]],"mmm-yyyy")</f>
        <v>Jun-2026</v>
      </c>
      <c r="S751">
        <f>YEAR(SalesData[[#This Row],[Order Date]])</f>
        <v>2026</v>
      </c>
      <c r="T751" t="str">
        <f>IF(SalesData[[#This Row],[Profit Margin]]&gt;=30%,"High",IF(SalesData[[#This Row],[Profit Margin]]&gt;=15%,"Medium","Low"))</f>
        <v>High</v>
      </c>
    </row>
    <row r="752" spans="1:20" x14ac:dyDescent="0.35">
      <c r="A752" t="s">
        <v>1270</v>
      </c>
      <c r="B752" s="23" t="s">
        <v>1267</v>
      </c>
      <c r="C752" t="s">
        <v>318</v>
      </c>
      <c r="D752" t="s">
        <v>54</v>
      </c>
      <c r="E752" t="s">
        <v>110</v>
      </c>
      <c r="F752" t="s">
        <v>45</v>
      </c>
      <c r="G752" t="s">
        <v>122</v>
      </c>
      <c r="H752" t="s">
        <v>33</v>
      </c>
      <c r="I752">
        <v>7</v>
      </c>
      <c r="J752" s="4">
        <v>280</v>
      </c>
      <c r="K752" s="6">
        <v>0.05</v>
      </c>
      <c r="L752" s="8">
        <v>1862</v>
      </c>
      <c r="M752" s="8">
        <v>1050</v>
      </c>
      <c r="N752" s="8">
        <v>812</v>
      </c>
      <c r="O752" s="8">
        <f>SalesData[[#This Row],[Quantity]]*SalesData[[#This Row],[Unit Price]]*(1-SalesData[[#This Row],[Discount]])</f>
        <v>1862</v>
      </c>
      <c r="P752" s="8">
        <f>SalesData[[#This Row],[Sales_Check]]-SalesData[[#This Row],[Cost]]</f>
        <v>812</v>
      </c>
      <c r="Q752" s="13">
        <f>IFERROR(SalesData[[#This Row],[Profit]]/SalesData[[#This Row],[Sales]],0)</f>
        <v>0.43609022556390975</v>
      </c>
      <c r="R752" t="str">
        <f>TEXT(SalesData[[#This Row],[Order Date]],"mmm-yyyy")</f>
        <v>Jun-2026</v>
      </c>
      <c r="S752">
        <f>YEAR(SalesData[[#This Row],[Order Date]])</f>
        <v>2026</v>
      </c>
      <c r="T752" t="str">
        <f>IF(SalesData[[#This Row],[Profit Margin]]&gt;=30%,"High",IF(SalesData[[#This Row],[Profit Margin]]&gt;=15%,"Medium","Low"))</f>
        <v>High</v>
      </c>
    </row>
    <row r="753" spans="1:20" x14ac:dyDescent="0.35">
      <c r="A753" t="s">
        <v>1271</v>
      </c>
      <c r="B753" s="23" t="s">
        <v>1267</v>
      </c>
      <c r="C753" t="s">
        <v>171</v>
      </c>
      <c r="D753" t="s">
        <v>17</v>
      </c>
      <c r="E753" t="s">
        <v>50</v>
      </c>
      <c r="F753" t="s">
        <v>19</v>
      </c>
      <c r="G753" t="s">
        <v>56</v>
      </c>
      <c r="H753" t="s">
        <v>39</v>
      </c>
      <c r="I753">
        <v>9</v>
      </c>
      <c r="J753" s="4">
        <v>650</v>
      </c>
      <c r="K753" s="6">
        <v>0</v>
      </c>
      <c r="L753" s="8">
        <v>5850</v>
      </c>
      <c r="M753" s="8">
        <v>3420</v>
      </c>
      <c r="N753" s="8">
        <v>2430</v>
      </c>
      <c r="O753" s="8">
        <f>SalesData[[#This Row],[Quantity]]*SalesData[[#This Row],[Unit Price]]*(1-SalesData[[#This Row],[Discount]])</f>
        <v>5850</v>
      </c>
      <c r="P753" s="8">
        <f>SalesData[[#This Row],[Sales_Check]]-SalesData[[#This Row],[Cost]]</f>
        <v>2430</v>
      </c>
      <c r="Q753" s="13">
        <f>IFERROR(SalesData[[#This Row],[Profit]]/SalesData[[#This Row],[Sales]],0)</f>
        <v>0.41538461538461541</v>
      </c>
      <c r="R753" t="str">
        <f>TEXT(SalesData[[#This Row],[Order Date]],"mmm-yyyy")</f>
        <v>Jun-2026</v>
      </c>
      <c r="S753">
        <f>YEAR(SalesData[[#This Row],[Order Date]])</f>
        <v>2026</v>
      </c>
      <c r="T753" t="str">
        <f>IF(SalesData[[#This Row],[Profit Margin]]&gt;=30%,"High",IF(SalesData[[#This Row],[Profit Margin]]&gt;=15%,"Medium","Low"))</f>
        <v>High</v>
      </c>
    </row>
    <row r="754" spans="1:20" x14ac:dyDescent="0.35">
      <c r="A754" t="s">
        <v>1272</v>
      </c>
      <c r="B754" s="23" t="s">
        <v>1273</v>
      </c>
      <c r="C754" t="s">
        <v>309</v>
      </c>
      <c r="D754" t="s">
        <v>43</v>
      </c>
      <c r="E754" t="s">
        <v>250</v>
      </c>
      <c r="F754" t="s">
        <v>37</v>
      </c>
      <c r="G754" t="s">
        <v>97</v>
      </c>
      <c r="H754" t="s">
        <v>125</v>
      </c>
      <c r="I754">
        <v>10</v>
      </c>
      <c r="J754" s="4">
        <v>900</v>
      </c>
      <c r="K754" s="6">
        <v>0.15</v>
      </c>
      <c r="L754" s="8">
        <v>7650</v>
      </c>
      <c r="M754" s="8">
        <v>5200</v>
      </c>
      <c r="N754" s="8">
        <v>2450</v>
      </c>
      <c r="O754" s="8">
        <f>SalesData[[#This Row],[Quantity]]*SalesData[[#This Row],[Unit Price]]*(1-SalesData[[#This Row],[Discount]])</f>
        <v>7650</v>
      </c>
      <c r="P754" s="8">
        <f>SalesData[[#This Row],[Sales_Check]]-SalesData[[#This Row],[Cost]]</f>
        <v>2450</v>
      </c>
      <c r="Q754" s="13">
        <f>IFERROR(SalesData[[#This Row],[Profit]]/SalesData[[#This Row],[Sales]],0)</f>
        <v>0.3202614379084967</v>
      </c>
      <c r="R754" t="str">
        <f>TEXT(SalesData[[#This Row],[Order Date]],"mmm-yyyy")</f>
        <v>Jun-2026</v>
      </c>
      <c r="S754">
        <f>YEAR(SalesData[[#This Row],[Order Date]])</f>
        <v>2026</v>
      </c>
      <c r="T754" t="str">
        <f>IF(SalesData[[#This Row],[Profit Margin]]&gt;=30%,"High",IF(SalesData[[#This Row],[Profit Margin]]&gt;=15%,"Medium","Low"))</f>
        <v>High</v>
      </c>
    </row>
    <row r="755" spans="1:20" x14ac:dyDescent="0.35">
      <c r="A755" t="s">
        <v>1274</v>
      </c>
      <c r="B755" s="23" t="s">
        <v>1273</v>
      </c>
      <c r="C755" t="s">
        <v>455</v>
      </c>
      <c r="D755" t="s">
        <v>17</v>
      </c>
      <c r="E755" t="s">
        <v>124</v>
      </c>
      <c r="F755" t="s">
        <v>19</v>
      </c>
      <c r="G755" t="s">
        <v>215</v>
      </c>
      <c r="H755" t="s">
        <v>125</v>
      </c>
      <c r="I755">
        <v>4</v>
      </c>
      <c r="J755" s="4">
        <v>1200</v>
      </c>
      <c r="K755" s="6">
        <v>0</v>
      </c>
      <c r="L755" s="8">
        <v>4800</v>
      </c>
      <c r="M755" s="8">
        <v>2880</v>
      </c>
      <c r="N755" s="8">
        <v>1920</v>
      </c>
      <c r="O755" s="8">
        <f>SalesData[[#This Row],[Quantity]]*SalesData[[#This Row],[Unit Price]]*(1-SalesData[[#This Row],[Discount]])</f>
        <v>4800</v>
      </c>
      <c r="P755" s="8">
        <f>SalesData[[#This Row],[Sales_Check]]-SalesData[[#This Row],[Cost]]</f>
        <v>1920</v>
      </c>
      <c r="Q755" s="13">
        <f>IFERROR(SalesData[[#This Row],[Profit]]/SalesData[[#This Row],[Sales]],0)</f>
        <v>0.4</v>
      </c>
      <c r="R755" t="str">
        <f>TEXT(SalesData[[#This Row],[Order Date]],"mmm-yyyy")</f>
        <v>Jun-2026</v>
      </c>
      <c r="S755">
        <f>YEAR(SalesData[[#This Row],[Order Date]])</f>
        <v>2026</v>
      </c>
      <c r="T755" t="str">
        <f>IF(SalesData[[#This Row],[Profit Margin]]&gt;=30%,"High",IF(SalesData[[#This Row],[Profit Margin]]&gt;=15%,"Medium","Low"))</f>
        <v>High</v>
      </c>
    </row>
    <row r="756" spans="1:20" x14ac:dyDescent="0.35">
      <c r="A756" t="s">
        <v>1275</v>
      </c>
      <c r="B756" s="23" t="s">
        <v>1273</v>
      </c>
      <c r="C756" t="s">
        <v>446</v>
      </c>
      <c r="D756" t="s">
        <v>17</v>
      </c>
      <c r="E756" t="s">
        <v>32</v>
      </c>
      <c r="F756" t="s">
        <v>37</v>
      </c>
      <c r="G756" t="s">
        <v>38</v>
      </c>
      <c r="H756" t="s">
        <v>47</v>
      </c>
      <c r="I756">
        <v>7</v>
      </c>
      <c r="J756" s="4">
        <v>1500</v>
      </c>
      <c r="K756" s="6">
        <v>0</v>
      </c>
      <c r="L756" s="8">
        <v>10500</v>
      </c>
      <c r="M756" s="8">
        <v>6300</v>
      </c>
      <c r="N756" s="8">
        <v>4200</v>
      </c>
      <c r="O756" s="8">
        <f>SalesData[[#This Row],[Quantity]]*SalesData[[#This Row],[Unit Price]]*(1-SalesData[[#This Row],[Discount]])</f>
        <v>10500</v>
      </c>
      <c r="P756" s="8">
        <f>SalesData[[#This Row],[Sales_Check]]-SalesData[[#This Row],[Cost]]</f>
        <v>4200</v>
      </c>
      <c r="Q756" s="13">
        <f>IFERROR(SalesData[[#This Row],[Profit]]/SalesData[[#This Row],[Sales]],0)</f>
        <v>0.4</v>
      </c>
      <c r="R756" t="str">
        <f>TEXT(SalesData[[#This Row],[Order Date]],"mmm-yyyy")</f>
        <v>Jun-2026</v>
      </c>
      <c r="S756">
        <f>YEAR(SalesData[[#This Row],[Order Date]])</f>
        <v>2026</v>
      </c>
      <c r="T756" t="str">
        <f>IF(SalesData[[#This Row],[Profit Margin]]&gt;=30%,"High",IF(SalesData[[#This Row],[Profit Margin]]&gt;=15%,"Medium","Low"))</f>
        <v>High</v>
      </c>
    </row>
    <row r="757" spans="1:20" x14ac:dyDescent="0.35">
      <c r="A757" t="s">
        <v>1276</v>
      </c>
      <c r="B757" s="23" t="s">
        <v>1277</v>
      </c>
      <c r="C757" t="s">
        <v>825</v>
      </c>
      <c r="D757" t="s">
        <v>54</v>
      </c>
      <c r="E757" t="s">
        <v>116</v>
      </c>
      <c r="F757" t="s">
        <v>45</v>
      </c>
      <c r="G757" t="s">
        <v>46</v>
      </c>
      <c r="H757" t="s">
        <v>125</v>
      </c>
      <c r="I757">
        <v>2</v>
      </c>
      <c r="J757" s="4">
        <v>450</v>
      </c>
      <c r="K757" s="6">
        <v>0.1</v>
      </c>
      <c r="L757" s="8">
        <v>810</v>
      </c>
      <c r="M757" s="8">
        <v>500</v>
      </c>
      <c r="N757" s="8">
        <v>310</v>
      </c>
      <c r="O757" s="8">
        <f>SalesData[[#This Row],[Quantity]]*SalesData[[#This Row],[Unit Price]]*(1-SalesData[[#This Row],[Discount]])</f>
        <v>810</v>
      </c>
      <c r="P757" s="8">
        <f>SalesData[[#This Row],[Sales_Check]]-SalesData[[#This Row],[Cost]]</f>
        <v>310</v>
      </c>
      <c r="Q757" s="13">
        <f>IFERROR(SalesData[[#This Row],[Profit]]/SalesData[[#This Row],[Sales]],0)</f>
        <v>0.38271604938271603</v>
      </c>
      <c r="R757" t="str">
        <f>TEXT(SalesData[[#This Row],[Order Date]],"mmm-yyyy")</f>
        <v>Jun-2026</v>
      </c>
      <c r="S757">
        <f>YEAR(SalesData[[#This Row],[Order Date]])</f>
        <v>2026</v>
      </c>
      <c r="T757" t="str">
        <f>IF(SalesData[[#This Row],[Profit Margin]]&gt;=30%,"High",IF(SalesData[[#This Row],[Profit Margin]]&gt;=15%,"Medium","Low"))</f>
        <v>High</v>
      </c>
    </row>
    <row r="758" spans="1:20" x14ac:dyDescent="0.35">
      <c r="A758" t="s">
        <v>1278</v>
      </c>
      <c r="B758" s="23" t="s">
        <v>1277</v>
      </c>
      <c r="C758" t="s">
        <v>711</v>
      </c>
      <c r="D758" t="s">
        <v>17</v>
      </c>
      <c r="E758" t="s">
        <v>124</v>
      </c>
      <c r="F758" t="s">
        <v>45</v>
      </c>
      <c r="G758" t="s">
        <v>70</v>
      </c>
      <c r="H758" t="s">
        <v>29</v>
      </c>
      <c r="I758">
        <v>9</v>
      </c>
      <c r="J758" s="4">
        <v>1200</v>
      </c>
      <c r="K758" s="6">
        <v>0</v>
      </c>
      <c r="L758" s="8">
        <v>10800</v>
      </c>
      <c r="M758" s="8">
        <v>6480</v>
      </c>
      <c r="N758" s="8">
        <v>4320</v>
      </c>
      <c r="O758" s="8">
        <f>SalesData[[#This Row],[Quantity]]*SalesData[[#This Row],[Unit Price]]*(1-SalesData[[#This Row],[Discount]])</f>
        <v>10800</v>
      </c>
      <c r="P758" s="8">
        <f>SalesData[[#This Row],[Sales_Check]]-SalesData[[#This Row],[Cost]]</f>
        <v>4320</v>
      </c>
      <c r="Q758" s="13">
        <f>IFERROR(SalesData[[#This Row],[Profit]]/SalesData[[#This Row],[Sales]],0)</f>
        <v>0.4</v>
      </c>
      <c r="R758" t="str">
        <f>TEXT(SalesData[[#This Row],[Order Date]],"mmm-yyyy")</f>
        <v>Jun-2026</v>
      </c>
      <c r="S758">
        <f>YEAR(SalesData[[#This Row],[Order Date]])</f>
        <v>2026</v>
      </c>
      <c r="T758" t="str">
        <f>IF(SalesData[[#This Row],[Profit Margin]]&gt;=30%,"High",IF(SalesData[[#This Row],[Profit Margin]]&gt;=15%,"Medium","Low"))</f>
        <v>High</v>
      </c>
    </row>
    <row r="759" spans="1:20" x14ac:dyDescent="0.35">
      <c r="A759" t="s">
        <v>1279</v>
      </c>
      <c r="B759" s="23" t="s">
        <v>1277</v>
      </c>
      <c r="C759" t="s">
        <v>232</v>
      </c>
      <c r="D759" t="s">
        <v>25</v>
      </c>
      <c r="E759" t="s">
        <v>36</v>
      </c>
      <c r="F759" t="s">
        <v>37</v>
      </c>
      <c r="G759" t="s">
        <v>38</v>
      </c>
      <c r="H759" t="s">
        <v>33</v>
      </c>
      <c r="I759">
        <v>1</v>
      </c>
      <c r="J759" s="4">
        <v>700</v>
      </c>
      <c r="K759" s="6">
        <v>0</v>
      </c>
      <c r="L759" s="8">
        <v>700</v>
      </c>
      <c r="M759" s="8">
        <v>400</v>
      </c>
      <c r="N759" s="8">
        <v>300</v>
      </c>
      <c r="O759" s="8">
        <f>SalesData[[#This Row],[Quantity]]*SalesData[[#This Row],[Unit Price]]*(1-SalesData[[#This Row],[Discount]])</f>
        <v>700</v>
      </c>
      <c r="P759" s="8">
        <f>SalesData[[#This Row],[Sales_Check]]-SalesData[[#This Row],[Cost]]</f>
        <v>300</v>
      </c>
      <c r="Q759" s="13">
        <f>IFERROR(SalesData[[#This Row],[Profit]]/SalesData[[#This Row],[Sales]],0)</f>
        <v>0.42857142857142855</v>
      </c>
      <c r="R759" t="str">
        <f>TEXT(SalesData[[#This Row],[Order Date]],"mmm-yyyy")</f>
        <v>Jun-2026</v>
      </c>
      <c r="S759">
        <f>YEAR(SalesData[[#This Row],[Order Date]])</f>
        <v>2026</v>
      </c>
      <c r="T759" t="str">
        <f>IF(SalesData[[#This Row],[Profit Margin]]&gt;=30%,"High",IF(SalesData[[#This Row],[Profit Margin]]&gt;=15%,"Medium","Low"))</f>
        <v>High</v>
      </c>
    </row>
    <row r="760" spans="1:20" x14ac:dyDescent="0.35">
      <c r="A760" t="s">
        <v>1280</v>
      </c>
      <c r="B760" s="23" t="s">
        <v>1281</v>
      </c>
      <c r="C760" t="s">
        <v>119</v>
      </c>
      <c r="D760" t="s">
        <v>54</v>
      </c>
      <c r="E760" t="s">
        <v>103</v>
      </c>
      <c r="F760" t="s">
        <v>37</v>
      </c>
      <c r="G760" t="s">
        <v>140</v>
      </c>
      <c r="H760" t="s">
        <v>33</v>
      </c>
      <c r="I760">
        <v>4</v>
      </c>
      <c r="J760" s="4">
        <v>150</v>
      </c>
      <c r="K760" s="6">
        <v>0.05</v>
      </c>
      <c r="L760" s="8">
        <v>570</v>
      </c>
      <c r="M760" s="8">
        <v>300</v>
      </c>
      <c r="N760" s="8">
        <v>270</v>
      </c>
      <c r="O760" s="8">
        <f>SalesData[[#This Row],[Quantity]]*SalesData[[#This Row],[Unit Price]]*(1-SalesData[[#This Row],[Discount]])</f>
        <v>570</v>
      </c>
      <c r="P760" s="8">
        <f>SalesData[[#This Row],[Sales_Check]]-SalesData[[#This Row],[Cost]]</f>
        <v>270</v>
      </c>
      <c r="Q760" s="13">
        <f>IFERROR(SalesData[[#This Row],[Profit]]/SalesData[[#This Row],[Sales]],0)</f>
        <v>0.47368421052631576</v>
      </c>
      <c r="R760" t="str">
        <f>TEXT(SalesData[[#This Row],[Order Date]],"mmm-yyyy")</f>
        <v>Jun-2026</v>
      </c>
      <c r="S760">
        <f>YEAR(SalesData[[#This Row],[Order Date]])</f>
        <v>2026</v>
      </c>
      <c r="T760" t="str">
        <f>IF(SalesData[[#This Row],[Profit Margin]]&gt;=30%,"High",IF(SalesData[[#This Row],[Profit Margin]]&gt;=15%,"Medium","Low"))</f>
        <v>High</v>
      </c>
    </row>
    <row r="761" spans="1:20" x14ac:dyDescent="0.35">
      <c r="A761" t="s">
        <v>1282</v>
      </c>
      <c r="B761" s="23" t="s">
        <v>1283</v>
      </c>
      <c r="C761" t="s">
        <v>182</v>
      </c>
      <c r="D761" t="s">
        <v>17</v>
      </c>
      <c r="E761" t="s">
        <v>18</v>
      </c>
      <c r="F761" t="s">
        <v>19</v>
      </c>
      <c r="G761" t="s">
        <v>113</v>
      </c>
      <c r="H761" t="s">
        <v>125</v>
      </c>
      <c r="I761">
        <v>7</v>
      </c>
      <c r="J761" s="4">
        <v>1800</v>
      </c>
      <c r="K761" s="6">
        <v>0.05</v>
      </c>
      <c r="L761" s="8">
        <v>11970</v>
      </c>
      <c r="M761" s="8">
        <v>7700</v>
      </c>
      <c r="N761" s="8">
        <v>4270</v>
      </c>
      <c r="O761" s="8">
        <f>SalesData[[#This Row],[Quantity]]*SalesData[[#This Row],[Unit Price]]*(1-SalesData[[#This Row],[Discount]])</f>
        <v>11970</v>
      </c>
      <c r="P761" s="8">
        <f>SalesData[[#This Row],[Sales_Check]]-SalesData[[#This Row],[Cost]]</f>
        <v>4270</v>
      </c>
      <c r="Q761" s="13">
        <f>IFERROR(SalesData[[#This Row],[Profit]]/SalesData[[#This Row],[Sales]],0)</f>
        <v>0.35672514619883039</v>
      </c>
      <c r="R761" t="str">
        <f>TEXT(SalesData[[#This Row],[Order Date]],"mmm-yyyy")</f>
        <v>Jun-2026</v>
      </c>
      <c r="S761">
        <f>YEAR(SalesData[[#This Row],[Order Date]])</f>
        <v>2026</v>
      </c>
      <c r="T761" t="str">
        <f>IF(SalesData[[#This Row],[Profit Margin]]&gt;=30%,"High",IF(SalesData[[#This Row],[Profit Margin]]&gt;=15%,"Medium","Low"))</f>
        <v>High</v>
      </c>
    </row>
    <row r="762" spans="1:20" x14ac:dyDescent="0.35">
      <c r="A762" t="s">
        <v>1284</v>
      </c>
      <c r="B762" s="23" t="s">
        <v>1283</v>
      </c>
      <c r="C762" t="s">
        <v>569</v>
      </c>
      <c r="D762" t="s">
        <v>25</v>
      </c>
      <c r="E762" t="s">
        <v>80</v>
      </c>
      <c r="F762" t="s">
        <v>45</v>
      </c>
      <c r="G762" t="s">
        <v>104</v>
      </c>
      <c r="H762" t="s">
        <v>39</v>
      </c>
      <c r="I762">
        <v>4</v>
      </c>
      <c r="J762" s="4">
        <v>950</v>
      </c>
      <c r="K762" s="6">
        <v>0</v>
      </c>
      <c r="L762" s="8">
        <v>3800</v>
      </c>
      <c r="M762" s="8">
        <v>2240</v>
      </c>
      <c r="N762" s="8">
        <v>1560</v>
      </c>
      <c r="O762" s="8">
        <f>SalesData[[#This Row],[Quantity]]*SalesData[[#This Row],[Unit Price]]*(1-SalesData[[#This Row],[Discount]])</f>
        <v>3800</v>
      </c>
      <c r="P762" s="8">
        <f>SalesData[[#This Row],[Sales_Check]]-SalesData[[#This Row],[Cost]]</f>
        <v>1560</v>
      </c>
      <c r="Q762" s="13">
        <f>IFERROR(SalesData[[#This Row],[Profit]]/SalesData[[#This Row],[Sales]],0)</f>
        <v>0.41052631578947368</v>
      </c>
      <c r="R762" t="str">
        <f>TEXT(SalesData[[#This Row],[Order Date]],"mmm-yyyy")</f>
        <v>Jun-2026</v>
      </c>
      <c r="S762">
        <f>YEAR(SalesData[[#This Row],[Order Date]])</f>
        <v>2026</v>
      </c>
      <c r="T762" t="str">
        <f>IF(SalesData[[#This Row],[Profit Margin]]&gt;=30%,"High",IF(SalesData[[#This Row],[Profit Margin]]&gt;=15%,"Medium","Low"))</f>
        <v>High</v>
      </c>
    </row>
    <row r="763" spans="1:20" x14ac:dyDescent="0.35">
      <c r="A763" t="s">
        <v>1285</v>
      </c>
      <c r="B763" s="23" t="s">
        <v>1286</v>
      </c>
      <c r="C763" t="s">
        <v>390</v>
      </c>
      <c r="D763" t="s">
        <v>25</v>
      </c>
      <c r="E763" t="s">
        <v>69</v>
      </c>
      <c r="F763" t="s">
        <v>27</v>
      </c>
      <c r="G763" t="s">
        <v>90</v>
      </c>
      <c r="H763" t="s">
        <v>47</v>
      </c>
      <c r="I763">
        <v>1</v>
      </c>
      <c r="J763" s="4">
        <v>350</v>
      </c>
      <c r="K763" s="6">
        <v>0</v>
      </c>
      <c r="L763" s="8">
        <v>350</v>
      </c>
      <c r="M763" s="8">
        <v>180</v>
      </c>
      <c r="N763" s="8">
        <v>170</v>
      </c>
      <c r="O763" s="8">
        <f>SalesData[[#This Row],[Quantity]]*SalesData[[#This Row],[Unit Price]]*(1-SalesData[[#This Row],[Discount]])</f>
        <v>350</v>
      </c>
      <c r="P763" s="8">
        <f>SalesData[[#This Row],[Sales_Check]]-SalesData[[#This Row],[Cost]]</f>
        <v>170</v>
      </c>
      <c r="Q763" s="13">
        <f>IFERROR(SalesData[[#This Row],[Profit]]/SalesData[[#This Row],[Sales]],0)</f>
        <v>0.48571428571428571</v>
      </c>
      <c r="R763" t="str">
        <f>TEXT(SalesData[[#This Row],[Order Date]],"mmm-yyyy")</f>
        <v>Jun-2026</v>
      </c>
      <c r="S763">
        <f>YEAR(SalesData[[#This Row],[Order Date]])</f>
        <v>2026</v>
      </c>
      <c r="T763" t="str">
        <f>IF(SalesData[[#This Row],[Profit Margin]]&gt;=30%,"High",IF(SalesData[[#This Row],[Profit Margin]]&gt;=15%,"Medium","Low"))</f>
        <v>High</v>
      </c>
    </row>
    <row r="764" spans="1:20" x14ac:dyDescent="0.35">
      <c r="A764" t="s">
        <v>1287</v>
      </c>
      <c r="B764" s="23" t="s">
        <v>1286</v>
      </c>
      <c r="C764" t="s">
        <v>1122</v>
      </c>
      <c r="D764" t="s">
        <v>25</v>
      </c>
      <c r="E764" t="s">
        <v>36</v>
      </c>
      <c r="F764" t="s">
        <v>19</v>
      </c>
      <c r="G764" t="s">
        <v>215</v>
      </c>
      <c r="H764" t="s">
        <v>39</v>
      </c>
      <c r="I764">
        <v>3</v>
      </c>
      <c r="J764" s="4">
        <v>700</v>
      </c>
      <c r="K764" s="6">
        <v>0.05</v>
      </c>
      <c r="L764" s="8">
        <v>1995</v>
      </c>
      <c r="M764" s="8">
        <v>1200</v>
      </c>
      <c r="N764" s="8">
        <v>795</v>
      </c>
      <c r="O764" s="8">
        <f>SalesData[[#This Row],[Quantity]]*SalesData[[#This Row],[Unit Price]]*(1-SalesData[[#This Row],[Discount]])</f>
        <v>1995</v>
      </c>
      <c r="P764" s="8">
        <f>SalesData[[#This Row],[Sales_Check]]-SalesData[[#This Row],[Cost]]</f>
        <v>795</v>
      </c>
      <c r="Q764" s="13">
        <f>IFERROR(SalesData[[#This Row],[Profit]]/SalesData[[#This Row],[Sales]],0)</f>
        <v>0.39849624060150374</v>
      </c>
      <c r="R764" t="str">
        <f>TEXT(SalesData[[#This Row],[Order Date]],"mmm-yyyy")</f>
        <v>Jun-2026</v>
      </c>
      <c r="S764">
        <f>YEAR(SalesData[[#This Row],[Order Date]])</f>
        <v>2026</v>
      </c>
      <c r="T764" t="str">
        <f>IF(SalesData[[#This Row],[Profit Margin]]&gt;=30%,"High",IF(SalesData[[#This Row],[Profit Margin]]&gt;=15%,"Medium","Low"))</f>
        <v>High</v>
      </c>
    </row>
    <row r="765" spans="1:20" x14ac:dyDescent="0.35">
      <c r="A765" t="s">
        <v>1288</v>
      </c>
      <c r="B765" s="23" t="s">
        <v>1286</v>
      </c>
      <c r="C765" t="s">
        <v>161</v>
      </c>
      <c r="D765" t="s">
        <v>17</v>
      </c>
      <c r="E765" t="s">
        <v>32</v>
      </c>
      <c r="F765" t="s">
        <v>45</v>
      </c>
      <c r="G765" t="s">
        <v>70</v>
      </c>
      <c r="H765" t="s">
        <v>29</v>
      </c>
      <c r="I765">
        <v>5</v>
      </c>
      <c r="J765" s="4">
        <v>1500</v>
      </c>
      <c r="K765" s="6">
        <v>0.1</v>
      </c>
      <c r="L765" s="8">
        <v>6750</v>
      </c>
      <c r="M765" s="8">
        <v>4500</v>
      </c>
      <c r="N765" s="8">
        <v>2250</v>
      </c>
      <c r="O765" s="8">
        <f>SalesData[[#This Row],[Quantity]]*SalesData[[#This Row],[Unit Price]]*(1-SalesData[[#This Row],[Discount]])</f>
        <v>6750</v>
      </c>
      <c r="P765" s="8">
        <f>SalesData[[#This Row],[Sales_Check]]-SalesData[[#This Row],[Cost]]</f>
        <v>2250</v>
      </c>
      <c r="Q765" s="13">
        <f>IFERROR(SalesData[[#This Row],[Profit]]/SalesData[[#This Row],[Sales]],0)</f>
        <v>0.33333333333333331</v>
      </c>
      <c r="R765" t="str">
        <f>TEXT(SalesData[[#This Row],[Order Date]],"mmm-yyyy")</f>
        <v>Jun-2026</v>
      </c>
      <c r="S765">
        <f>YEAR(SalesData[[#This Row],[Order Date]])</f>
        <v>2026</v>
      </c>
      <c r="T765" t="str">
        <f>IF(SalesData[[#This Row],[Profit Margin]]&gt;=30%,"High",IF(SalesData[[#This Row],[Profit Margin]]&gt;=15%,"Medium","Low"))</f>
        <v>High</v>
      </c>
    </row>
    <row r="766" spans="1:20" x14ac:dyDescent="0.35">
      <c r="A766" t="s">
        <v>1289</v>
      </c>
      <c r="B766" s="23" t="s">
        <v>1290</v>
      </c>
      <c r="C766" t="s">
        <v>248</v>
      </c>
      <c r="D766" t="s">
        <v>17</v>
      </c>
      <c r="E766" t="s">
        <v>50</v>
      </c>
      <c r="F766" t="s">
        <v>19</v>
      </c>
      <c r="G766" t="s">
        <v>20</v>
      </c>
      <c r="H766" t="s">
        <v>47</v>
      </c>
      <c r="I766">
        <v>1</v>
      </c>
      <c r="J766" s="4">
        <v>650</v>
      </c>
      <c r="K766" s="6">
        <v>0</v>
      </c>
      <c r="L766" s="8">
        <v>650</v>
      </c>
      <c r="M766" s="8">
        <v>380</v>
      </c>
      <c r="N766" s="8">
        <v>270</v>
      </c>
      <c r="O766" s="8">
        <f>SalesData[[#This Row],[Quantity]]*SalesData[[#This Row],[Unit Price]]*(1-SalesData[[#This Row],[Discount]])</f>
        <v>650</v>
      </c>
      <c r="P766" s="8">
        <f>SalesData[[#This Row],[Sales_Check]]-SalesData[[#This Row],[Cost]]</f>
        <v>270</v>
      </c>
      <c r="Q766" s="13">
        <f>IFERROR(SalesData[[#This Row],[Profit]]/SalesData[[#This Row],[Sales]],0)</f>
        <v>0.41538461538461541</v>
      </c>
      <c r="R766" t="str">
        <f>TEXT(SalesData[[#This Row],[Order Date]],"mmm-yyyy")</f>
        <v>Jun-2026</v>
      </c>
      <c r="S766">
        <f>YEAR(SalesData[[#This Row],[Order Date]])</f>
        <v>2026</v>
      </c>
      <c r="T766" t="str">
        <f>IF(SalesData[[#This Row],[Profit Margin]]&gt;=30%,"High",IF(SalesData[[#This Row],[Profit Margin]]&gt;=15%,"Medium","Low"))</f>
        <v>High</v>
      </c>
    </row>
    <row r="767" spans="1:20" x14ac:dyDescent="0.35">
      <c r="A767" t="s">
        <v>1291</v>
      </c>
      <c r="B767" s="23" t="s">
        <v>1290</v>
      </c>
      <c r="C767" t="s">
        <v>711</v>
      </c>
      <c r="D767" t="s">
        <v>17</v>
      </c>
      <c r="E767" t="s">
        <v>50</v>
      </c>
      <c r="F767" t="s">
        <v>27</v>
      </c>
      <c r="G767" t="s">
        <v>51</v>
      </c>
      <c r="H767" t="s">
        <v>39</v>
      </c>
      <c r="I767">
        <v>4</v>
      </c>
      <c r="J767" s="4">
        <v>650</v>
      </c>
      <c r="K767" s="6">
        <v>0</v>
      </c>
      <c r="L767" s="8">
        <v>2600</v>
      </c>
      <c r="M767" s="8">
        <v>1520</v>
      </c>
      <c r="N767" s="8">
        <v>1080</v>
      </c>
      <c r="O767" s="8">
        <f>SalesData[[#This Row],[Quantity]]*SalesData[[#This Row],[Unit Price]]*(1-SalesData[[#This Row],[Discount]])</f>
        <v>2600</v>
      </c>
      <c r="P767" s="8">
        <f>SalesData[[#This Row],[Sales_Check]]-SalesData[[#This Row],[Cost]]</f>
        <v>1080</v>
      </c>
      <c r="Q767" s="13">
        <f>IFERROR(SalesData[[#This Row],[Profit]]/SalesData[[#This Row],[Sales]],0)</f>
        <v>0.41538461538461541</v>
      </c>
      <c r="R767" t="str">
        <f>TEXT(SalesData[[#This Row],[Order Date]],"mmm-yyyy")</f>
        <v>Jun-2026</v>
      </c>
      <c r="S767">
        <f>YEAR(SalesData[[#This Row],[Order Date]])</f>
        <v>2026</v>
      </c>
      <c r="T767" t="str">
        <f>IF(SalesData[[#This Row],[Profit Margin]]&gt;=30%,"High",IF(SalesData[[#This Row],[Profit Margin]]&gt;=15%,"Medium","Low"))</f>
        <v>High</v>
      </c>
    </row>
    <row r="768" spans="1:20" x14ac:dyDescent="0.35">
      <c r="A768" t="s">
        <v>1292</v>
      </c>
      <c r="B768" s="23" t="s">
        <v>1293</v>
      </c>
      <c r="C768" t="s">
        <v>861</v>
      </c>
      <c r="D768" t="s">
        <v>54</v>
      </c>
      <c r="E768" t="s">
        <v>55</v>
      </c>
      <c r="F768" t="s">
        <v>45</v>
      </c>
      <c r="G768" t="s">
        <v>70</v>
      </c>
      <c r="H768" t="s">
        <v>39</v>
      </c>
      <c r="I768">
        <v>10</v>
      </c>
      <c r="J768" s="4">
        <v>180</v>
      </c>
      <c r="K768" s="6">
        <v>0</v>
      </c>
      <c r="L768" s="8">
        <v>1800</v>
      </c>
      <c r="M768" s="8">
        <v>900</v>
      </c>
      <c r="N768" s="8">
        <v>900</v>
      </c>
      <c r="O768" s="8">
        <f>SalesData[[#This Row],[Quantity]]*SalesData[[#This Row],[Unit Price]]*(1-SalesData[[#This Row],[Discount]])</f>
        <v>1800</v>
      </c>
      <c r="P768" s="8">
        <f>SalesData[[#This Row],[Sales_Check]]-SalesData[[#This Row],[Cost]]</f>
        <v>900</v>
      </c>
      <c r="Q768" s="13">
        <f>IFERROR(SalesData[[#This Row],[Profit]]/SalesData[[#This Row],[Sales]],0)</f>
        <v>0.5</v>
      </c>
      <c r="R768" t="str">
        <f>TEXT(SalesData[[#This Row],[Order Date]],"mmm-yyyy")</f>
        <v>Jun-2026</v>
      </c>
      <c r="S768">
        <f>YEAR(SalesData[[#This Row],[Order Date]])</f>
        <v>2026</v>
      </c>
      <c r="T768" t="str">
        <f>IF(SalesData[[#This Row],[Profit Margin]]&gt;=30%,"High",IF(SalesData[[#This Row],[Profit Margin]]&gt;=15%,"Medium","Low"))</f>
        <v>High</v>
      </c>
    </row>
    <row r="769" spans="1:20" x14ac:dyDescent="0.35">
      <c r="A769" t="s">
        <v>1294</v>
      </c>
      <c r="B769" s="23" t="s">
        <v>1295</v>
      </c>
      <c r="C769" t="s">
        <v>211</v>
      </c>
      <c r="D769" t="s">
        <v>25</v>
      </c>
      <c r="E769" t="s">
        <v>89</v>
      </c>
      <c r="F769" t="s">
        <v>37</v>
      </c>
      <c r="G769" t="s">
        <v>140</v>
      </c>
      <c r="H769" t="s">
        <v>21</v>
      </c>
      <c r="I769">
        <v>10</v>
      </c>
      <c r="J769" s="4">
        <v>550</v>
      </c>
      <c r="K769" s="6">
        <v>0</v>
      </c>
      <c r="L769" s="8">
        <v>5500</v>
      </c>
      <c r="M769" s="8">
        <v>3000</v>
      </c>
      <c r="N769" s="8">
        <v>2500</v>
      </c>
      <c r="O769" s="8">
        <f>SalesData[[#This Row],[Quantity]]*SalesData[[#This Row],[Unit Price]]*(1-SalesData[[#This Row],[Discount]])</f>
        <v>5500</v>
      </c>
      <c r="P769" s="8">
        <f>SalesData[[#This Row],[Sales_Check]]-SalesData[[#This Row],[Cost]]</f>
        <v>2500</v>
      </c>
      <c r="Q769" s="13">
        <f>IFERROR(SalesData[[#This Row],[Profit]]/SalesData[[#This Row],[Sales]],0)</f>
        <v>0.45454545454545453</v>
      </c>
      <c r="R769" t="str">
        <f>TEXT(SalesData[[#This Row],[Order Date]],"mmm-yyyy")</f>
        <v>Jun-2026</v>
      </c>
      <c r="S769">
        <f>YEAR(SalesData[[#This Row],[Order Date]])</f>
        <v>2026</v>
      </c>
      <c r="T769" t="str">
        <f>IF(SalesData[[#This Row],[Profit Margin]]&gt;=30%,"High",IF(SalesData[[#This Row],[Profit Margin]]&gt;=15%,"Medium","Low"))</f>
        <v>High</v>
      </c>
    </row>
    <row r="770" spans="1:20" x14ac:dyDescent="0.35">
      <c r="A770" t="s">
        <v>1296</v>
      </c>
      <c r="B770" s="23" t="s">
        <v>1295</v>
      </c>
      <c r="C770" t="s">
        <v>390</v>
      </c>
      <c r="D770" t="s">
        <v>17</v>
      </c>
      <c r="E770" t="s">
        <v>65</v>
      </c>
      <c r="F770" t="s">
        <v>45</v>
      </c>
      <c r="G770" t="s">
        <v>104</v>
      </c>
      <c r="H770" t="s">
        <v>39</v>
      </c>
      <c r="I770">
        <v>8</v>
      </c>
      <c r="J770" s="4">
        <v>2200</v>
      </c>
      <c r="K770" s="6">
        <v>0</v>
      </c>
      <c r="L770" s="8">
        <v>17600</v>
      </c>
      <c r="M770" s="8">
        <v>11200</v>
      </c>
      <c r="N770" s="8">
        <v>6400</v>
      </c>
      <c r="O770" s="8">
        <f>SalesData[[#This Row],[Quantity]]*SalesData[[#This Row],[Unit Price]]*(1-SalesData[[#This Row],[Discount]])</f>
        <v>17600</v>
      </c>
      <c r="P770" s="8">
        <f>SalesData[[#This Row],[Sales_Check]]-SalesData[[#This Row],[Cost]]</f>
        <v>6400</v>
      </c>
      <c r="Q770" s="13">
        <f>IFERROR(SalesData[[#This Row],[Profit]]/SalesData[[#This Row],[Sales]],0)</f>
        <v>0.36363636363636365</v>
      </c>
      <c r="R770" t="str">
        <f>TEXT(SalesData[[#This Row],[Order Date]],"mmm-yyyy")</f>
        <v>Jun-2026</v>
      </c>
      <c r="S770">
        <f>YEAR(SalesData[[#This Row],[Order Date]])</f>
        <v>2026</v>
      </c>
      <c r="T770" t="str">
        <f>IF(SalesData[[#This Row],[Profit Margin]]&gt;=30%,"High",IF(SalesData[[#This Row],[Profit Margin]]&gt;=15%,"Medium","Low"))</f>
        <v>High</v>
      </c>
    </row>
    <row r="771" spans="1:20" x14ac:dyDescent="0.35">
      <c r="A771" t="s">
        <v>1297</v>
      </c>
      <c r="B771" s="23" t="s">
        <v>1295</v>
      </c>
      <c r="C771" t="s">
        <v>506</v>
      </c>
      <c r="D771" t="s">
        <v>43</v>
      </c>
      <c r="E771" t="s">
        <v>44</v>
      </c>
      <c r="F771" t="s">
        <v>45</v>
      </c>
      <c r="G771" t="s">
        <v>122</v>
      </c>
      <c r="H771" t="s">
        <v>33</v>
      </c>
      <c r="I771">
        <v>9</v>
      </c>
      <c r="J771" s="4">
        <v>2200</v>
      </c>
      <c r="K771" s="6">
        <v>0.1</v>
      </c>
      <c r="L771" s="8">
        <v>17820</v>
      </c>
      <c r="M771" s="8">
        <v>13050</v>
      </c>
      <c r="N771" s="8">
        <v>4770</v>
      </c>
      <c r="O771" s="8">
        <f>SalesData[[#This Row],[Quantity]]*SalesData[[#This Row],[Unit Price]]*(1-SalesData[[#This Row],[Discount]])</f>
        <v>17820</v>
      </c>
      <c r="P771" s="8">
        <f>SalesData[[#This Row],[Sales_Check]]-SalesData[[#This Row],[Cost]]</f>
        <v>4770</v>
      </c>
      <c r="Q771" s="13">
        <f>IFERROR(SalesData[[#This Row],[Profit]]/SalesData[[#This Row],[Sales]],0)</f>
        <v>0.26767676767676768</v>
      </c>
      <c r="R771" t="str">
        <f>TEXT(SalesData[[#This Row],[Order Date]],"mmm-yyyy")</f>
        <v>Jun-2026</v>
      </c>
      <c r="S771">
        <f>YEAR(SalesData[[#This Row],[Order Date]])</f>
        <v>2026</v>
      </c>
      <c r="T771" t="str">
        <f>IF(SalesData[[#This Row],[Profit Margin]]&gt;=30%,"High",IF(SalesData[[#This Row],[Profit Margin]]&gt;=15%,"Medium","Low"))</f>
        <v>Medium</v>
      </c>
    </row>
    <row r="772" spans="1:20" x14ac:dyDescent="0.35">
      <c r="A772" t="s">
        <v>1298</v>
      </c>
      <c r="B772" s="23" t="s">
        <v>1295</v>
      </c>
      <c r="C772" t="s">
        <v>96</v>
      </c>
      <c r="D772" t="s">
        <v>17</v>
      </c>
      <c r="E772" t="s">
        <v>32</v>
      </c>
      <c r="F772" t="s">
        <v>19</v>
      </c>
      <c r="G772" t="s">
        <v>56</v>
      </c>
      <c r="H772" t="s">
        <v>47</v>
      </c>
      <c r="I772">
        <v>3</v>
      </c>
      <c r="J772" s="4">
        <v>1500</v>
      </c>
      <c r="K772" s="6">
        <v>0.1</v>
      </c>
      <c r="L772" s="8">
        <v>4050</v>
      </c>
      <c r="M772" s="8">
        <v>2700</v>
      </c>
      <c r="N772" s="8">
        <v>1350</v>
      </c>
      <c r="O772" s="8">
        <f>SalesData[[#This Row],[Quantity]]*SalesData[[#This Row],[Unit Price]]*(1-SalesData[[#This Row],[Discount]])</f>
        <v>4050</v>
      </c>
      <c r="P772" s="8">
        <f>SalesData[[#This Row],[Sales_Check]]-SalesData[[#This Row],[Cost]]</f>
        <v>1350</v>
      </c>
      <c r="Q772" s="13">
        <f>IFERROR(SalesData[[#This Row],[Profit]]/SalesData[[#This Row],[Sales]],0)</f>
        <v>0.33333333333333331</v>
      </c>
      <c r="R772" t="str">
        <f>TEXT(SalesData[[#This Row],[Order Date]],"mmm-yyyy")</f>
        <v>Jun-2026</v>
      </c>
      <c r="S772">
        <f>YEAR(SalesData[[#This Row],[Order Date]])</f>
        <v>2026</v>
      </c>
      <c r="T772" t="str">
        <f>IF(SalesData[[#This Row],[Profit Margin]]&gt;=30%,"High",IF(SalesData[[#This Row],[Profit Margin]]&gt;=15%,"Medium","Low"))</f>
        <v>High</v>
      </c>
    </row>
    <row r="773" spans="1:20" x14ac:dyDescent="0.35">
      <c r="A773" t="s">
        <v>1299</v>
      </c>
      <c r="B773" s="23" t="s">
        <v>1295</v>
      </c>
      <c r="C773" t="s">
        <v>1181</v>
      </c>
      <c r="D773" t="s">
        <v>17</v>
      </c>
      <c r="E773" t="s">
        <v>65</v>
      </c>
      <c r="F773" t="s">
        <v>27</v>
      </c>
      <c r="G773" t="s">
        <v>51</v>
      </c>
      <c r="H773" t="s">
        <v>33</v>
      </c>
      <c r="I773">
        <v>7</v>
      </c>
      <c r="J773" s="4">
        <v>2200</v>
      </c>
      <c r="K773" s="6">
        <v>0</v>
      </c>
      <c r="L773" s="8">
        <v>15400</v>
      </c>
      <c r="M773" s="8">
        <v>9800</v>
      </c>
      <c r="N773" s="8">
        <v>5600</v>
      </c>
      <c r="O773" s="8">
        <f>SalesData[[#This Row],[Quantity]]*SalesData[[#This Row],[Unit Price]]*(1-SalesData[[#This Row],[Discount]])</f>
        <v>15400</v>
      </c>
      <c r="P773" s="8">
        <f>SalesData[[#This Row],[Sales_Check]]-SalesData[[#This Row],[Cost]]</f>
        <v>5600</v>
      </c>
      <c r="Q773" s="13">
        <f>IFERROR(SalesData[[#This Row],[Profit]]/SalesData[[#This Row],[Sales]],0)</f>
        <v>0.36363636363636365</v>
      </c>
      <c r="R773" t="str">
        <f>TEXT(SalesData[[#This Row],[Order Date]],"mmm-yyyy")</f>
        <v>Jun-2026</v>
      </c>
      <c r="S773">
        <f>YEAR(SalesData[[#This Row],[Order Date]])</f>
        <v>2026</v>
      </c>
      <c r="T773" t="str">
        <f>IF(SalesData[[#This Row],[Profit Margin]]&gt;=30%,"High",IF(SalesData[[#This Row],[Profit Margin]]&gt;=15%,"Medium","Low"))</f>
        <v>High</v>
      </c>
    </row>
    <row r="774" spans="1:20" x14ac:dyDescent="0.35">
      <c r="A774" t="s">
        <v>1300</v>
      </c>
      <c r="B774" s="23" t="s">
        <v>1301</v>
      </c>
      <c r="C774" t="s">
        <v>662</v>
      </c>
      <c r="D774" t="s">
        <v>25</v>
      </c>
      <c r="E774" t="s">
        <v>36</v>
      </c>
      <c r="F774" t="s">
        <v>27</v>
      </c>
      <c r="G774" t="s">
        <v>90</v>
      </c>
      <c r="H774" t="s">
        <v>39</v>
      </c>
      <c r="I774">
        <v>1</v>
      </c>
      <c r="J774" s="4">
        <v>700</v>
      </c>
      <c r="K774" s="6">
        <v>0</v>
      </c>
      <c r="L774" s="8">
        <v>700</v>
      </c>
      <c r="M774" s="8">
        <v>400</v>
      </c>
      <c r="N774" s="8">
        <v>300</v>
      </c>
      <c r="O774" s="8">
        <f>SalesData[[#This Row],[Quantity]]*SalesData[[#This Row],[Unit Price]]*(1-SalesData[[#This Row],[Discount]])</f>
        <v>700</v>
      </c>
      <c r="P774" s="8">
        <f>SalesData[[#This Row],[Sales_Check]]-SalesData[[#This Row],[Cost]]</f>
        <v>300</v>
      </c>
      <c r="Q774" s="13">
        <f>IFERROR(SalesData[[#This Row],[Profit]]/SalesData[[#This Row],[Sales]],0)</f>
        <v>0.42857142857142855</v>
      </c>
      <c r="R774" t="str">
        <f>TEXT(SalesData[[#This Row],[Order Date]],"mmm-yyyy")</f>
        <v>Jun-2026</v>
      </c>
      <c r="S774">
        <f>YEAR(SalesData[[#This Row],[Order Date]])</f>
        <v>2026</v>
      </c>
      <c r="T774" t="str">
        <f>IF(SalesData[[#This Row],[Profit Margin]]&gt;=30%,"High",IF(SalesData[[#This Row],[Profit Margin]]&gt;=15%,"Medium","Low"))</f>
        <v>High</v>
      </c>
    </row>
    <row r="775" spans="1:20" x14ac:dyDescent="0.35">
      <c r="A775" t="s">
        <v>1302</v>
      </c>
      <c r="B775" s="23" t="s">
        <v>1303</v>
      </c>
      <c r="C775" t="s">
        <v>316</v>
      </c>
      <c r="D775" t="s">
        <v>43</v>
      </c>
      <c r="E775" t="s">
        <v>62</v>
      </c>
      <c r="F775" t="s">
        <v>45</v>
      </c>
      <c r="G775" t="s">
        <v>46</v>
      </c>
      <c r="H775" t="s">
        <v>39</v>
      </c>
      <c r="I775">
        <v>5</v>
      </c>
      <c r="J775" s="4">
        <v>500</v>
      </c>
      <c r="K775" s="6">
        <v>0</v>
      </c>
      <c r="L775" s="8">
        <v>2500</v>
      </c>
      <c r="M775" s="8">
        <v>1400</v>
      </c>
      <c r="N775" s="8">
        <v>1100</v>
      </c>
      <c r="O775" s="8">
        <f>SalesData[[#This Row],[Quantity]]*SalesData[[#This Row],[Unit Price]]*(1-SalesData[[#This Row],[Discount]])</f>
        <v>2500</v>
      </c>
      <c r="P775" s="8">
        <f>SalesData[[#This Row],[Sales_Check]]-SalesData[[#This Row],[Cost]]</f>
        <v>1100</v>
      </c>
      <c r="Q775" s="13">
        <f>IFERROR(SalesData[[#This Row],[Profit]]/SalesData[[#This Row],[Sales]],0)</f>
        <v>0.44</v>
      </c>
      <c r="R775" t="str">
        <f>TEXT(SalesData[[#This Row],[Order Date]],"mmm-yyyy")</f>
        <v>Jun-2026</v>
      </c>
      <c r="S775">
        <f>YEAR(SalesData[[#This Row],[Order Date]])</f>
        <v>2026</v>
      </c>
      <c r="T775" t="str">
        <f>IF(SalesData[[#This Row],[Profit Margin]]&gt;=30%,"High",IF(SalesData[[#This Row],[Profit Margin]]&gt;=15%,"Medium","Low"))</f>
        <v>High</v>
      </c>
    </row>
    <row r="776" spans="1:20" x14ac:dyDescent="0.35">
      <c r="A776" t="s">
        <v>1304</v>
      </c>
      <c r="B776" s="23" t="s">
        <v>1303</v>
      </c>
      <c r="C776" t="s">
        <v>287</v>
      </c>
      <c r="D776" t="s">
        <v>17</v>
      </c>
      <c r="E776" t="s">
        <v>50</v>
      </c>
      <c r="F776" t="s">
        <v>45</v>
      </c>
      <c r="G776" t="s">
        <v>70</v>
      </c>
      <c r="H776" t="s">
        <v>125</v>
      </c>
      <c r="I776">
        <v>1</v>
      </c>
      <c r="J776" s="4">
        <v>650</v>
      </c>
      <c r="K776" s="6">
        <v>0.05</v>
      </c>
      <c r="L776" s="8">
        <v>617.5</v>
      </c>
      <c r="M776" s="8">
        <v>380</v>
      </c>
      <c r="N776" s="8">
        <v>237.5</v>
      </c>
      <c r="O776" s="8">
        <f>SalesData[[#This Row],[Quantity]]*SalesData[[#This Row],[Unit Price]]*(1-SalesData[[#This Row],[Discount]])</f>
        <v>617.5</v>
      </c>
      <c r="P776" s="8">
        <f>SalesData[[#This Row],[Sales_Check]]-SalesData[[#This Row],[Cost]]</f>
        <v>237.5</v>
      </c>
      <c r="Q776" s="13">
        <f>IFERROR(SalesData[[#This Row],[Profit]]/SalesData[[#This Row],[Sales]],0)</f>
        <v>0.38461538461538464</v>
      </c>
      <c r="R776" t="str">
        <f>TEXT(SalesData[[#This Row],[Order Date]],"mmm-yyyy")</f>
        <v>Jun-2026</v>
      </c>
      <c r="S776">
        <f>YEAR(SalesData[[#This Row],[Order Date]])</f>
        <v>2026</v>
      </c>
      <c r="T776" t="str">
        <f>IF(SalesData[[#This Row],[Profit Margin]]&gt;=30%,"High",IF(SalesData[[#This Row],[Profit Margin]]&gt;=15%,"Medium","Low"))</f>
        <v>High</v>
      </c>
    </row>
    <row r="777" spans="1:20" x14ac:dyDescent="0.35">
      <c r="A777" t="s">
        <v>1305</v>
      </c>
      <c r="B777" s="23" t="s">
        <v>1303</v>
      </c>
      <c r="C777" t="s">
        <v>82</v>
      </c>
      <c r="D777" t="s">
        <v>25</v>
      </c>
      <c r="E777" t="s">
        <v>80</v>
      </c>
      <c r="F777" t="s">
        <v>19</v>
      </c>
      <c r="G777" t="s">
        <v>113</v>
      </c>
      <c r="H777" t="s">
        <v>29</v>
      </c>
      <c r="I777">
        <v>4</v>
      </c>
      <c r="J777" s="4">
        <v>950</v>
      </c>
      <c r="K777" s="6">
        <v>0.05</v>
      </c>
      <c r="L777" s="8">
        <v>3610</v>
      </c>
      <c r="M777" s="8">
        <v>2240</v>
      </c>
      <c r="N777" s="8">
        <v>1370</v>
      </c>
      <c r="O777" s="8">
        <f>SalesData[[#This Row],[Quantity]]*SalesData[[#This Row],[Unit Price]]*(1-SalesData[[#This Row],[Discount]])</f>
        <v>3610</v>
      </c>
      <c r="P777" s="8">
        <f>SalesData[[#This Row],[Sales_Check]]-SalesData[[#This Row],[Cost]]</f>
        <v>1370</v>
      </c>
      <c r="Q777" s="13">
        <f>IFERROR(SalesData[[#This Row],[Profit]]/SalesData[[#This Row],[Sales]],0)</f>
        <v>0.37950138504155123</v>
      </c>
      <c r="R777" t="str">
        <f>TEXT(SalesData[[#This Row],[Order Date]],"mmm-yyyy")</f>
        <v>Jun-2026</v>
      </c>
      <c r="S777">
        <f>YEAR(SalesData[[#This Row],[Order Date]])</f>
        <v>2026</v>
      </c>
      <c r="T777" t="str">
        <f>IF(SalesData[[#This Row],[Profit Margin]]&gt;=30%,"High",IF(SalesData[[#This Row],[Profit Margin]]&gt;=15%,"Medium","Low"))</f>
        <v>High</v>
      </c>
    </row>
    <row r="778" spans="1:20" x14ac:dyDescent="0.35">
      <c r="A778" t="s">
        <v>1306</v>
      </c>
      <c r="B778" s="23" t="s">
        <v>1303</v>
      </c>
      <c r="C778" t="s">
        <v>386</v>
      </c>
      <c r="D778" t="s">
        <v>25</v>
      </c>
      <c r="E778" t="s">
        <v>80</v>
      </c>
      <c r="F778" t="s">
        <v>45</v>
      </c>
      <c r="G778" t="s">
        <v>46</v>
      </c>
      <c r="H778" t="s">
        <v>29</v>
      </c>
      <c r="I778">
        <v>6</v>
      </c>
      <c r="J778" s="4">
        <v>950</v>
      </c>
      <c r="K778" s="6">
        <v>0.05</v>
      </c>
      <c r="L778" s="8">
        <v>5415</v>
      </c>
      <c r="M778" s="8">
        <v>3360</v>
      </c>
      <c r="N778" s="8">
        <v>2055</v>
      </c>
      <c r="O778" s="8">
        <f>SalesData[[#This Row],[Quantity]]*SalesData[[#This Row],[Unit Price]]*(1-SalesData[[#This Row],[Discount]])</f>
        <v>5415</v>
      </c>
      <c r="P778" s="8">
        <f>SalesData[[#This Row],[Sales_Check]]-SalesData[[#This Row],[Cost]]</f>
        <v>2055</v>
      </c>
      <c r="Q778" s="13">
        <f>IFERROR(SalesData[[#This Row],[Profit]]/SalesData[[#This Row],[Sales]],0)</f>
        <v>0.37950138504155123</v>
      </c>
      <c r="R778" t="str">
        <f>TEXT(SalesData[[#This Row],[Order Date]],"mmm-yyyy")</f>
        <v>Jun-2026</v>
      </c>
      <c r="S778">
        <f>YEAR(SalesData[[#This Row],[Order Date]])</f>
        <v>2026</v>
      </c>
      <c r="T778" t="str">
        <f>IF(SalesData[[#This Row],[Profit Margin]]&gt;=30%,"High",IF(SalesData[[#This Row],[Profit Margin]]&gt;=15%,"Medium","Low"))</f>
        <v>High</v>
      </c>
    </row>
    <row r="779" spans="1:20" x14ac:dyDescent="0.35">
      <c r="A779" t="s">
        <v>1307</v>
      </c>
      <c r="B779" s="23" t="s">
        <v>1308</v>
      </c>
      <c r="C779" t="s">
        <v>31</v>
      </c>
      <c r="D779" t="s">
        <v>25</v>
      </c>
      <c r="E779" t="s">
        <v>26</v>
      </c>
      <c r="F779" t="s">
        <v>37</v>
      </c>
      <c r="G779" t="s">
        <v>140</v>
      </c>
      <c r="H779" t="s">
        <v>33</v>
      </c>
      <c r="I779">
        <v>7</v>
      </c>
      <c r="J779" s="4">
        <v>600</v>
      </c>
      <c r="K779" s="6">
        <v>0.1</v>
      </c>
      <c r="L779" s="8">
        <v>3780</v>
      </c>
      <c r="M779" s="8">
        <v>2310</v>
      </c>
      <c r="N779" s="8">
        <v>1470</v>
      </c>
      <c r="O779" s="8">
        <f>SalesData[[#This Row],[Quantity]]*SalesData[[#This Row],[Unit Price]]*(1-SalesData[[#This Row],[Discount]])</f>
        <v>3780</v>
      </c>
      <c r="P779" s="8">
        <f>SalesData[[#This Row],[Sales_Check]]-SalesData[[#This Row],[Cost]]</f>
        <v>1470</v>
      </c>
      <c r="Q779" s="13">
        <f>IFERROR(SalesData[[#This Row],[Profit]]/SalesData[[#This Row],[Sales]],0)</f>
        <v>0.3888888888888889</v>
      </c>
      <c r="R779" t="str">
        <f>TEXT(SalesData[[#This Row],[Order Date]],"mmm-yyyy")</f>
        <v>Jun-2026</v>
      </c>
      <c r="S779">
        <f>YEAR(SalesData[[#This Row],[Order Date]])</f>
        <v>2026</v>
      </c>
      <c r="T779" t="str">
        <f>IF(SalesData[[#This Row],[Profit Margin]]&gt;=30%,"High",IF(SalesData[[#This Row],[Profit Margin]]&gt;=15%,"Medium","Low"))</f>
        <v>High</v>
      </c>
    </row>
    <row r="780" spans="1:20" x14ac:dyDescent="0.35">
      <c r="A780" t="s">
        <v>1309</v>
      </c>
      <c r="B780" s="23" t="s">
        <v>1308</v>
      </c>
      <c r="C780" t="s">
        <v>805</v>
      </c>
      <c r="D780" t="s">
        <v>43</v>
      </c>
      <c r="E780" t="s">
        <v>143</v>
      </c>
      <c r="F780" t="s">
        <v>27</v>
      </c>
      <c r="G780" t="s">
        <v>85</v>
      </c>
      <c r="H780" t="s">
        <v>125</v>
      </c>
      <c r="I780">
        <v>7</v>
      </c>
      <c r="J780" s="4">
        <v>650</v>
      </c>
      <c r="K780" s="6">
        <v>0.15</v>
      </c>
      <c r="L780" s="8">
        <v>3867.5</v>
      </c>
      <c r="M780" s="8">
        <v>2450</v>
      </c>
      <c r="N780" s="8">
        <v>1417.5</v>
      </c>
      <c r="O780" s="8">
        <f>SalesData[[#This Row],[Quantity]]*SalesData[[#This Row],[Unit Price]]*(1-SalesData[[#This Row],[Discount]])</f>
        <v>3867.5</v>
      </c>
      <c r="P780" s="8">
        <f>SalesData[[#This Row],[Sales_Check]]-SalesData[[#This Row],[Cost]]</f>
        <v>1417.5</v>
      </c>
      <c r="Q780" s="13">
        <f>IFERROR(SalesData[[#This Row],[Profit]]/SalesData[[#This Row],[Sales]],0)</f>
        <v>0.36651583710407237</v>
      </c>
      <c r="R780" t="str">
        <f>TEXT(SalesData[[#This Row],[Order Date]],"mmm-yyyy")</f>
        <v>Jun-2026</v>
      </c>
      <c r="S780">
        <f>YEAR(SalesData[[#This Row],[Order Date]])</f>
        <v>2026</v>
      </c>
      <c r="T780" t="str">
        <f>IF(SalesData[[#This Row],[Profit Margin]]&gt;=30%,"High",IF(SalesData[[#This Row],[Profit Margin]]&gt;=15%,"Medium","Low"))</f>
        <v>High</v>
      </c>
    </row>
    <row r="781" spans="1:20" x14ac:dyDescent="0.35">
      <c r="A781" t="s">
        <v>1310</v>
      </c>
      <c r="B781" s="23" t="s">
        <v>1308</v>
      </c>
      <c r="C781" t="s">
        <v>158</v>
      </c>
      <c r="D781" t="s">
        <v>17</v>
      </c>
      <c r="E781" t="s">
        <v>65</v>
      </c>
      <c r="F781" t="s">
        <v>37</v>
      </c>
      <c r="G781" t="s">
        <v>140</v>
      </c>
      <c r="H781" t="s">
        <v>21</v>
      </c>
      <c r="I781">
        <v>7</v>
      </c>
      <c r="J781" s="4">
        <v>2200</v>
      </c>
      <c r="K781" s="6">
        <v>0</v>
      </c>
      <c r="L781" s="8">
        <v>15400</v>
      </c>
      <c r="M781" s="8">
        <v>9800</v>
      </c>
      <c r="N781" s="8">
        <v>5600</v>
      </c>
      <c r="O781" s="8">
        <f>SalesData[[#This Row],[Quantity]]*SalesData[[#This Row],[Unit Price]]*(1-SalesData[[#This Row],[Discount]])</f>
        <v>15400</v>
      </c>
      <c r="P781" s="8">
        <f>SalesData[[#This Row],[Sales_Check]]-SalesData[[#This Row],[Cost]]</f>
        <v>5600</v>
      </c>
      <c r="Q781" s="13">
        <f>IFERROR(SalesData[[#This Row],[Profit]]/SalesData[[#This Row],[Sales]],0)</f>
        <v>0.36363636363636365</v>
      </c>
      <c r="R781" t="str">
        <f>TEXT(SalesData[[#This Row],[Order Date]],"mmm-yyyy")</f>
        <v>Jun-2026</v>
      </c>
      <c r="S781">
        <f>YEAR(SalesData[[#This Row],[Order Date]])</f>
        <v>2026</v>
      </c>
      <c r="T781" t="str">
        <f>IF(SalesData[[#This Row],[Profit Margin]]&gt;=30%,"High",IF(SalesData[[#This Row],[Profit Margin]]&gt;=15%,"Medium","Low"))</f>
        <v>High</v>
      </c>
    </row>
    <row r="782" spans="1:20" x14ac:dyDescent="0.35">
      <c r="A782" t="s">
        <v>1311</v>
      </c>
      <c r="B782" s="23" t="s">
        <v>1308</v>
      </c>
      <c r="C782" t="s">
        <v>809</v>
      </c>
      <c r="D782" t="s">
        <v>43</v>
      </c>
      <c r="E782" t="s">
        <v>143</v>
      </c>
      <c r="F782" t="s">
        <v>27</v>
      </c>
      <c r="G782" t="s">
        <v>28</v>
      </c>
      <c r="H782" t="s">
        <v>125</v>
      </c>
      <c r="I782">
        <v>9</v>
      </c>
      <c r="J782" s="4">
        <v>650</v>
      </c>
      <c r="K782" s="6">
        <v>0.05</v>
      </c>
      <c r="L782" s="8">
        <v>5557.5</v>
      </c>
      <c r="M782" s="8">
        <v>3150</v>
      </c>
      <c r="N782" s="8">
        <v>2407.5</v>
      </c>
      <c r="O782" s="8">
        <f>SalesData[[#This Row],[Quantity]]*SalesData[[#This Row],[Unit Price]]*(1-SalesData[[#This Row],[Discount]])</f>
        <v>5557.5</v>
      </c>
      <c r="P782" s="8">
        <f>SalesData[[#This Row],[Sales_Check]]-SalesData[[#This Row],[Cost]]</f>
        <v>2407.5</v>
      </c>
      <c r="Q782" s="13">
        <f>IFERROR(SalesData[[#This Row],[Profit]]/SalesData[[#This Row],[Sales]],0)</f>
        <v>0.4331983805668016</v>
      </c>
      <c r="R782" t="str">
        <f>TEXT(SalesData[[#This Row],[Order Date]],"mmm-yyyy")</f>
        <v>Jun-2026</v>
      </c>
      <c r="S782">
        <f>YEAR(SalesData[[#This Row],[Order Date]])</f>
        <v>2026</v>
      </c>
      <c r="T782" t="str">
        <f>IF(SalesData[[#This Row],[Profit Margin]]&gt;=30%,"High",IF(SalesData[[#This Row],[Profit Margin]]&gt;=15%,"Medium","Low"))</f>
        <v>High</v>
      </c>
    </row>
    <row r="783" spans="1:20" x14ac:dyDescent="0.35">
      <c r="A783" t="s">
        <v>1312</v>
      </c>
      <c r="B783" s="23" t="s">
        <v>1308</v>
      </c>
      <c r="C783" t="s">
        <v>292</v>
      </c>
      <c r="D783" t="s">
        <v>43</v>
      </c>
      <c r="E783" t="s">
        <v>250</v>
      </c>
      <c r="F783" t="s">
        <v>27</v>
      </c>
      <c r="G783" t="s">
        <v>90</v>
      </c>
      <c r="H783" t="s">
        <v>21</v>
      </c>
      <c r="I783">
        <v>2</v>
      </c>
      <c r="J783" s="4">
        <v>900</v>
      </c>
      <c r="K783" s="6">
        <v>0</v>
      </c>
      <c r="L783" s="8">
        <v>1800</v>
      </c>
      <c r="M783" s="8">
        <v>1040</v>
      </c>
      <c r="N783" s="8">
        <v>760</v>
      </c>
      <c r="O783" s="8">
        <f>SalesData[[#This Row],[Quantity]]*SalesData[[#This Row],[Unit Price]]*(1-SalesData[[#This Row],[Discount]])</f>
        <v>1800</v>
      </c>
      <c r="P783" s="8">
        <f>SalesData[[#This Row],[Sales_Check]]-SalesData[[#This Row],[Cost]]</f>
        <v>760</v>
      </c>
      <c r="Q783" s="13">
        <f>IFERROR(SalesData[[#This Row],[Profit]]/SalesData[[#This Row],[Sales]],0)</f>
        <v>0.42222222222222222</v>
      </c>
      <c r="R783" t="str">
        <f>TEXT(SalesData[[#This Row],[Order Date]],"mmm-yyyy")</f>
        <v>Jun-2026</v>
      </c>
      <c r="S783">
        <f>YEAR(SalesData[[#This Row],[Order Date]])</f>
        <v>2026</v>
      </c>
      <c r="T783" t="str">
        <f>IF(SalesData[[#This Row],[Profit Margin]]&gt;=30%,"High",IF(SalesData[[#This Row],[Profit Margin]]&gt;=15%,"Medium","Low"))</f>
        <v>High</v>
      </c>
    </row>
    <row r="784" spans="1:20" x14ac:dyDescent="0.35">
      <c r="A784" t="s">
        <v>1313</v>
      </c>
      <c r="B784" s="23" t="s">
        <v>1308</v>
      </c>
      <c r="C784" t="s">
        <v>155</v>
      </c>
      <c r="D784" t="s">
        <v>43</v>
      </c>
      <c r="E784" t="s">
        <v>169</v>
      </c>
      <c r="F784" t="s">
        <v>37</v>
      </c>
      <c r="G784" t="s">
        <v>97</v>
      </c>
      <c r="H784" t="s">
        <v>39</v>
      </c>
      <c r="I784">
        <v>3</v>
      </c>
      <c r="J784" s="4">
        <v>350</v>
      </c>
      <c r="K784" s="6">
        <v>0.15</v>
      </c>
      <c r="L784" s="8">
        <v>892.5</v>
      </c>
      <c r="M784" s="8">
        <v>510</v>
      </c>
      <c r="N784" s="8">
        <v>382.5</v>
      </c>
      <c r="O784" s="8">
        <f>SalesData[[#This Row],[Quantity]]*SalesData[[#This Row],[Unit Price]]*(1-SalesData[[#This Row],[Discount]])</f>
        <v>892.5</v>
      </c>
      <c r="P784" s="8">
        <f>SalesData[[#This Row],[Sales_Check]]-SalesData[[#This Row],[Cost]]</f>
        <v>382.5</v>
      </c>
      <c r="Q784" s="13">
        <f>IFERROR(SalesData[[#This Row],[Profit]]/SalesData[[#This Row],[Sales]],0)</f>
        <v>0.42857142857142855</v>
      </c>
      <c r="R784" t="str">
        <f>TEXT(SalesData[[#This Row],[Order Date]],"mmm-yyyy")</f>
        <v>Jun-2026</v>
      </c>
      <c r="S784">
        <f>YEAR(SalesData[[#This Row],[Order Date]])</f>
        <v>2026</v>
      </c>
      <c r="T784" t="str">
        <f>IF(SalesData[[#This Row],[Profit Margin]]&gt;=30%,"High",IF(SalesData[[#This Row],[Profit Margin]]&gt;=15%,"Medium","Low"))</f>
        <v>High</v>
      </c>
    </row>
    <row r="785" spans="1:20" x14ac:dyDescent="0.35">
      <c r="A785" t="s">
        <v>1314</v>
      </c>
      <c r="B785" s="23" t="s">
        <v>1308</v>
      </c>
      <c r="C785" t="s">
        <v>35</v>
      </c>
      <c r="D785" t="s">
        <v>54</v>
      </c>
      <c r="E785" t="s">
        <v>55</v>
      </c>
      <c r="F785" t="s">
        <v>37</v>
      </c>
      <c r="G785" t="s">
        <v>73</v>
      </c>
      <c r="H785" t="s">
        <v>29</v>
      </c>
      <c r="I785">
        <v>4</v>
      </c>
      <c r="J785" s="4">
        <v>180</v>
      </c>
      <c r="K785" s="6">
        <v>0</v>
      </c>
      <c r="L785" s="8">
        <v>720</v>
      </c>
      <c r="M785" s="8">
        <v>360</v>
      </c>
      <c r="N785" s="8">
        <v>360</v>
      </c>
      <c r="O785" s="8">
        <f>SalesData[[#This Row],[Quantity]]*SalesData[[#This Row],[Unit Price]]*(1-SalesData[[#This Row],[Discount]])</f>
        <v>720</v>
      </c>
      <c r="P785" s="8">
        <f>SalesData[[#This Row],[Sales_Check]]-SalesData[[#This Row],[Cost]]</f>
        <v>360</v>
      </c>
      <c r="Q785" s="13">
        <f>IFERROR(SalesData[[#This Row],[Profit]]/SalesData[[#This Row],[Sales]],0)</f>
        <v>0.5</v>
      </c>
      <c r="R785" t="str">
        <f>TEXT(SalesData[[#This Row],[Order Date]],"mmm-yyyy")</f>
        <v>Jun-2026</v>
      </c>
      <c r="S785">
        <f>YEAR(SalesData[[#This Row],[Order Date]])</f>
        <v>2026</v>
      </c>
      <c r="T785" t="str">
        <f>IF(SalesData[[#This Row],[Profit Margin]]&gt;=30%,"High",IF(SalesData[[#This Row],[Profit Margin]]&gt;=15%,"Medium","Low"))</f>
        <v>High</v>
      </c>
    </row>
    <row r="786" spans="1:20" x14ac:dyDescent="0.35">
      <c r="A786" t="s">
        <v>1315</v>
      </c>
      <c r="B786" s="23" t="s">
        <v>1316</v>
      </c>
      <c r="C786" t="s">
        <v>343</v>
      </c>
      <c r="D786" t="s">
        <v>17</v>
      </c>
      <c r="E786" t="s">
        <v>124</v>
      </c>
      <c r="F786" t="s">
        <v>45</v>
      </c>
      <c r="G786" t="s">
        <v>70</v>
      </c>
      <c r="H786" t="s">
        <v>33</v>
      </c>
      <c r="I786">
        <v>5</v>
      </c>
      <c r="J786" s="4">
        <v>1200</v>
      </c>
      <c r="K786" s="6">
        <v>0.05</v>
      </c>
      <c r="L786" s="8">
        <v>5700</v>
      </c>
      <c r="M786" s="8">
        <v>3600</v>
      </c>
      <c r="N786" s="8">
        <v>2100</v>
      </c>
      <c r="O786" s="8">
        <f>SalesData[[#This Row],[Quantity]]*SalesData[[#This Row],[Unit Price]]*(1-SalesData[[#This Row],[Discount]])</f>
        <v>5700</v>
      </c>
      <c r="P786" s="8">
        <f>SalesData[[#This Row],[Sales_Check]]-SalesData[[#This Row],[Cost]]</f>
        <v>2100</v>
      </c>
      <c r="Q786" s="13">
        <f>IFERROR(SalesData[[#This Row],[Profit]]/SalesData[[#This Row],[Sales]],0)</f>
        <v>0.36842105263157893</v>
      </c>
      <c r="R786" t="str">
        <f>TEXT(SalesData[[#This Row],[Order Date]],"mmm-yyyy")</f>
        <v>Jun-2026</v>
      </c>
      <c r="S786">
        <f>YEAR(SalesData[[#This Row],[Order Date]])</f>
        <v>2026</v>
      </c>
      <c r="T786" t="str">
        <f>IF(SalesData[[#This Row],[Profit Margin]]&gt;=30%,"High",IF(SalesData[[#This Row],[Profit Margin]]&gt;=15%,"Medium","Low"))</f>
        <v>High</v>
      </c>
    </row>
    <row r="787" spans="1:20" x14ac:dyDescent="0.35">
      <c r="A787" t="s">
        <v>1317</v>
      </c>
      <c r="B787" s="23" t="s">
        <v>1316</v>
      </c>
      <c r="C787" t="s">
        <v>637</v>
      </c>
      <c r="D787" t="s">
        <v>25</v>
      </c>
      <c r="E787" t="s">
        <v>36</v>
      </c>
      <c r="F787" t="s">
        <v>27</v>
      </c>
      <c r="G787" t="s">
        <v>90</v>
      </c>
      <c r="H787" t="s">
        <v>29</v>
      </c>
      <c r="I787">
        <v>6</v>
      </c>
      <c r="J787" s="4">
        <v>700</v>
      </c>
      <c r="K787" s="6">
        <v>0.05</v>
      </c>
      <c r="L787" s="8">
        <v>3990</v>
      </c>
      <c r="M787" s="8">
        <v>2400</v>
      </c>
      <c r="N787" s="8">
        <v>1590</v>
      </c>
      <c r="O787" s="8">
        <f>SalesData[[#This Row],[Quantity]]*SalesData[[#This Row],[Unit Price]]*(1-SalesData[[#This Row],[Discount]])</f>
        <v>3990</v>
      </c>
      <c r="P787" s="8">
        <f>SalesData[[#This Row],[Sales_Check]]-SalesData[[#This Row],[Cost]]</f>
        <v>1590</v>
      </c>
      <c r="Q787" s="13">
        <f>IFERROR(SalesData[[#This Row],[Profit]]/SalesData[[#This Row],[Sales]],0)</f>
        <v>0.39849624060150374</v>
      </c>
      <c r="R787" t="str">
        <f>TEXT(SalesData[[#This Row],[Order Date]],"mmm-yyyy")</f>
        <v>Jun-2026</v>
      </c>
      <c r="S787">
        <f>YEAR(SalesData[[#This Row],[Order Date]])</f>
        <v>2026</v>
      </c>
      <c r="T787" t="str">
        <f>IF(SalesData[[#This Row],[Profit Margin]]&gt;=30%,"High",IF(SalesData[[#This Row],[Profit Margin]]&gt;=15%,"Medium","Low"))</f>
        <v>High</v>
      </c>
    </row>
    <row r="788" spans="1:20" x14ac:dyDescent="0.35">
      <c r="A788" t="s">
        <v>1318</v>
      </c>
      <c r="B788" s="23" t="s">
        <v>1316</v>
      </c>
      <c r="C788" t="s">
        <v>1005</v>
      </c>
      <c r="D788" t="s">
        <v>25</v>
      </c>
      <c r="E788" t="s">
        <v>36</v>
      </c>
      <c r="F788" t="s">
        <v>27</v>
      </c>
      <c r="G788" t="s">
        <v>85</v>
      </c>
      <c r="H788" t="s">
        <v>29</v>
      </c>
      <c r="I788">
        <v>6</v>
      </c>
      <c r="J788" s="4">
        <v>700</v>
      </c>
      <c r="K788" s="6">
        <v>0.1</v>
      </c>
      <c r="L788" s="8">
        <v>3780</v>
      </c>
      <c r="M788" s="8">
        <v>2400</v>
      </c>
      <c r="N788" s="8">
        <v>1380</v>
      </c>
      <c r="O788" s="8">
        <f>SalesData[[#This Row],[Quantity]]*SalesData[[#This Row],[Unit Price]]*(1-SalesData[[#This Row],[Discount]])</f>
        <v>3780</v>
      </c>
      <c r="P788" s="8">
        <f>SalesData[[#This Row],[Sales_Check]]-SalesData[[#This Row],[Cost]]</f>
        <v>1380</v>
      </c>
      <c r="Q788" s="13">
        <f>IFERROR(SalesData[[#This Row],[Profit]]/SalesData[[#This Row],[Sales]],0)</f>
        <v>0.36507936507936506</v>
      </c>
      <c r="R788" t="str">
        <f>TEXT(SalesData[[#This Row],[Order Date]],"mmm-yyyy")</f>
        <v>Jun-2026</v>
      </c>
      <c r="S788">
        <f>YEAR(SalesData[[#This Row],[Order Date]])</f>
        <v>2026</v>
      </c>
      <c r="T788" t="str">
        <f>IF(SalesData[[#This Row],[Profit Margin]]&gt;=30%,"High",IF(SalesData[[#This Row],[Profit Margin]]&gt;=15%,"Medium","Low"))</f>
        <v>High</v>
      </c>
    </row>
    <row r="789" spans="1:20" x14ac:dyDescent="0.35">
      <c r="A789" t="s">
        <v>1319</v>
      </c>
      <c r="B789" s="23" t="s">
        <v>1316</v>
      </c>
      <c r="C789" t="s">
        <v>455</v>
      </c>
      <c r="D789" t="s">
        <v>17</v>
      </c>
      <c r="E789" t="s">
        <v>32</v>
      </c>
      <c r="F789" t="s">
        <v>19</v>
      </c>
      <c r="G789" t="s">
        <v>56</v>
      </c>
      <c r="H789" t="s">
        <v>125</v>
      </c>
      <c r="I789">
        <v>1</v>
      </c>
      <c r="J789" s="4">
        <v>1500</v>
      </c>
      <c r="K789" s="6">
        <v>0.05</v>
      </c>
      <c r="L789" s="8">
        <v>1425</v>
      </c>
      <c r="M789" s="8">
        <v>900</v>
      </c>
      <c r="N789" s="8">
        <v>525</v>
      </c>
      <c r="O789" s="8">
        <f>SalesData[[#This Row],[Quantity]]*SalesData[[#This Row],[Unit Price]]*(1-SalesData[[#This Row],[Discount]])</f>
        <v>1425</v>
      </c>
      <c r="P789" s="8">
        <f>SalesData[[#This Row],[Sales_Check]]-SalesData[[#This Row],[Cost]]</f>
        <v>525</v>
      </c>
      <c r="Q789" s="13">
        <f>IFERROR(SalesData[[#This Row],[Profit]]/SalesData[[#This Row],[Sales]],0)</f>
        <v>0.36842105263157893</v>
      </c>
      <c r="R789" t="str">
        <f>TEXT(SalesData[[#This Row],[Order Date]],"mmm-yyyy")</f>
        <v>Jun-2026</v>
      </c>
      <c r="S789">
        <f>YEAR(SalesData[[#This Row],[Order Date]])</f>
        <v>2026</v>
      </c>
      <c r="T789" t="str">
        <f>IF(SalesData[[#This Row],[Profit Margin]]&gt;=30%,"High",IF(SalesData[[#This Row],[Profit Margin]]&gt;=15%,"Medium","Low"))</f>
        <v>High</v>
      </c>
    </row>
    <row r="790" spans="1:20" x14ac:dyDescent="0.35">
      <c r="A790" t="s">
        <v>1320</v>
      </c>
      <c r="B790" s="23" t="s">
        <v>1321</v>
      </c>
      <c r="C790" t="s">
        <v>691</v>
      </c>
      <c r="D790" t="s">
        <v>25</v>
      </c>
      <c r="E790" t="s">
        <v>26</v>
      </c>
      <c r="F790" t="s">
        <v>19</v>
      </c>
      <c r="G790" t="s">
        <v>215</v>
      </c>
      <c r="H790" t="s">
        <v>39</v>
      </c>
      <c r="I790">
        <v>2</v>
      </c>
      <c r="J790" s="4">
        <v>600</v>
      </c>
      <c r="K790" s="6">
        <v>0</v>
      </c>
      <c r="L790" s="8">
        <v>1200</v>
      </c>
      <c r="M790" s="8">
        <v>660</v>
      </c>
      <c r="N790" s="8">
        <v>540</v>
      </c>
      <c r="O790" s="8">
        <f>SalesData[[#This Row],[Quantity]]*SalesData[[#This Row],[Unit Price]]*(1-SalesData[[#This Row],[Discount]])</f>
        <v>1200</v>
      </c>
      <c r="P790" s="8">
        <f>SalesData[[#This Row],[Sales_Check]]-SalesData[[#This Row],[Cost]]</f>
        <v>540</v>
      </c>
      <c r="Q790" s="13">
        <f>IFERROR(SalesData[[#This Row],[Profit]]/SalesData[[#This Row],[Sales]],0)</f>
        <v>0.45</v>
      </c>
      <c r="R790" t="str">
        <f>TEXT(SalesData[[#This Row],[Order Date]],"mmm-yyyy")</f>
        <v>Jun-2026</v>
      </c>
      <c r="S790">
        <f>YEAR(SalesData[[#This Row],[Order Date]])</f>
        <v>2026</v>
      </c>
      <c r="T790" t="str">
        <f>IF(SalesData[[#This Row],[Profit Margin]]&gt;=30%,"High",IF(SalesData[[#This Row],[Profit Margin]]&gt;=15%,"Medium","Low"))</f>
        <v>High</v>
      </c>
    </row>
    <row r="791" spans="1:20" x14ac:dyDescent="0.35">
      <c r="A791" t="s">
        <v>1322</v>
      </c>
      <c r="B791" s="23" t="s">
        <v>1321</v>
      </c>
      <c r="C791" t="s">
        <v>455</v>
      </c>
      <c r="D791" t="s">
        <v>17</v>
      </c>
      <c r="E791" t="s">
        <v>50</v>
      </c>
      <c r="F791" t="s">
        <v>37</v>
      </c>
      <c r="G791" t="s">
        <v>73</v>
      </c>
      <c r="H791" t="s">
        <v>39</v>
      </c>
      <c r="I791">
        <v>5</v>
      </c>
      <c r="J791" s="4">
        <v>650</v>
      </c>
      <c r="K791" s="6">
        <v>0</v>
      </c>
      <c r="L791" s="8">
        <v>3250</v>
      </c>
      <c r="M791" s="8">
        <v>1900</v>
      </c>
      <c r="N791" s="8">
        <v>1350</v>
      </c>
      <c r="O791" s="8">
        <f>SalesData[[#This Row],[Quantity]]*SalesData[[#This Row],[Unit Price]]*(1-SalesData[[#This Row],[Discount]])</f>
        <v>3250</v>
      </c>
      <c r="P791" s="8">
        <f>SalesData[[#This Row],[Sales_Check]]-SalesData[[#This Row],[Cost]]</f>
        <v>1350</v>
      </c>
      <c r="Q791" s="13">
        <f>IFERROR(SalesData[[#This Row],[Profit]]/SalesData[[#This Row],[Sales]],0)</f>
        <v>0.41538461538461541</v>
      </c>
      <c r="R791" t="str">
        <f>TEXT(SalesData[[#This Row],[Order Date]],"mmm-yyyy")</f>
        <v>Jun-2026</v>
      </c>
      <c r="S791">
        <f>YEAR(SalesData[[#This Row],[Order Date]])</f>
        <v>2026</v>
      </c>
      <c r="T791" t="str">
        <f>IF(SalesData[[#This Row],[Profit Margin]]&gt;=30%,"High",IF(SalesData[[#This Row],[Profit Margin]]&gt;=15%,"Medium","Low"))</f>
        <v>High</v>
      </c>
    </row>
    <row r="792" spans="1:20" x14ac:dyDescent="0.35">
      <c r="A792" t="s">
        <v>1323</v>
      </c>
      <c r="B792" s="23" t="s">
        <v>1324</v>
      </c>
      <c r="C792" t="s">
        <v>861</v>
      </c>
      <c r="D792" t="s">
        <v>54</v>
      </c>
      <c r="E792" t="s">
        <v>110</v>
      </c>
      <c r="F792" t="s">
        <v>19</v>
      </c>
      <c r="G792" t="s">
        <v>56</v>
      </c>
      <c r="H792" t="s">
        <v>33</v>
      </c>
      <c r="I792">
        <v>10</v>
      </c>
      <c r="J792" s="4">
        <v>280</v>
      </c>
      <c r="K792" s="6">
        <v>0.05</v>
      </c>
      <c r="L792" s="8">
        <v>2660</v>
      </c>
      <c r="M792" s="8">
        <v>1500</v>
      </c>
      <c r="N792" s="8">
        <v>1160</v>
      </c>
      <c r="O792" s="8">
        <f>SalesData[[#This Row],[Quantity]]*SalesData[[#This Row],[Unit Price]]*(1-SalesData[[#This Row],[Discount]])</f>
        <v>2660</v>
      </c>
      <c r="P792" s="8">
        <f>SalesData[[#This Row],[Sales_Check]]-SalesData[[#This Row],[Cost]]</f>
        <v>1160</v>
      </c>
      <c r="Q792" s="13">
        <f>IFERROR(SalesData[[#This Row],[Profit]]/SalesData[[#This Row],[Sales]],0)</f>
        <v>0.43609022556390975</v>
      </c>
      <c r="R792" t="str">
        <f>TEXT(SalesData[[#This Row],[Order Date]],"mmm-yyyy")</f>
        <v>Jun-2026</v>
      </c>
      <c r="S792">
        <f>YEAR(SalesData[[#This Row],[Order Date]])</f>
        <v>2026</v>
      </c>
      <c r="T792" t="str">
        <f>IF(SalesData[[#This Row],[Profit Margin]]&gt;=30%,"High",IF(SalesData[[#This Row],[Profit Margin]]&gt;=15%,"Medium","Low"))</f>
        <v>High</v>
      </c>
    </row>
    <row r="793" spans="1:20" x14ac:dyDescent="0.35">
      <c r="A793" t="s">
        <v>1325</v>
      </c>
      <c r="B793" s="23" t="s">
        <v>1324</v>
      </c>
      <c r="C793" t="s">
        <v>252</v>
      </c>
      <c r="D793" t="s">
        <v>54</v>
      </c>
      <c r="E793" t="s">
        <v>110</v>
      </c>
      <c r="F793" t="s">
        <v>37</v>
      </c>
      <c r="G793" t="s">
        <v>97</v>
      </c>
      <c r="H793" t="s">
        <v>29</v>
      </c>
      <c r="I793">
        <v>1</v>
      </c>
      <c r="J793" s="4">
        <v>280</v>
      </c>
      <c r="K793" s="6">
        <v>0.05</v>
      </c>
      <c r="L793" s="8">
        <v>266</v>
      </c>
      <c r="M793" s="8">
        <v>150</v>
      </c>
      <c r="N793" s="8">
        <v>116</v>
      </c>
      <c r="O793" s="8">
        <f>SalesData[[#This Row],[Quantity]]*SalesData[[#This Row],[Unit Price]]*(1-SalesData[[#This Row],[Discount]])</f>
        <v>266</v>
      </c>
      <c r="P793" s="8">
        <f>SalesData[[#This Row],[Sales_Check]]-SalesData[[#This Row],[Cost]]</f>
        <v>116</v>
      </c>
      <c r="Q793" s="13">
        <f>IFERROR(SalesData[[#This Row],[Profit]]/SalesData[[#This Row],[Sales]],0)</f>
        <v>0.43609022556390975</v>
      </c>
      <c r="R793" t="str">
        <f>TEXT(SalesData[[#This Row],[Order Date]],"mmm-yyyy")</f>
        <v>Jun-2026</v>
      </c>
      <c r="S793">
        <f>YEAR(SalesData[[#This Row],[Order Date]])</f>
        <v>2026</v>
      </c>
      <c r="T793" t="str">
        <f>IF(SalesData[[#This Row],[Profit Margin]]&gt;=30%,"High",IF(SalesData[[#This Row],[Profit Margin]]&gt;=15%,"Medium","Low"))</f>
        <v>High</v>
      </c>
    </row>
    <row r="794" spans="1:20" x14ac:dyDescent="0.35">
      <c r="A794" t="s">
        <v>1326</v>
      </c>
      <c r="B794" s="23" t="s">
        <v>1324</v>
      </c>
      <c r="C794" t="s">
        <v>664</v>
      </c>
      <c r="D794" t="s">
        <v>43</v>
      </c>
      <c r="E794" t="s">
        <v>62</v>
      </c>
      <c r="F794" t="s">
        <v>37</v>
      </c>
      <c r="G794" t="s">
        <v>97</v>
      </c>
      <c r="H794" t="s">
        <v>125</v>
      </c>
      <c r="I794">
        <v>3</v>
      </c>
      <c r="J794" s="4">
        <v>500</v>
      </c>
      <c r="K794" s="6">
        <v>0</v>
      </c>
      <c r="L794" s="8">
        <v>1500</v>
      </c>
      <c r="M794" s="8">
        <v>840</v>
      </c>
      <c r="N794" s="8">
        <v>660</v>
      </c>
      <c r="O794" s="8">
        <f>SalesData[[#This Row],[Quantity]]*SalesData[[#This Row],[Unit Price]]*(1-SalesData[[#This Row],[Discount]])</f>
        <v>1500</v>
      </c>
      <c r="P794" s="8">
        <f>SalesData[[#This Row],[Sales_Check]]-SalesData[[#This Row],[Cost]]</f>
        <v>660</v>
      </c>
      <c r="Q794" s="13">
        <f>IFERROR(SalesData[[#This Row],[Profit]]/SalesData[[#This Row],[Sales]],0)</f>
        <v>0.44</v>
      </c>
      <c r="R794" t="str">
        <f>TEXT(SalesData[[#This Row],[Order Date]],"mmm-yyyy")</f>
        <v>Jun-2026</v>
      </c>
      <c r="S794">
        <f>YEAR(SalesData[[#This Row],[Order Date]])</f>
        <v>2026</v>
      </c>
      <c r="T794" t="str">
        <f>IF(SalesData[[#This Row],[Profit Margin]]&gt;=30%,"High",IF(SalesData[[#This Row],[Profit Margin]]&gt;=15%,"Medium","Low"))</f>
        <v>High</v>
      </c>
    </row>
    <row r="795" spans="1:20" x14ac:dyDescent="0.35">
      <c r="A795" t="s">
        <v>1327</v>
      </c>
      <c r="B795" s="23" t="s">
        <v>1324</v>
      </c>
      <c r="C795" t="s">
        <v>543</v>
      </c>
      <c r="D795" t="s">
        <v>25</v>
      </c>
      <c r="E795" t="s">
        <v>36</v>
      </c>
      <c r="F795" t="s">
        <v>27</v>
      </c>
      <c r="G795" t="s">
        <v>90</v>
      </c>
      <c r="H795" t="s">
        <v>125</v>
      </c>
      <c r="I795">
        <v>3</v>
      </c>
      <c r="J795" s="4">
        <v>700</v>
      </c>
      <c r="K795" s="6">
        <v>0</v>
      </c>
      <c r="L795" s="8">
        <v>2100</v>
      </c>
      <c r="M795" s="8">
        <v>1200</v>
      </c>
      <c r="N795" s="8">
        <v>900</v>
      </c>
      <c r="O795" s="8">
        <f>SalesData[[#This Row],[Quantity]]*SalesData[[#This Row],[Unit Price]]*(1-SalesData[[#This Row],[Discount]])</f>
        <v>2100</v>
      </c>
      <c r="P795" s="8">
        <f>SalesData[[#This Row],[Sales_Check]]-SalesData[[#This Row],[Cost]]</f>
        <v>900</v>
      </c>
      <c r="Q795" s="13">
        <f>IFERROR(SalesData[[#This Row],[Profit]]/SalesData[[#This Row],[Sales]],0)</f>
        <v>0.42857142857142855</v>
      </c>
      <c r="R795" t="str">
        <f>TEXT(SalesData[[#This Row],[Order Date]],"mmm-yyyy")</f>
        <v>Jun-2026</v>
      </c>
      <c r="S795">
        <f>YEAR(SalesData[[#This Row],[Order Date]])</f>
        <v>2026</v>
      </c>
      <c r="T795" t="str">
        <f>IF(SalesData[[#This Row],[Profit Margin]]&gt;=30%,"High",IF(SalesData[[#This Row],[Profit Margin]]&gt;=15%,"Medium","Low"))</f>
        <v>High</v>
      </c>
    </row>
    <row r="796" spans="1:20" x14ac:dyDescent="0.35">
      <c r="A796" t="s">
        <v>1328</v>
      </c>
      <c r="B796" s="23" t="s">
        <v>1329</v>
      </c>
      <c r="C796" t="s">
        <v>220</v>
      </c>
      <c r="D796" t="s">
        <v>25</v>
      </c>
      <c r="E796" t="s">
        <v>26</v>
      </c>
      <c r="F796" t="s">
        <v>45</v>
      </c>
      <c r="G796" t="s">
        <v>70</v>
      </c>
      <c r="H796" t="s">
        <v>33</v>
      </c>
      <c r="I796">
        <v>2</v>
      </c>
      <c r="J796" s="4">
        <v>600</v>
      </c>
      <c r="K796" s="6">
        <v>0</v>
      </c>
      <c r="L796" s="8">
        <v>1200</v>
      </c>
      <c r="M796" s="8">
        <v>660</v>
      </c>
      <c r="N796" s="8">
        <v>540</v>
      </c>
      <c r="O796" s="8">
        <f>SalesData[[#This Row],[Quantity]]*SalesData[[#This Row],[Unit Price]]*(1-SalesData[[#This Row],[Discount]])</f>
        <v>1200</v>
      </c>
      <c r="P796" s="8">
        <f>SalesData[[#This Row],[Sales_Check]]-SalesData[[#This Row],[Cost]]</f>
        <v>540</v>
      </c>
      <c r="Q796" s="13">
        <f>IFERROR(SalesData[[#This Row],[Profit]]/SalesData[[#This Row],[Sales]],0)</f>
        <v>0.45</v>
      </c>
      <c r="R796" t="str">
        <f>TEXT(SalesData[[#This Row],[Order Date]],"mmm-yyyy")</f>
        <v>Jun-2026</v>
      </c>
      <c r="S796">
        <f>YEAR(SalesData[[#This Row],[Order Date]])</f>
        <v>2026</v>
      </c>
      <c r="T796" t="str">
        <f>IF(SalesData[[#This Row],[Profit Margin]]&gt;=30%,"High",IF(SalesData[[#This Row],[Profit Margin]]&gt;=15%,"Medium","Low"))</f>
        <v>High</v>
      </c>
    </row>
    <row r="797" spans="1:20" x14ac:dyDescent="0.35">
      <c r="A797" t="s">
        <v>1330</v>
      </c>
      <c r="B797" s="23" t="s">
        <v>1329</v>
      </c>
      <c r="C797" t="s">
        <v>805</v>
      </c>
      <c r="D797" t="s">
        <v>17</v>
      </c>
      <c r="E797" t="s">
        <v>124</v>
      </c>
      <c r="F797" t="s">
        <v>37</v>
      </c>
      <c r="G797" t="s">
        <v>97</v>
      </c>
      <c r="H797" t="s">
        <v>21</v>
      </c>
      <c r="I797">
        <v>3</v>
      </c>
      <c r="J797" s="4">
        <v>1200</v>
      </c>
      <c r="K797" s="6">
        <v>0</v>
      </c>
      <c r="L797" s="8">
        <v>3600</v>
      </c>
      <c r="M797" s="8">
        <v>2160</v>
      </c>
      <c r="N797" s="8">
        <v>1440</v>
      </c>
      <c r="O797" s="8">
        <f>SalesData[[#This Row],[Quantity]]*SalesData[[#This Row],[Unit Price]]*(1-SalesData[[#This Row],[Discount]])</f>
        <v>3600</v>
      </c>
      <c r="P797" s="8">
        <f>SalesData[[#This Row],[Sales_Check]]-SalesData[[#This Row],[Cost]]</f>
        <v>1440</v>
      </c>
      <c r="Q797" s="13">
        <f>IFERROR(SalesData[[#This Row],[Profit]]/SalesData[[#This Row],[Sales]],0)</f>
        <v>0.4</v>
      </c>
      <c r="R797" t="str">
        <f>TEXT(SalesData[[#This Row],[Order Date]],"mmm-yyyy")</f>
        <v>Jun-2026</v>
      </c>
      <c r="S797">
        <f>YEAR(SalesData[[#This Row],[Order Date]])</f>
        <v>2026</v>
      </c>
      <c r="T797" t="str">
        <f>IF(SalesData[[#This Row],[Profit Margin]]&gt;=30%,"High",IF(SalesData[[#This Row],[Profit Margin]]&gt;=15%,"Medium","Low"))</f>
        <v>High</v>
      </c>
    </row>
    <row r="798" spans="1:20" x14ac:dyDescent="0.35">
      <c r="A798" t="s">
        <v>1331</v>
      </c>
      <c r="B798" s="23" t="s">
        <v>1329</v>
      </c>
      <c r="C798" t="s">
        <v>736</v>
      </c>
      <c r="D798" t="s">
        <v>17</v>
      </c>
      <c r="E798" t="s">
        <v>65</v>
      </c>
      <c r="F798" t="s">
        <v>45</v>
      </c>
      <c r="G798" t="s">
        <v>70</v>
      </c>
      <c r="H798" t="s">
        <v>21</v>
      </c>
      <c r="I798">
        <v>2</v>
      </c>
      <c r="J798" s="4">
        <v>2200</v>
      </c>
      <c r="K798" s="6">
        <v>0</v>
      </c>
      <c r="L798" s="8">
        <v>4400</v>
      </c>
      <c r="M798" s="8">
        <v>2800</v>
      </c>
      <c r="N798" s="8">
        <v>1600</v>
      </c>
      <c r="O798" s="8">
        <f>SalesData[[#This Row],[Quantity]]*SalesData[[#This Row],[Unit Price]]*(1-SalesData[[#This Row],[Discount]])</f>
        <v>4400</v>
      </c>
      <c r="P798" s="8">
        <f>SalesData[[#This Row],[Sales_Check]]-SalesData[[#This Row],[Cost]]</f>
        <v>1600</v>
      </c>
      <c r="Q798" s="13">
        <f>IFERROR(SalesData[[#This Row],[Profit]]/SalesData[[#This Row],[Sales]],0)</f>
        <v>0.36363636363636365</v>
      </c>
      <c r="R798" t="str">
        <f>TEXT(SalesData[[#This Row],[Order Date]],"mmm-yyyy")</f>
        <v>Jun-2026</v>
      </c>
      <c r="S798">
        <f>YEAR(SalesData[[#This Row],[Order Date]])</f>
        <v>2026</v>
      </c>
      <c r="T798" t="str">
        <f>IF(SalesData[[#This Row],[Profit Margin]]&gt;=30%,"High",IF(SalesData[[#This Row],[Profit Margin]]&gt;=15%,"Medium","Low"))</f>
        <v>High</v>
      </c>
    </row>
    <row r="799" spans="1:20" x14ac:dyDescent="0.35">
      <c r="A799" t="s">
        <v>1332</v>
      </c>
      <c r="B799" s="23" t="s">
        <v>1333</v>
      </c>
      <c r="C799" t="s">
        <v>407</v>
      </c>
      <c r="D799" t="s">
        <v>25</v>
      </c>
      <c r="E799" t="s">
        <v>26</v>
      </c>
      <c r="F799" t="s">
        <v>27</v>
      </c>
      <c r="G799" t="s">
        <v>51</v>
      </c>
      <c r="H799" t="s">
        <v>33</v>
      </c>
      <c r="I799">
        <v>4</v>
      </c>
      <c r="J799" s="4">
        <v>600</v>
      </c>
      <c r="K799" s="6">
        <v>0.1</v>
      </c>
      <c r="L799" s="8">
        <v>2160</v>
      </c>
      <c r="M799" s="8">
        <v>1320</v>
      </c>
      <c r="N799" s="8">
        <v>840</v>
      </c>
      <c r="O799" s="8">
        <f>SalesData[[#This Row],[Quantity]]*SalesData[[#This Row],[Unit Price]]*(1-SalesData[[#This Row],[Discount]])</f>
        <v>2160</v>
      </c>
      <c r="P799" s="8">
        <f>SalesData[[#This Row],[Sales_Check]]-SalesData[[#This Row],[Cost]]</f>
        <v>840</v>
      </c>
      <c r="Q799" s="13">
        <f>IFERROR(SalesData[[#This Row],[Profit]]/SalesData[[#This Row],[Sales]],0)</f>
        <v>0.3888888888888889</v>
      </c>
      <c r="R799" t="str">
        <f>TEXT(SalesData[[#This Row],[Order Date]],"mmm-yyyy")</f>
        <v>Jun-2026</v>
      </c>
      <c r="S799">
        <f>YEAR(SalesData[[#This Row],[Order Date]])</f>
        <v>2026</v>
      </c>
      <c r="T799" t="str">
        <f>IF(SalesData[[#This Row],[Profit Margin]]&gt;=30%,"High",IF(SalesData[[#This Row],[Profit Margin]]&gt;=15%,"Medium","Low"))</f>
        <v>High</v>
      </c>
    </row>
    <row r="800" spans="1:20" x14ac:dyDescent="0.35">
      <c r="A800" t="s">
        <v>1334</v>
      </c>
      <c r="B800" s="23" t="s">
        <v>1333</v>
      </c>
      <c r="C800" t="s">
        <v>423</v>
      </c>
      <c r="D800" t="s">
        <v>17</v>
      </c>
      <c r="E800" t="s">
        <v>50</v>
      </c>
      <c r="F800" t="s">
        <v>37</v>
      </c>
      <c r="G800" t="s">
        <v>140</v>
      </c>
      <c r="H800" t="s">
        <v>125</v>
      </c>
      <c r="I800">
        <v>4</v>
      </c>
      <c r="J800" s="4">
        <v>650</v>
      </c>
      <c r="K800" s="6">
        <v>0</v>
      </c>
      <c r="L800" s="8">
        <v>2600</v>
      </c>
      <c r="M800" s="8">
        <v>1520</v>
      </c>
      <c r="N800" s="8">
        <v>1080</v>
      </c>
      <c r="O800" s="8">
        <f>SalesData[[#This Row],[Quantity]]*SalesData[[#This Row],[Unit Price]]*(1-SalesData[[#This Row],[Discount]])</f>
        <v>2600</v>
      </c>
      <c r="P800" s="8">
        <f>SalesData[[#This Row],[Sales_Check]]-SalesData[[#This Row],[Cost]]</f>
        <v>1080</v>
      </c>
      <c r="Q800" s="13">
        <f>IFERROR(SalesData[[#This Row],[Profit]]/SalesData[[#This Row],[Sales]],0)</f>
        <v>0.41538461538461541</v>
      </c>
      <c r="R800" t="str">
        <f>TEXT(SalesData[[#This Row],[Order Date]],"mmm-yyyy")</f>
        <v>Jun-2026</v>
      </c>
      <c r="S800">
        <f>YEAR(SalesData[[#This Row],[Order Date]])</f>
        <v>2026</v>
      </c>
      <c r="T800" t="str">
        <f>IF(SalesData[[#This Row],[Profit Margin]]&gt;=30%,"High",IF(SalesData[[#This Row],[Profit Margin]]&gt;=15%,"Medium","Low"))</f>
        <v>High</v>
      </c>
    </row>
    <row r="801" spans="1:20" x14ac:dyDescent="0.35">
      <c r="A801" t="s">
        <v>1335</v>
      </c>
      <c r="B801" s="23" t="s">
        <v>1333</v>
      </c>
      <c r="C801" t="s">
        <v>631</v>
      </c>
      <c r="D801" t="s">
        <v>25</v>
      </c>
      <c r="E801" t="s">
        <v>69</v>
      </c>
      <c r="F801" t="s">
        <v>37</v>
      </c>
      <c r="G801" t="s">
        <v>38</v>
      </c>
      <c r="H801" t="s">
        <v>39</v>
      </c>
      <c r="I801">
        <v>5</v>
      </c>
      <c r="J801" s="4">
        <v>350</v>
      </c>
      <c r="K801" s="6">
        <v>0</v>
      </c>
      <c r="L801" s="8">
        <v>1750</v>
      </c>
      <c r="M801" s="8">
        <v>900</v>
      </c>
      <c r="N801" s="8">
        <v>850</v>
      </c>
      <c r="O801" s="8">
        <f>SalesData[[#This Row],[Quantity]]*SalesData[[#This Row],[Unit Price]]*(1-SalesData[[#This Row],[Discount]])</f>
        <v>1750</v>
      </c>
      <c r="P801" s="8">
        <f>SalesData[[#This Row],[Sales_Check]]-SalesData[[#This Row],[Cost]]</f>
        <v>850</v>
      </c>
      <c r="Q801" s="13">
        <f>IFERROR(SalesData[[#This Row],[Profit]]/SalesData[[#This Row],[Sales]],0)</f>
        <v>0.48571428571428571</v>
      </c>
      <c r="R801" t="str">
        <f>TEXT(SalesData[[#This Row],[Order Date]],"mmm-yyyy")</f>
        <v>Jun-2026</v>
      </c>
      <c r="S801">
        <f>YEAR(SalesData[[#This Row],[Order Date]])</f>
        <v>2026</v>
      </c>
      <c r="T801" t="str">
        <f>IF(SalesData[[#This Row],[Profit Margin]]&gt;=30%,"High",IF(SalesData[[#This Row],[Profit Margin]]&gt;=15%,"Medium","Low"))</f>
        <v>High</v>
      </c>
    </row>
    <row r="802" spans="1:20" x14ac:dyDescent="0.35">
      <c r="A802" t="s">
        <v>1336</v>
      </c>
      <c r="B802" s="23" t="s">
        <v>1333</v>
      </c>
      <c r="C802" t="s">
        <v>494</v>
      </c>
      <c r="D802" t="s">
        <v>25</v>
      </c>
      <c r="E802" t="s">
        <v>36</v>
      </c>
      <c r="F802" t="s">
        <v>27</v>
      </c>
      <c r="G802" t="s">
        <v>28</v>
      </c>
      <c r="H802" t="s">
        <v>21</v>
      </c>
      <c r="I802">
        <v>2</v>
      </c>
      <c r="J802" s="4">
        <v>700</v>
      </c>
      <c r="K802" s="6">
        <v>0.05</v>
      </c>
      <c r="L802" s="8">
        <v>1330</v>
      </c>
      <c r="M802" s="8">
        <v>800</v>
      </c>
      <c r="N802" s="8">
        <v>530</v>
      </c>
      <c r="O802" s="8">
        <f>SalesData[[#This Row],[Quantity]]*SalesData[[#This Row],[Unit Price]]*(1-SalesData[[#This Row],[Discount]])</f>
        <v>1330</v>
      </c>
      <c r="P802" s="8">
        <f>SalesData[[#This Row],[Sales_Check]]-SalesData[[#This Row],[Cost]]</f>
        <v>530</v>
      </c>
      <c r="Q802" s="13">
        <f>IFERROR(SalesData[[#This Row],[Profit]]/SalesData[[#This Row],[Sales]],0)</f>
        <v>0.39849624060150374</v>
      </c>
      <c r="R802" t="str">
        <f>TEXT(SalesData[[#This Row],[Order Date]],"mmm-yyyy")</f>
        <v>Jun-2026</v>
      </c>
      <c r="S802">
        <f>YEAR(SalesData[[#This Row],[Order Date]])</f>
        <v>2026</v>
      </c>
      <c r="T802" t="str">
        <f>IF(SalesData[[#This Row],[Profit Margin]]&gt;=30%,"High",IF(SalesData[[#This Row],[Profit Margin]]&gt;=15%,"Medium","Low"))</f>
        <v>High</v>
      </c>
    </row>
    <row r="803" spans="1:20" x14ac:dyDescent="0.35">
      <c r="A803" t="s">
        <v>1337</v>
      </c>
      <c r="B803" s="23" t="s">
        <v>1333</v>
      </c>
      <c r="C803" t="s">
        <v>84</v>
      </c>
      <c r="D803" t="s">
        <v>25</v>
      </c>
      <c r="E803" t="s">
        <v>69</v>
      </c>
      <c r="F803" t="s">
        <v>45</v>
      </c>
      <c r="G803" t="s">
        <v>122</v>
      </c>
      <c r="H803" t="s">
        <v>21</v>
      </c>
      <c r="I803">
        <v>2</v>
      </c>
      <c r="J803" s="4">
        <v>350</v>
      </c>
      <c r="K803" s="6">
        <v>0</v>
      </c>
      <c r="L803" s="8">
        <v>700</v>
      </c>
      <c r="M803" s="8">
        <v>360</v>
      </c>
      <c r="N803" s="8">
        <v>340</v>
      </c>
      <c r="O803" s="8">
        <f>SalesData[[#This Row],[Quantity]]*SalesData[[#This Row],[Unit Price]]*(1-SalesData[[#This Row],[Discount]])</f>
        <v>700</v>
      </c>
      <c r="P803" s="8">
        <f>SalesData[[#This Row],[Sales_Check]]-SalesData[[#This Row],[Cost]]</f>
        <v>340</v>
      </c>
      <c r="Q803" s="13">
        <f>IFERROR(SalesData[[#This Row],[Profit]]/SalesData[[#This Row],[Sales]],0)</f>
        <v>0.48571428571428571</v>
      </c>
      <c r="R803" t="str">
        <f>TEXT(SalesData[[#This Row],[Order Date]],"mmm-yyyy")</f>
        <v>Jun-2026</v>
      </c>
      <c r="S803">
        <f>YEAR(SalesData[[#This Row],[Order Date]])</f>
        <v>2026</v>
      </c>
      <c r="T803" t="str">
        <f>IF(SalesData[[#This Row],[Profit Margin]]&gt;=30%,"High",IF(SalesData[[#This Row],[Profit Margin]]&gt;=15%,"Medium","Low"))</f>
        <v>High</v>
      </c>
    </row>
    <row r="804" spans="1:20" x14ac:dyDescent="0.35">
      <c r="A804" t="s">
        <v>1338</v>
      </c>
      <c r="B804" s="23" t="s">
        <v>1339</v>
      </c>
      <c r="C804" t="s">
        <v>112</v>
      </c>
      <c r="D804" t="s">
        <v>43</v>
      </c>
      <c r="E804" t="s">
        <v>169</v>
      </c>
      <c r="F804" t="s">
        <v>45</v>
      </c>
      <c r="G804" t="s">
        <v>122</v>
      </c>
      <c r="H804" t="s">
        <v>29</v>
      </c>
      <c r="I804">
        <v>3</v>
      </c>
      <c r="J804" s="4">
        <v>350</v>
      </c>
      <c r="K804" s="6">
        <v>0.05</v>
      </c>
      <c r="L804" s="8">
        <v>997.5</v>
      </c>
      <c r="M804" s="8">
        <v>510</v>
      </c>
      <c r="N804" s="8">
        <v>487.5</v>
      </c>
      <c r="O804" s="8">
        <f>SalesData[[#This Row],[Quantity]]*SalesData[[#This Row],[Unit Price]]*(1-SalesData[[#This Row],[Discount]])</f>
        <v>997.5</v>
      </c>
      <c r="P804" s="8">
        <f>SalesData[[#This Row],[Sales_Check]]-SalesData[[#This Row],[Cost]]</f>
        <v>487.5</v>
      </c>
      <c r="Q804" s="13">
        <f>IFERROR(SalesData[[#This Row],[Profit]]/SalesData[[#This Row],[Sales]],0)</f>
        <v>0.48872180451127817</v>
      </c>
      <c r="R804" t="str">
        <f>TEXT(SalesData[[#This Row],[Order Date]],"mmm-yyyy")</f>
        <v>Jun-2026</v>
      </c>
      <c r="S804">
        <f>YEAR(SalesData[[#This Row],[Order Date]])</f>
        <v>2026</v>
      </c>
      <c r="T804" t="str">
        <f>IF(SalesData[[#This Row],[Profit Margin]]&gt;=30%,"High",IF(SalesData[[#This Row],[Profit Margin]]&gt;=15%,"Medium","Low"))</f>
        <v>High</v>
      </c>
    </row>
    <row r="805" spans="1:20" x14ac:dyDescent="0.35">
      <c r="A805" t="s">
        <v>1340</v>
      </c>
      <c r="B805" s="23" t="s">
        <v>1339</v>
      </c>
      <c r="C805" t="s">
        <v>701</v>
      </c>
      <c r="D805" t="s">
        <v>54</v>
      </c>
      <c r="E805" t="s">
        <v>103</v>
      </c>
      <c r="F805" t="s">
        <v>27</v>
      </c>
      <c r="G805" t="s">
        <v>90</v>
      </c>
      <c r="H805" t="s">
        <v>21</v>
      </c>
      <c r="I805">
        <v>7</v>
      </c>
      <c r="J805" s="4">
        <v>150</v>
      </c>
      <c r="K805" s="6">
        <v>0</v>
      </c>
      <c r="L805" s="8">
        <v>1050</v>
      </c>
      <c r="M805" s="8">
        <v>525</v>
      </c>
      <c r="N805" s="8">
        <v>525</v>
      </c>
      <c r="O805" s="8">
        <f>SalesData[[#This Row],[Quantity]]*SalesData[[#This Row],[Unit Price]]*(1-SalesData[[#This Row],[Discount]])</f>
        <v>1050</v>
      </c>
      <c r="P805" s="8">
        <f>SalesData[[#This Row],[Sales_Check]]-SalesData[[#This Row],[Cost]]</f>
        <v>525</v>
      </c>
      <c r="Q805" s="13">
        <f>IFERROR(SalesData[[#This Row],[Profit]]/SalesData[[#This Row],[Sales]],0)</f>
        <v>0.5</v>
      </c>
      <c r="R805" t="str">
        <f>TEXT(SalesData[[#This Row],[Order Date]],"mmm-yyyy")</f>
        <v>Jun-2026</v>
      </c>
      <c r="S805">
        <f>YEAR(SalesData[[#This Row],[Order Date]])</f>
        <v>2026</v>
      </c>
      <c r="T805" t="str">
        <f>IF(SalesData[[#This Row],[Profit Margin]]&gt;=30%,"High",IF(SalesData[[#This Row],[Profit Margin]]&gt;=15%,"Medium","Low"))</f>
        <v>High</v>
      </c>
    </row>
    <row r="806" spans="1:20" x14ac:dyDescent="0.35">
      <c r="A806" t="s">
        <v>1341</v>
      </c>
      <c r="B806" s="23" t="s">
        <v>1342</v>
      </c>
      <c r="C806" t="s">
        <v>182</v>
      </c>
      <c r="D806" t="s">
        <v>17</v>
      </c>
      <c r="E806" t="s">
        <v>32</v>
      </c>
      <c r="F806" t="s">
        <v>27</v>
      </c>
      <c r="G806" t="s">
        <v>85</v>
      </c>
      <c r="H806" t="s">
        <v>33</v>
      </c>
      <c r="I806">
        <v>5</v>
      </c>
      <c r="J806" s="4">
        <v>1500</v>
      </c>
      <c r="K806" s="6">
        <v>0</v>
      </c>
      <c r="L806" s="8">
        <v>7500</v>
      </c>
      <c r="M806" s="8">
        <v>4500</v>
      </c>
      <c r="N806" s="8">
        <v>3000</v>
      </c>
      <c r="O806" s="8">
        <f>SalesData[[#This Row],[Quantity]]*SalesData[[#This Row],[Unit Price]]*(1-SalesData[[#This Row],[Discount]])</f>
        <v>7500</v>
      </c>
      <c r="P806" s="8">
        <f>SalesData[[#This Row],[Sales_Check]]-SalesData[[#This Row],[Cost]]</f>
        <v>3000</v>
      </c>
      <c r="Q806" s="13">
        <f>IFERROR(SalesData[[#This Row],[Profit]]/SalesData[[#This Row],[Sales]],0)</f>
        <v>0.4</v>
      </c>
      <c r="R806" t="str">
        <f>TEXT(SalesData[[#This Row],[Order Date]],"mmm-yyyy")</f>
        <v>Jun-2026</v>
      </c>
      <c r="S806">
        <f>YEAR(SalesData[[#This Row],[Order Date]])</f>
        <v>2026</v>
      </c>
      <c r="T806" t="str">
        <f>IF(SalesData[[#This Row],[Profit Margin]]&gt;=30%,"High",IF(SalesData[[#This Row],[Profit Margin]]&gt;=15%,"Medium","Low"))</f>
        <v>High</v>
      </c>
    </row>
    <row r="807" spans="1:20" x14ac:dyDescent="0.35">
      <c r="A807" t="s">
        <v>1343</v>
      </c>
      <c r="B807" s="23" t="s">
        <v>1344</v>
      </c>
      <c r="C807" t="s">
        <v>407</v>
      </c>
      <c r="D807" t="s">
        <v>54</v>
      </c>
      <c r="E807" t="s">
        <v>103</v>
      </c>
      <c r="F807" t="s">
        <v>37</v>
      </c>
      <c r="G807" t="s">
        <v>97</v>
      </c>
      <c r="H807" t="s">
        <v>29</v>
      </c>
      <c r="I807">
        <v>10</v>
      </c>
      <c r="J807" s="4">
        <v>150</v>
      </c>
      <c r="K807" s="6">
        <v>0</v>
      </c>
      <c r="L807" s="8">
        <v>1500</v>
      </c>
      <c r="M807" s="8">
        <v>750</v>
      </c>
      <c r="N807" s="8">
        <v>750</v>
      </c>
      <c r="O807" s="8">
        <f>SalesData[[#This Row],[Quantity]]*SalesData[[#This Row],[Unit Price]]*(1-SalesData[[#This Row],[Discount]])</f>
        <v>1500</v>
      </c>
      <c r="P807" s="8">
        <f>SalesData[[#This Row],[Sales_Check]]-SalesData[[#This Row],[Cost]]</f>
        <v>750</v>
      </c>
      <c r="Q807" s="13">
        <f>IFERROR(SalesData[[#This Row],[Profit]]/SalesData[[#This Row],[Sales]],0)</f>
        <v>0.5</v>
      </c>
      <c r="R807" t="str">
        <f>TEXT(SalesData[[#This Row],[Order Date]],"mmm-yyyy")</f>
        <v>Jun-2026</v>
      </c>
      <c r="S807">
        <f>YEAR(SalesData[[#This Row],[Order Date]])</f>
        <v>2026</v>
      </c>
      <c r="T807" t="str">
        <f>IF(SalesData[[#This Row],[Profit Margin]]&gt;=30%,"High",IF(SalesData[[#This Row],[Profit Margin]]&gt;=15%,"Medium","Low"))</f>
        <v>High</v>
      </c>
    </row>
    <row r="808" spans="1:20" x14ac:dyDescent="0.35">
      <c r="A808" t="s">
        <v>1345</v>
      </c>
      <c r="B808" s="23" t="s">
        <v>1344</v>
      </c>
      <c r="C808" t="s">
        <v>35</v>
      </c>
      <c r="D808" t="s">
        <v>25</v>
      </c>
      <c r="E808" t="s">
        <v>69</v>
      </c>
      <c r="F808" t="s">
        <v>37</v>
      </c>
      <c r="G808" t="s">
        <v>73</v>
      </c>
      <c r="H808" t="s">
        <v>29</v>
      </c>
      <c r="I808">
        <v>3</v>
      </c>
      <c r="J808" s="4">
        <v>350</v>
      </c>
      <c r="K808" s="6">
        <v>0.05</v>
      </c>
      <c r="L808" s="8">
        <v>997.5</v>
      </c>
      <c r="M808" s="8">
        <v>540</v>
      </c>
      <c r="N808" s="8">
        <v>457.5</v>
      </c>
      <c r="O808" s="8">
        <f>SalesData[[#This Row],[Quantity]]*SalesData[[#This Row],[Unit Price]]*(1-SalesData[[#This Row],[Discount]])</f>
        <v>997.5</v>
      </c>
      <c r="P808" s="8">
        <f>SalesData[[#This Row],[Sales_Check]]-SalesData[[#This Row],[Cost]]</f>
        <v>457.5</v>
      </c>
      <c r="Q808" s="13">
        <f>IFERROR(SalesData[[#This Row],[Profit]]/SalesData[[#This Row],[Sales]],0)</f>
        <v>0.45864661654135336</v>
      </c>
      <c r="R808" t="str">
        <f>TEXT(SalesData[[#This Row],[Order Date]],"mmm-yyyy")</f>
        <v>Jun-2026</v>
      </c>
      <c r="S808">
        <f>YEAR(SalesData[[#This Row],[Order Date]])</f>
        <v>2026</v>
      </c>
      <c r="T808" t="str">
        <f>IF(SalesData[[#This Row],[Profit Margin]]&gt;=30%,"High",IF(SalesData[[#This Row],[Profit Margin]]&gt;=15%,"Medium","Low"))</f>
        <v>High</v>
      </c>
    </row>
    <row r="809" spans="1:20" x14ac:dyDescent="0.35">
      <c r="A809" t="s">
        <v>1346</v>
      </c>
      <c r="B809" s="23" t="s">
        <v>1347</v>
      </c>
      <c r="C809" t="s">
        <v>68</v>
      </c>
      <c r="D809" t="s">
        <v>54</v>
      </c>
      <c r="E809" t="s">
        <v>103</v>
      </c>
      <c r="F809" t="s">
        <v>45</v>
      </c>
      <c r="G809" t="s">
        <v>104</v>
      </c>
      <c r="H809" t="s">
        <v>33</v>
      </c>
      <c r="I809">
        <v>4</v>
      </c>
      <c r="J809" s="4">
        <v>150</v>
      </c>
      <c r="K809" s="6">
        <v>0</v>
      </c>
      <c r="L809" s="8">
        <v>600</v>
      </c>
      <c r="M809" s="8">
        <v>300</v>
      </c>
      <c r="N809" s="8">
        <v>300</v>
      </c>
      <c r="O809" s="8">
        <f>SalesData[[#This Row],[Quantity]]*SalesData[[#This Row],[Unit Price]]*(1-SalesData[[#This Row],[Discount]])</f>
        <v>600</v>
      </c>
      <c r="P809" s="8">
        <f>SalesData[[#This Row],[Sales_Check]]-SalesData[[#This Row],[Cost]]</f>
        <v>300</v>
      </c>
      <c r="Q809" s="13">
        <f>IFERROR(SalesData[[#This Row],[Profit]]/SalesData[[#This Row],[Sales]],0)</f>
        <v>0.5</v>
      </c>
      <c r="R809" t="str">
        <f>TEXT(SalesData[[#This Row],[Order Date]],"mmm-yyyy")</f>
        <v>Jun-2026</v>
      </c>
      <c r="S809">
        <f>YEAR(SalesData[[#This Row],[Order Date]])</f>
        <v>2026</v>
      </c>
      <c r="T809" t="str">
        <f>IF(SalesData[[#This Row],[Profit Margin]]&gt;=30%,"High",IF(SalesData[[#This Row],[Profit Margin]]&gt;=15%,"Medium","Low"))</f>
        <v>High</v>
      </c>
    </row>
    <row r="810" spans="1:20" x14ac:dyDescent="0.35">
      <c r="A810" t="s">
        <v>1348</v>
      </c>
      <c r="B810" s="23" t="s">
        <v>1347</v>
      </c>
      <c r="C810" t="s">
        <v>352</v>
      </c>
      <c r="D810" t="s">
        <v>25</v>
      </c>
      <c r="E810" t="s">
        <v>80</v>
      </c>
      <c r="F810" t="s">
        <v>37</v>
      </c>
      <c r="G810" t="s">
        <v>38</v>
      </c>
      <c r="H810" t="s">
        <v>125</v>
      </c>
      <c r="I810">
        <v>2</v>
      </c>
      <c r="J810" s="4">
        <v>950</v>
      </c>
      <c r="K810" s="6">
        <v>0</v>
      </c>
      <c r="L810" s="8">
        <v>1900</v>
      </c>
      <c r="M810" s="8">
        <v>1120</v>
      </c>
      <c r="N810" s="8">
        <v>780</v>
      </c>
      <c r="O810" s="8">
        <f>SalesData[[#This Row],[Quantity]]*SalesData[[#This Row],[Unit Price]]*(1-SalesData[[#This Row],[Discount]])</f>
        <v>1900</v>
      </c>
      <c r="P810" s="8">
        <f>SalesData[[#This Row],[Sales_Check]]-SalesData[[#This Row],[Cost]]</f>
        <v>780</v>
      </c>
      <c r="Q810" s="13">
        <f>IFERROR(SalesData[[#This Row],[Profit]]/SalesData[[#This Row],[Sales]],0)</f>
        <v>0.41052631578947368</v>
      </c>
      <c r="R810" t="str">
        <f>TEXT(SalesData[[#This Row],[Order Date]],"mmm-yyyy")</f>
        <v>Jun-2026</v>
      </c>
      <c r="S810">
        <f>YEAR(SalesData[[#This Row],[Order Date]])</f>
        <v>2026</v>
      </c>
      <c r="T810" t="str">
        <f>IF(SalesData[[#This Row],[Profit Margin]]&gt;=30%,"High",IF(SalesData[[#This Row],[Profit Margin]]&gt;=15%,"Medium","Low"))</f>
        <v>High</v>
      </c>
    </row>
    <row r="811" spans="1:20" x14ac:dyDescent="0.35">
      <c r="A811" t="s">
        <v>1349</v>
      </c>
      <c r="B811" s="23" t="s">
        <v>1350</v>
      </c>
      <c r="C811" t="s">
        <v>1181</v>
      </c>
      <c r="D811" t="s">
        <v>43</v>
      </c>
      <c r="E811" t="s">
        <v>250</v>
      </c>
      <c r="F811" t="s">
        <v>27</v>
      </c>
      <c r="G811" t="s">
        <v>28</v>
      </c>
      <c r="H811" t="s">
        <v>39</v>
      </c>
      <c r="I811">
        <v>2</v>
      </c>
      <c r="J811" s="4">
        <v>900</v>
      </c>
      <c r="K811" s="6">
        <v>0.1</v>
      </c>
      <c r="L811" s="8">
        <v>1620</v>
      </c>
      <c r="M811" s="8">
        <v>1040</v>
      </c>
      <c r="N811" s="8">
        <v>580</v>
      </c>
      <c r="O811" s="8">
        <f>SalesData[[#This Row],[Quantity]]*SalesData[[#This Row],[Unit Price]]*(1-SalesData[[#This Row],[Discount]])</f>
        <v>1620</v>
      </c>
      <c r="P811" s="8">
        <f>SalesData[[#This Row],[Sales_Check]]-SalesData[[#This Row],[Cost]]</f>
        <v>580</v>
      </c>
      <c r="Q811" s="13">
        <f>IFERROR(SalesData[[#This Row],[Profit]]/SalesData[[#This Row],[Sales]],0)</f>
        <v>0.35802469135802467</v>
      </c>
      <c r="R811" t="str">
        <f>TEXT(SalesData[[#This Row],[Order Date]],"mmm-yyyy")</f>
        <v>Jun-2026</v>
      </c>
      <c r="S811">
        <f>YEAR(SalesData[[#This Row],[Order Date]])</f>
        <v>2026</v>
      </c>
      <c r="T811" t="str">
        <f>IF(SalesData[[#This Row],[Profit Margin]]&gt;=30%,"High",IF(SalesData[[#This Row],[Profit Margin]]&gt;=15%,"Medium","Low"))</f>
        <v>High</v>
      </c>
    </row>
    <row r="812" spans="1:20" x14ac:dyDescent="0.35">
      <c r="A812" t="s">
        <v>1351</v>
      </c>
      <c r="B812" s="23" t="s">
        <v>1350</v>
      </c>
      <c r="C812" t="s">
        <v>211</v>
      </c>
      <c r="D812" t="s">
        <v>43</v>
      </c>
      <c r="E812" t="s">
        <v>250</v>
      </c>
      <c r="F812" t="s">
        <v>45</v>
      </c>
      <c r="G812" t="s">
        <v>104</v>
      </c>
      <c r="H812" t="s">
        <v>21</v>
      </c>
      <c r="I812">
        <v>3</v>
      </c>
      <c r="J812" s="4">
        <v>900</v>
      </c>
      <c r="K812" s="6">
        <v>0.1</v>
      </c>
      <c r="L812" s="8">
        <v>2430</v>
      </c>
      <c r="M812" s="8">
        <v>1560</v>
      </c>
      <c r="N812" s="8">
        <v>870</v>
      </c>
      <c r="O812" s="8">
        <f>SalesData[[#This Row],[Quantity]]*SalesData[[#This Row],[Unit Price]]*(1-SalesData[[#This Row],[Discount]])</f>
        <v>2430</v>
      </c>
      <c r="P812" s="8">
        <f>SalesData[[#This Row],[Sales_Check]]-SalesData[[#This Row],[Cost]]</f>
        <v>870</v>
      </c>
      <c r="Q812" s="13">
        <f>IFERROR(SalesData[[#This Row],[Profit]]/SalesData[[#This Row],[Sales]],0)</f>
        <v>0.35802469135802467</v>
      </c>
      <c r="R812" t="str">
        <f>TEXT(SalesData[[#This Row],[Order Date]],"mmm-yyyy")</f>
        <v>Jun-2026</v>
      </c>
      <c r="S812">
        <f>YEAR(SalesData[[#This Row],[Order Date]])</f>
        <v>2026</v>
      </c>
      <c r="T812" t="str">
        <f>IF(SalesData[[#This Row],[Profit Margin]]&gt;=30%,"High",IF(SalesData[[#This Row],[Profit Margin]]&gt;=15%,"Medium","Low"))</f>
        <v>High</v>
      </c>
    </row>
    <row r="813" spans="1:20" x14ac:dyDescent="0.35">
      <c r="A813" t="s">
        <v>1352</v>
      </c>
      <c r="B813" s="23" t="s">
        <v>1353</v>
      </c>
      <c r="C813" t="s">
        <v>835</v>
      </c>
      <c r="D813" t="s">
        <v>43</v>
      </c>
      <c r="E813" t="s">
        <v>44</v>
      </c>
      <c r="F813" t="s">
        <v>27</v>
      </c>
      <c r="G813" t="s">
        <v>90</v>
      </c>
      <c r="H813" t="s">
        <v>33</v>
      </c>
      <c r="I813">
        <v>2</v>
      </c>
      <c r="J813" s="4">
        <v>2200</v>
      </c>
      <c r="K813" s="6">
        <v>0.05</v>
      </c>
      <c r="L813" s="8">
        <v>4180</v>
      </c>
      <c r="M813" s="8">
        <v>2900</v>
      </c>
      <c r="N813" s="8">
        <v>1280</v>
      </c>
      <c r="O813" s="8">
        <f>SalesData[[#This Row],[Quantity]]*SalesData[[#This Row],[Unit Price]]*(1-SalesData[[#This Row],[Discount]])</f>
        <v>4180</v>
      </c>
      <c r="P813" s="8">
        <f>SalesData[[#This Row],[Sales_Check]]-SalesData[[#This Row],[Cost]]</f>
        <v>1280</v>
      </c>
      <c r="Q813" s="13">
        <f>IFERROR(SalesData[[#This Row],[Profit]]/SalesData[[#This Row],[Sales]],0)</f>
        <v>0.30622009569377989</v>
      </c>
      <c r="R813" t="str">
        <f>TEXT(SalesData[[#This Row],[Order Date]],"mmm-yyyy")</f>
        <v>Jun-2026</v>
      </c>
      <c r="S813">
        <f>YEAR(SalesData[[#This Row],[Order Date]])</f>
        <v>2026</v>
      </c>
      <c r="T813" t="str">
        <f>IF(SalesData[[#This Row],[Profit Margin]]&gt;=30%,"High",IF(SalesData[[#This Row],[Profit Margin]]&gt;=15%,"Medium","Low"))</f>
        <v>High</v>
      </c>
    </row>
    <row r="814" spans="1:20" x14ac:dyDescent="0.35">
      <c r="A814" t="s">
        <v>1354</v>
      </c>
      <c r="B814" s="23" t="s">
        <v>1353</v>
      </c>
      <c r="C814" t="s">
        <v>691</v>
      </c>
      <c r="D814" t="s">
        <v>17</v>
      </c>
      <c r="E814" t="s">
        <v>65</v>
      </c>
      <c r="F814" t="s">
        <v>45</v>
      </c>
      <c r="G814" t="s">
        <v>46</v>
      </c>
      <c r="H814" t="s">
        <v>21</v>
      </c>
      <c r="I814">
        <v>8</v>
      </c>
      <c r="J814" s="4">
        <v>2200</v>
      </c>
      <c r="K814" s="6">
        <v>0</v>
      </c>
      <c r="L814" s="8">
        <v>17600</v>
      </c>
      <c r="M814" s="8">
        <v>11200</v>
      </c>
      <c r="N814" s="8">
        <v>6400</v>
      </c>
      <c r="O814" s="8">
        <f>SalesData[[#This Row],[Quantity]]*SalesData[[#This Row],[Unit Price]]*(1-SalesData[[#This Row],[Discount]])</f>
        <v>17600</v>
      </c>
      <c r="P814" s="8">
        <f>SalesData[[#This Row],[Sales_Check]]-SalesData[[#This Row],[Cost]]</f>
        <v>6400</v>
      </c>
      <c r="Q814" s="13">
        <f>IFERROR(SalesData[[#This Row],[Profit]]/SalesData[[#This Row],[Sales]],0)</f>
        <v>0.36363636363636365</v>
      </c>
      <c r="R814" t="str">
        <f>TEXT(SalesData[[#This Row],[Order Date]],"mmm-yyyy")</f>
        <v>Jun-2026</v>
      </c>
      <c r="S814">
        <f>YEAR(SalesData[[#This Row],[Order Date]])</f>
        <v>2026</v>
      </c>
      <c r="T814" t="str">
        <f>IF(SalesData[[#This Row],[Profit Margin]]&gt;=30%,"High",IF(SalesData[[#This Row],[Profit Margin]]&gt;=15%,"Medium","Low"))</f>
        <v>High</v>
      </c>
    </row>
    <row r="815" spans="1:20" x14ac:dyDescent="0.35">
      <c r="A815" t="s">
        <v>1355</v>
      </c>
      <c r="B815" s="23" t="s">
        <v>1356</v>
      </c>
      <c r="C815" t="s">
        <v>528</v>
      </c>
      <c r="D815" t="s">
        <v>54</v>
      </c>
      <c r="E815" t="s">
        <v>116</v>
      </c>
      <c r="F815" t="s">
        <v>45</v>
      </c>
      <c r="G815" t="s">
        <v>122</v>
      </c>
      <c r="H815" t="s">
        <v>21</v>
      </c>
      <c r="I815">
        <v>4</v>
      </c>
      <c r="J815" s="4">
        <v>450</v>
      </c>
      <c r="K815" s="6">
        <v>0</v>
      </c>
      <c r="L815" s="8">
        <v>1800</v>
      </c>
      <c r="M815" s="8">
        <v>1000</v>
      </c>
      <c r="N815" s="8">
        <v>800</v>
      </c>
      <c r="O815" s="8">
        <f>SalesData[[#This Row],[Quantity]]*SalesData[[#This Row],[Unit Price]]*(1-SalesData[[#This Row],[Discount]])</f>
        <v>1800</v>
      </c>
      <c r="P815" s="8">
        <f>SalesData[[#This Row],[Sales_Check]]-SalesData[[#This Row],[Cost]]</f>
        <v>800</v>
      </c>
      <c r="Q815" s="13">
        <f>IFERROR(SalesData[[#This Row],[Profit]]/SalesData[[#This Row],[Sales]],0)</f>
        <v>0.44444444444444442</v>
      </c>
      <c r="R815" t="str">
        <f>TEXT(SalesData[[#This Row],[Order Date]],"mmm-yyyy")</f>
        <v>Jun-2026</v>
      </c>
      <c r="S815">
        <f>YEAR(SalesData[[#This Row],[Order Date]])</f>
        <v>2026</v>
      </c>
      <c r="T815" t="str">
        <f>IF(SalesData[[#This Row],[Profit Margin]]&gt;=30%,"High",IF(SalesData[[#This Row],[Profit Margin]]&gt;=15%,"Medium","Low"))</f>
        <v>High</v>
      </c>
    </row>
    <row r="816" spans="1:20" x14ac:dyDescent="0.35">
      <c r="A816" t="s">
        <v>1357</v>
      </c>
      <c r="B816" s="23" t="s">
        <v>1356</v>
      </c>
      <c r="C816" t="s">
        <v>452</v>
      </c>
      <c r="D816" t="s">
        <v>25</v>
      </c>
      <c r="E816" t="s">
        <v>69</v>
      </c>
      <c r="F816" t="s">
        <v>37</v>
      </c>
      <c r="G816" t="s">
        <v>73</v>
      </c>
      <c r="H816" t="s">
        <v>39</v>
      </c>
      <c r="I816">
        <v>5</v>
      </c>
      <c r="J816" s="4">
        <v>350</v>
      </c>
      <c r="K816" s="6">
        <v>0</v>
      </c>
      <c r="L816" s="8">
        <v>1750</v>
      </c>
      <c r="M816" s="8">
        <v>900</v>
      </c>
      <c r="N816" s="8">
        <v>850</v>
      </c>
      <c r="O816" s="8">
        <f>SalesData[[#This Row],[Quantity]]*SalesData[[#This Row],[Unit Price]]*(1-SalesData[[#This Row],[Discount]])</f>
        <v>1750</v>
      </c>
      <c r="P816" s="8">
        <f>SalesData[[#This Row],[Sales_Check]]-SalesData[[#This Row],[Cost]]</f>
        <v>850</v>
      </c>
      <c r="Q816" s="13">
        <f>IFERROR(SalesData[[#This Row],[Profit]]/SalesData[[#This Row],[Sales]],0)</f>
        <v>0.48571428571428571</v>
      </c>
      <c r="R816" t="str">
        <f>TEXT(SalesData[[#This Row],[Order Date]],"mmm-yyyy")</f>
        <v>Jun-2026</v>
      </c>
      <c r="S816">
        <f>YEAR(SalesData[[#This Row],[Order Date]])</f>
        <v>2026</v>
      </c>
      <c r="T816" t="str">
        <f>IF(SalesData[[#This Row],[Profit Margin]]&gt;=30%,"High",IF(SalesData[[#This Row],[Profit Margin]]&gt;=15%,"Medium","Low"))</f>
        <v>High</v>
      </c>
    </row>
    <row r="817" spans="1:20" x14ac:dyDescent="0.35">
      <c r="A817" t="s">
        <v>1358</v>
      </c>
      <c r="B817" s="23" t="s">
        <v>1359</v>
      </c>
      <c r="C817" t="s">
        <v>1221</v>
      </c>
      <c r="D817" t="s">
        <v>25</v>
      </c>
      <c r="E817" t="s">
        <v>89</v>
      </c>
      <c r="F817" t="s">
        <v>27</v>
      </c>
      <c r="G817" t="s">
        <v>51</v>
      </c>
      <c r="H817" t="s">
        <v>47</v>
      </c>
      <c r="I817">
        <v>9</v>
      </c>
      <c r="J817" s="4">
        <v>550</v>
      </c>
      <c r="K817" s="6">
        <v>0</v>
      </c>
      <c r="L817" s="8">
        <v>4950</v>
      </c>
      <c r="M817" s="8">
        <v>2700</v>
      </c>
      <c r="N817" s="8">
        <v>2250</v>
      </c>
      <c r="O817" s="8">
        <f>SalesData[[#This Row],[Quantity]]*SalesData[[#This Row],[Unit Price]]*(1-SalesData[[#This Row],[Discount]])</f>
        <v>4950</v>
      </c>
      <c r="P817" s="8">
        <f>SalesData[[#This Row],[Sales_Check]]-SalesData[[#This Row],[Cost]]</f>
        <v>2250</v>
      </c>
      <c r="Q817" s="13">
        <f>IFERROR(SalesData[[#This Row],[Profit]]/SalesData[[#This Row],[Sales]],0)</f>
        <v>0.45454545454545453</v>
      </c>
      <c r="R817" t="str">
        <f>TEXT(SalesData[[#This Row],[Order Date]],"mmm-yyyy")</f>
        <v>Jun-2026</v>
      </c>
      <c r="S817">
        <f>YEAR(SalesData[[#This Row],[Order Date]])</f>
        <v>2026</v>
      </c>
      <c r="T817" t="str">
        <f>IF(SalesData[[#This Row],[Profit Margin]]&gt;=30%,"High",IF(SalesData[[#This Row],[Profit Margin]]&gt;=15%,"Medium","Low"))</f>
        <v>High</v>
      </c>
    </row>
    <row r="818" spans="1:20" x14ac:dyDescent="0.35">
      <c r="A818" t="s">
        <v>1360</v>
      </c>
      <c r="B818" s="23" t="s">
        <v>1359</v>
      </c>
      <c r="C818" t="s">
        <v>296</v>
      </c>
      <c r="D818" t="s">
        <v>17</v>
      </c>
      <c r="E818" t="s">
        <v>124</v>
      </c>
      <c r="F818" t="s">
        <v>45</v>
      </c>
      <c r="G818" t="s">
        <v>122</v>
      </c>
      <c r="H818" t="s">
        <v>21</v>
      </c>
      <c r="I818">
        <v>6</v>
      </c>
      <c r="J818" s="4">
        <v>1200</v>
      </c>
      <c r="K818" s="6">
        <v>0</v>
      </c>
      <c r="L818" s="8">
        <v>7200</v>
      </c>
      <c r="M818" s="8">
        <v>4320</v>
      </c>
      <c r="N818" s="8">
        <v>2880</v>
      </c>
      <c r="O818" s="8">
        <f>SalesData[[#This Row],[Quantity]]*SalesData[[#This Row],[Unit Price]]*(1-SalesData[[#This Row],[Discount]])</f>
        <v>7200</v>
      </c>
      <c r="P818" s="8">
        <f>SalesData[[#This Row],[Sales_Check]]-SalesData[[#This Row],[Cost]]</f>
        <v>2880</v>
      </c>
      <c r="Q818" s="13">
        <f>IFERROR(SalesData[[#This Row],[Profit]]/SalesData[[#This Row],[Sales]],0)</f>
        <v>0.4</v>
      </c>
      <c r="R818" t="str">
        <f>TEXT(SalesData[[#This Row],[Order Date]],"mmm-yyyy")</f>
        <v>Jun-2026</v>
      </c>
      <c r="S818">
        <f>YEAR(SalesData[[#This Row],[Order Date]])</f>
        <v>2026</v>
      </c>
      <c r="T818" t="str">
        <f>IF(SalesData[[#This Row],[Profit Margin]]&gt;=30%,"High",IF(SalesData[[#This Row],[Profit Margin]]&gt;=15%,"Medium","Low"))</f>
        <v>High</v>
      </c>
    </row>
    <row r="819" spans="1:20" x14ac:dyDescent="0.35">
      <c r="A819" t="s">
        <v>1361</v>
      </c>
      <c r="B819" s="23" t="s">
        <v>1359</v>
      </c>
      <c r="C819" t="s">
        <v>543</v>
      </c>
      <c r="D819" t="s">
        <v>17</v>
      </c>
      <c r="E819" t="s">
        <v>65</v>
      </c>
      <c r="F819" t="s">
        <v>45</v>
      </c>
      <c r="G819" t="s">
        <v>46</v>
      </c>
      <c r="H819" t="s">
        <v>21</v>
      </c>
      <c r="I819">
        <v>2</v>
      </c>
      <c r="J819" s="4">
        <v>2200</v>
      </c>
      <c r="K819" s="6">
        <v>0.05</v>
      </c>
      <c r="L819" s="8">
        <v>4180</v>
      </c>
      <c r="M819" s="8">
        <v>2800</v>
      </c>
      <c r="N819" s="8">
        <v>1380</v>
      </c>
      <c r="O819" s="8">
        <f>SalesData[[#This Row],[Quantity]]*SalesData[[#This Row],[Unit Price]]*(1-SalesData[[#This Row],[Discount]])</f>
        <v>4180</v>
      </c>
      <c r="P819" s="8">
        <f>SalesData[[#This Row],[Sales_Check]]-SalesData[[#This Row],[Cost]]</f>
        <v>1380</v>
      </c>
      <c r="Q819" s="13">
        <f>IFERROR(SalesData[[#This Row],[Profit]]/SalesData[[#This Row],[Sales]],0)</f>
        <v>0.33014354066985646</v>
      </c>
      <c r="R819" t="str">
        <f>TEXT(SalesData[[#This Row],[Order Date]],"mmm-yyyy")</f>
        <v>Jun-2026</v>
      </c>
      <c r="S819">
        <f>YEAR(SalesData[[#This Row],[Order Date]])</f>
        <v>2026</v>
      </c>
      <c r="T819" t="str">
        <f>IF(SalesData[[#This Row],[Profit Margin]]&gt;=30%,"High",IF(SalesData[[#This Row],[Profit Margin]]&gt;=15%,"Medium","Low"))</f>
        <v>High</v>
      </c>
    </row>
    <row r="820" spans="1:20" x14ac:dyDescent="0.35">
      <c r="A820" t="s">
        <v>1362</v>
      </c>
      <c r="B820" s="23" t="s">
        <v>1363</v>
      </c>
      <c r="C820" t="s">
        <v>99</v>
      </c>
      <c r="D820" t="s">
        <v>43</v>
      </c>
      <c r="E820" t="s">
        <v>143</v>
      </c>
      <c r="F820" t="s">
        <v>37</v>
      </c>
      <c r="G820" t="s">
        <v>38</v>
      </c>
      <c r="H820" t="s">
        <v>39</v>
      </c>
      <c r="I820">
        <v>7</v>
      </c>
      <c r="J820" s="4">
        <v>650</v>
      </c>
      <c r="K820" s="6">
        <v>0.05</v>
      </c>
      <c r="L820" s="8">
        <v>4322.5</v>
      </c>
      <c r="M820" s="8">
        <v>2450</v>
      </c>
      <c r="N820" s="8">
        <v>1872.5</v>
      </c>
      <c r="O820" s="8">
        <f>SalesData[[#This Row],[Quantity]]*SalesData[[#This Row],[Unit Price]]*(1-SalesData[[#This Row],[Discount]])</f>
        <v>4322.5</v>
      </c>
      <c r="P820" s="8">
        <f>SalesData[[#This Row],[Sales_Check]]-SalesData[[#This Row],[Cost]]</f>
        <v>1872.5</v>
      </c>
      <c r="Q820" s="13">
        <f>IFERROR(SalesData[[#This Row],[Profit]]/SalesData[[#This Row],[Sales]],0)</f>
        <v>0.4331983805668016</v>
      </c>
      <c r="R820" t="str">
        <f>TEXT(SalesData[[#This Row],[Order Date]],"mmm-yyyy")</f>
        <v>Jun-2026</v>
      </c>
      <c r="S820">
        <f>YEAR(SalesData[[#This Row],[Order Date]])</f>
        <v>2026</v>
      </c>
      <c r="T820" t="str">
        <f>IF(SalesData[[#This Row],[Profit Margin]]&gt;=30%,"High",IF(SalesData[[#This Row],[Profit Margin]]&gt;=15%,"Medium","Low"))</f>
        <v>High</v>
      </c>
    </row>
    <row r="821" spans="1:20" x14ac:dyDescent="0.35">
      <c r="A821" t="s">
        <v>1364</v>
      </c>
      <c r="B821" s="23" t="s">
        <v>1363</v>
      </c>
      <c r="C821" t="s">
        <v>217</v>
      </c>
      <c r="D821" t="s">
        <v>25</v>
      </c>
      <c r="E821" t="s">
        <v>89</v>
      </c>
      <c r="F821" t="s">
        <v>37</v>
      </c>
      <c r="G821" t="s">
        <v>97</v>
      </c>
      <c r="H821" t="s">
        <v>33</v>
      </c>
      <c r="I821">
        <v>4</v>
      </c>
      <c r="J821" s="4">
        <v>550</v>
      </c>
      <c r="K821" s="6">
        <v>0</v>
      </c>
      <c r="L821" s="8">
        <v>2200</v>
      </c>
      <c r="M821" s="8">
        <v>1200</v>
      </c>
      <c r="N821" s="8">
        <v>1000</v>
      </c>
      <c r="O821" s="8">
        <f>SalesData[[#This Row],[Quantity]]*SalesData[[#This Row],[Unit Price]]*(1-SalesData[[#This Row],[Discount]])</f>
        <v>2200</v>
      </c>
      <c r="P821" s="8">
        <f>SalesData[[#This Row],[Sales_Check]]-SalesData[[#This Row],[Cost]]</f>
        <v>1000</v>
      </c>
      <c r="Q821" s="13">
        <f>IFERROR(SalesData[[#This Row],[Profit]]/SalesData[[#This Row],[Sales]],0)</f>
        <v>0.45454545454545453</v>
      </c>
      <c r="R821" t="str">
        <f>TEXT(SalesData[[#This Row],[Order Date]],"mmm-yyyy")</f>
        <v>Jun-2026</v>
      </c>
      <c r="S821">
        <f>YEAR(SalesData[[#This Row],[Order Date]])</f>
        <v>2026</v>
      </c>
      <c r="T821" t="str">
        <f>IF(SalesData[[#This Row],[Profit Margin]]&gt;=30%,"High",IF(SalesData[[#This Row],[Profit Margin]]&gt;=15%,"Medium","Low"))</f>
        <v>High</v>
      </c>
    </row>
    <row r="822" spans="1:20" x14ac:dyDescent="0.35">
      <c r="A822" t="s">
        <v>1365</v>
      </c>
      <c r="B822" s="23" t="s">
        <v>1366</v>
      </c>
      <c r="C822" t="s">
        <v>264</v>
      </c>
      <c r="D822" t="s">
        <v>43</v>
      </c>
      <c r="E822" t="s">
        <v>250</v>
      </c>
      <c r="F822" t="s">
        <v>37</v>
      </c>
      <c r="G822" t="s">
        <v>97</v>
      </c>
      <c r="H822" t="s">
        <v>29</v>
      </c>
      <c r="I822">
        <v>10</v>
      </c>
      <c r="J822" s="4">
        <v>900</v>
      </c>
      <c r="K822" s="6">
        <v>0.05</v>
      </c>
      <c r="L822" s="8">
        <v>8550</v>
      </c>
      <c r="M822" s="8">
        <v>5200</v>
      </c>
      <c r="N822" s="8">
        <v>3350</v>
      </c>
      <c r="O822" s="8">
        <f>SalesData[[#This Row],[Quantity]]*SalesData[[#This Row],[Unit Price]]*(1-SalesData[[#This Row],[Discount]])</f>
        <v>8550</v>
      </c>
      <c r="P822" s="8">
        <f>SalesData[[#This Row],[Sales_Check]]-SalesData[[#This Row],[Cost]]</f>
        <v>3350</v>
      </c>
      <c r="Q822" s="13">
        <f>IFERROR(SalesData[[#This Row],[Profit]]/SalesData[[#This Row],[Sales]],0)</f>
        <v>0.391812865497076</v>
      </c>
      <c r="R822" t="str">
        <f>TEXT(SalesData[[#This Row],[Order Date]],"mmm-yyyy")</f>
        <v>Jun-2026</v>
      </c>
      <c r="S822">
        <f>YEAR(SalesData[[#This Row],[Order Date]])</f>
        <v>2026</v>
      </c>
      <c r="T822" t="str">
        <f>IF(SalesData[[#This Row],[Profit Margin]]&gt;=30%,"High",IF(SalesData[[#This Row],[Profit Margin]]&gt;=15%,"Medium","Low"))</f>
        <v>High</v>
      </c>
    </row>
    <row r="823" spans="1:20" x14ac:dyDescent="0.35">
      <c r="A823" t="s">
        <v>1367</v>
      </c>
      <c r="B823" s="23" t="s">
        <v>1368</v>
      </c>
      <c r="C823" t="s">
        <v>145</v>
      </c>
      <c r="D823" t="s">
        <v>54</v>
      </c>
      <c r="E823" t="s">
        <v>116</v>
      </c>
      <c r="F823" t="s">
        <v>27</v>
      </c>
      <c r="G823" t="s">
        <v>90</v>
      </c>
      <c r="H823" t="s">
        <v>29</v>
      </c>
      <c r="I823">
        <v>5</v>
      </c>
      <c r="J823" s="4">
        <v>450</v>
      </c>
      <c r="K823" s="6">
        <v>0.1</v>
      </c>
      <c r="L823" s="8">
        <v>2025</v>
      </c>
      <c r="M823" s="8">
        <v>1250</v>
      </c>
      <c r="N823" s="8">
        <v>775</v>
      </c>
      <c r="O823" s="8">
        <f>SalesData[[#This Row],[Quantity]]*SalesData[[#This Row],[Unit Price]]*(1-SalesData[[#This Row],[Discount]])</f>
        <v>2025</v>
      </c>
      <c r="P823" s="8">
        <f>SalesData[[#This Row],[Sales_Check]]-SalesData[[#This Row],[Cost]]</f>
        <v>775</v>
      </c>
      <c r="Q823" s="13">
        <f>IFERROR(SalesData[[#This Row],[Profit]]/SalesData[[#This Row],[Sales]],0)</f>
        <v>0.38271604938271603</v>
      </c>
      <c r="R823" t="str">
        <f>TEXT(SalesData[[#This Row],[Order Date]],"mmm-yyyy")</f>
        <v>Jul-2026</v>
      </c>
      <c r="S823">
        <f>YEAR(SalesData[[#This Row],[Order Date]])</f>
        <v>2026</v>
      </c>
      <c r="T823" t="str">
        <f>IF(SalesData[[#This Row],[Profit Margin]]&gt;=30%,"High",IF(SalesData[[#This Row],[Profit Margin]]&gt;=15%,"Medium","Low"))</f>
        <v>High</v>
      </c>
    </row>
    <row r="824" spans="1:20" x14ac:dyDescent="0.35">
      <c r="A824" t="s">
        <v>1369</v>
      </c>
      <c r="B824" s="23" t="s">
        <v>1370</v>
      </c>
      <c r="C824" t="s">
        <v>662</v>
      </c>
      <c r="D824" t="s">
        <v>43</v>
      </c>
      <c r="E824" t="s">
        <v>44</v>
      </c>
      <c r="F824" t="s">
        <v>19</v>
      </c>
      <c r="G824" t="s">
        <v>20</v>
      </c>
      <c r="H824" t="s">
        <v>33</v>
      </c>
      <c r="I824">
        <v>1</v>
      </c>
      <c r="J824" s="4">
        <v>2200</v>
      </c>
      <c r="K824" s="6">
        <v>0.1</v>
      </c>
      <c r="L824" s="8">
        <v>1980</v>
      </c>
      <c r="M824" s="8">
        <v>1450</v>
      </c>
      <c r="N824" s="8">
        <v>530</v>
      </c>
      <c r="O824" s="8">
        <f>SalesData[[#This Row],[Quantity]]*SalesData[[#This Row],[Unit Price]]*(1-SalesData[[#This Row],[Discount]])</f>
        <v>1980</v>
      </c>
      <c r="P824" s="8">
        <f>SalesData[[#This Row],[Sales_Check]]-SalesData[[#This Row],[Cost]]</f>
        <v>530</v>
      </c>
      <c r="Q824" s="13">
        <f>IFERROR(SalesData[[#This Row],[Profit]]/SalesData[[#This Row],[Sales]],0)</f>
        <v>0.26767676767676768</v>
      </c>
      <c r="R824" t="str">
        <f>TEXT(SalesData[[#This Row],[Order Date]],"mmm-yyyy")</f>
        <v>Jul-2026</v>
      </c>
      <c r="S824">
        <f>YEAR(SalesData[[#This Row],[Order Date]])</f>
        <v>2026</v>
      </c>
      <c r="T824" t="str">
        <f>IF(SalesData[[#This Row],[Profit Margin]]&gt;=30%,"High",IF(SalesData[[#This Row],[Profit Margin]]&gt;=15%,"Medium","Low"))</f>
        <v>Medium</v>
      </c>
    </row>
    <row r="825" spans="1:20" x14ac:dyDescent="0.35">
      <c r="A825" t="s">
        <v>1371</v>
      </c>
      <c r="B825" s="23" t="s">
        <v>1370</v>
      </c>
      <c r="C825" t="s">
        <v>643</v>
      </c>
      <c r="D825" t="s">
        <v>25</v>
      </c>
      <c r="E825" t="s">
        <v>89</v>
      </c>
      <c r="F825" t="s">
        <v>27</v>
      </c>
      <c r="G825" t="s">
        <v>28</v>
      </c>
      <c r="H825" t="s">
        <v>29</v>
      </c>
      <c r="I825">
        <v>4</v>
      </c>
      <c r="J825" s="4">
        <v>550</v>
      </c>
      <c r="K825" s="6">
        <v>0</v>
      </c>
      <c r="L825" s="8">
        <v>2200</v>
      </c>
      <c r="M825" s="8">
        <v>1200</v>
      </c>
      <c r="N825" s="8">
        <v>1000</v>
      </c>
      <c r="O825" s="8">
        <f>SalesData[[#This Row],[Quantity]]*SalesData[[#This Row],[Unit Price]]*(1-SalesData[[#This Row],[Discount]])</f>
        <v>2200</v>
      </c>
      <c r="P825" s="8">
        <f>SalesData[[#This Row],[Sales_Check]]-SalesData[[#This Row],[Cost]]</f>
        <v>1000</v>
      </c>
      <c r="Q825" s="13">
        <f>IFERROR(SalesData[[#This Row],[Profit]]/SalesData[[#This Row],[Sales]],0)</f>
        <v>0.45454545454545453</v>
      </c>
      <c r="R825" t="str">
        <f>TEXT(SalesData[[#This Row],[Order Date]],"mmm-yyyy")</f>
        <v>Jul-2026</v>
      </c>
      <c r="S825">
        <f>YEAR(SalesData[[#This Row],[Order Date]])</f>
        <v>2026</v>
      </c>
      <c r="T825" t="str">
        <f>IF(SalesData[[#This Row],[Profit Margin]]&gt;=30%,"High",IF(SalesData[[#This Row],[Profit Margin]]&gt;=15%,"Medium","Low"))</f>
        <v>High</v>
      </c>
    </row>
    <row r="826" spans="1:20" x14ac:dyDescent="0.35">
      <c r="A826" t="s">
        <v>1372</v>
      </c>
      <c r="B826" s="23" t="s">
        <v>1370</v>
      </c>
      <c r="C826" t="s">
        <v>309</v>
      </c>
      <c r="D826" t="s">
        <v>43</v>
      </c>
      <c r="E826" t="s">
        <v>62</v>
      </c>
      <c r="F826" t="s">
        <v>27</v>
      </c>
      <c r="G826" t="s">
        <v>51</v>
      </c>
      <c r="H826" t="s">
        <v>29</v>
      </c>
      <c r="I826">
        <v>4</v>
      </c>
      <c r="J826" s="4">
        <v>500</v>
      </c>
      <c r="K826" s="6">
        <v>0.1</v>
      </c>
      <c r="L826" s="8">
        <v>1800</v>
      </c>
      <c r="M826" s="8">
        <v>1120</v>
      </c>
      <c r="N826" s="8">
        <v>680</v>
      </c>
      <c r="O826" s="8">
        <f>SalesData[[#This Row],[Quantity]]*SalesData[[#This Row],[Unit Price]]*(1-SalesData[[#This Row],[Discount]])</f>
        <v>1800</v>
      </c>
      <c r="P826" s="8">
        <f>SalesData[[#This Row],[Sales_Check]]-SalesData[[#This Row],[Cost]]</f>
        <v>680</v>
      </c>
      <c r="Q826" s="13">
        <f>IFERROR(SalesData[[#This Row],[Profit]]/SalesData[[#This Row],[Sales]],0)</f>
        <v>0.37777777777777777</v>
      </c>
      <c r="R826" t="str">
        <f>TEXT(SalesData[[#This Row],[Order Date]],"mmm-yyyy")</f>
        <v>Jul-2026</v>
      </c>
      <c r="S826">
        <f>YEAR(SalesData[[#This Row],[Order Date]])</f>
        <v>2026</v>
      </c>
      <c r="T826" t="str">
        <f>IF(SalesData[[#This Row],[Profit Margin]]&gt;=30%,"High",IF(SalesData[[#This Row],[Profit Margin]]&gt;=15%,"Medium","Low"))</f>
        <v>High</v>
      </c>
    </row>
    <row r="827" spans="1:20" x14ac:dyDescent="0.35">
      <c r="A827" t="s">
        <v>1373</v>
      </c>
      <c r="B827" s="23" t="s">
        <v>1374</v>
      </c>
      <c r="C827" t="s">
        <v>711</v>
      </c>
      <c r="D827" t="s">
        <v>25</v>
      </c>
      <c r="E827" t="s">
        <v>26</v>
      </c>
      <c r="F827" t="s">
        <v>27</v>
      </c>
      <c r="G827" t="s">
        <v>90</v>
      </c>
      <c r="H827" t="s">
        <v>39</v>
      </c>
      <c r="I827">
        <v>10</v>
      </c>
      <c r="J827" s="4">
        <v>600</v>
      </c>
      <c r="K827" s="6">
        <v>0</v>
      </c>
      <c r="L827" s="8">
        <v>6000</v>
      </c>
      <c r="M827" s="8">
        <v>3300</v>
      </c>
      <c r="N827" s="8">
        <v>2700</v>
      </c>
      <c r="O827" s="8">
        <f>SalesData[[#This Row],[Quantity]]*SalesData[[#This Row],[Unit Price]]*(1-SalesData[[#This Row],[Discount]])</f>
        <v>6000</v>
      </c>
      <c r="P827" s="8">
        <f>SalesData[[#This Row],[Sales_Check]]-SalesData[[#This Row],[Cost]]</f>
        <v>2700</v>
      </c>
      <c r="Q827" s="13">
        <f>IFERROR(SalesData[[#This Row],[Profit]]/SalesData[[#This Row],[Sales]],0)</f>
        <v>0.45</v>
      </c>
      <c r="R827" t="str">
        <f>TEXT(SalesData[[#This Row],[Order Date]],"mmm-yyyy")</f>
        <v>Jul-2026</v>
      </c>
      <c r="S827">
        <f>YEAR(SalesData[[#This Row],[Order Date]])</f>
        <v>2026</v>
      </c>
      <c r="T827" t="str">
        <f>IF(SalesData[[#This Row],[Profit Margin]]&gt;=30%,"High",IF(SalesData[[#This Row],[Profit Margin]]&gt;=15%,"Medium","Low"))</f>
        <v>High</v>
      </c>
    </row>
    <row r="828" spans="1:20" x14ac:dyDescent="0.35">
      <c r="A828" t="s">
        <v>1375</v>
      </c>
      <c r="B828" s="23" t="s">
        <v>1374</v>
      </c>
      <c r="C828" t="s">
        <v>367</v>
      </c>
      <c r="D828" t="s">
        <v>43</v>
      </c>
      <c r="E828" t="s">
        <v>250</v>
      </c>
      <c r="F828" t="s">
        <v>45</v>
      </c>
      <c r="G828" t="s">
        <v>46</v>
      </c>
      <c r="H828" t="s">
        <v>47</v>
      </c>
      <c r="I828">
        <v>9</v>
      </c>
      <c r="J828" s="4">
        <v>900</v>
      </c>
      <c r="K828" s="6">
        <v>0.05</v>
      </c>
      <c r="L828" s="8">
        <v>7695</v>
      </c>
      <c r="M828" s="8">
        <v>4680</v>
      </c>
      <c r="N828" s="8">
        <v>3015</v>
      </c>
      <c r="O828" s="8">
        <f>SalesData[[#This Row],[Quantity]]*SalesData[[#This Row],[Unit Price]]*(1-SalesData[[#This Row],[Discount]])</f>
        <v>7695</v>
      </c>
      <c r="P828" s="8">
        <f>SalesData[[#This Row],[Sales_Check]]-SalesData[[#This Row],[Cost]]</f>
        <v>3015</v>
      </c>
      <c r="Q828" s="13">
        <f>IFERROR(SalesData[[#This Row],[Profit]]/SalesData[[#This Row],[Sales]],0)</f>
        <v>0.391812865497076</v>
      </c>
      <c r="R828" t="str">
        <f>TEXT(SalesData[[#This Row],[Order Date]],"mmm-yyyy")</f>
        <v>Jul-2026</v>
      </c>
      <c r="S828">
        <f>YEAR(SalesData[[#This Row],[Order Date]])</f>
        <v>2026</v>
      </c>
      <c r="T828" t="str">
        <f>IF(SalesData[[#This Row],[Profit Margin]]&gt;=30%,"High",IF(SalesData[[#This Row],[Profit Margin]]&gt;=15%,"Medium","Low"))</f>
        <v>High</v>
      </c>
    </row>
    <row r="829" spans="1:20" x14ac:dyDescent="0.35">
      <c r="A829" t="s">
        <v>1376</v>
      </c>
      <c r="B829" s="23" t="s">
        <v>1374</v>
      </c>
      <c r="C829" t="s">
        <v>264</v>
      </c>
      <c r="D829" t="s">
        <v>25</v>
      </c>
      <c r="E829" t="s">
        <v>89</v>
      </c>
      <c r="F829" t="s">
        <v>45</v>
      </c>
      <c r="G829" t="s">
        <v>122</v>
      </c>
      <c r="H829" t="s">
        <v>47</v>
      </c>
      <c r="I829">
        <v>8</v>
      </c>
      <c r="J829" s="4">
        <v>550</v>
      </c>
      <c r="K829" s="6">
        <v>0</v>
      </c>
      <c r="L829" s="8">
        <v>4400</v>
      </c>
      <c r="M829" s="8">
        <v>2400</v>
      </c>
      <c r="N829" s="8">
        <v>2000</v>
      </c>
      <c r="O829" s="8">
        <f>SalesData[[#This Row],[Quantity]]*SalesData[[#This Row],[Unit Price]]*(1-SalesData[[#This Row],[Discount]])</f>
        <v>4400</v>
      </c>
      <c r="P829" s="8">
        <f>SalesData[[#This Row],[Sales_Check]]-SalesData[[#This Row],[Cost]]</f>
        <v>2000</v>
      </c>
      <c r="Q829" s="13">
        <f>IFERROR(SalesData[[#This Row],[Profit]]/SalesData[[#This Row],[Sales]],0)</f>
        <v>0.45454545454545453</v>
      </c>
      <c r="R829" t="str">
        <f>TEXT(SalesData[[#This Row],[Order Date]],"mmm-yyyy")</f>
        <v>Jul-2026</v>
      </c>
      <c r="S829">
        <f>YEAR(SalesData[[#This Row],[Order Date]])</f>
        <v>2026</v>
      </c>
      <c r="T829" t="str">
        <f>IF(SalesData[[#This Row],[Profit Margin]]&gt;=30%,"High",IF(SalesData[[#This Row],[Profit Margin]]&gt;=15%,"Medium","Low"))</f>
        <v>High</v>
      </c>
    </row>
    <row r="830" spans="1:20" x14ac:dyDescent="0.35">
      <c r="A830" t="s">
        <v>1377</v>
      </c>
      <c r="B830" s="23" t="s">
        <v>1378</v>
      </c>
      <c r="C830" t="s">
        <v>662</v>
      </c>
      <c r="D830" t="s">
        <v>54</v>
      </c>
      <c r="E830" t="s">
        <v>110</v>
      </c>
      <c r="F830" t="s">
        <v>27</v>
      </c>
      <c r="G830" t="s">
        <v>51</v>
      </c>
      <c r="H830" t="s">
        <v>125</v>
      </c>
      <c r="I830">
        <v>3</v>
      </c>
      <c r="J830" s="4">
        <v>280</v>
      </c>
      <c r="K830" s="6">
        <v>0.05</v>
      </c>
      <c r="L830" s="8">
        <v>798</v>
      </c>
      <c r="M830" s="8">
        <v>450</v>
      </c>
      <c r="N830" s="8">
        <v>348</v>
      </c>
      <c r="O830" s="8">
        <f>SalesData[[#This Row],[Quantity]]*SalesData[[#This Row],[Unit Price]]*(1-SalesData[[#This Row],[Discount]])</f>
        <v>798</v>
      </c>
      <c r="P830" s="8">
        <f>SalesData[[#This Row],[Sales_Check]]-SalesData[[#This Row],[Cost]]</f>
        <v>348</v>
      </c>
      <c r="Q830" s="13">
        <f>IFERROR(SalesData[[#This Row],[Profit]]/SalesData[[#This Row],[Sales]],0)</f>
        <v>0.43609022556390975</v>
      </c>
      <c r="R830" t="str">
        <f>TEXT(SalesData[[#This Row],[Order Date]],"mmm-yyyy")</f>
        <v>Jul-2026</v>
      </c>
      <c r="S830">
        <f>YEAR(SalesData[[#This Row],[Order Date]])</f>
        <v>2026</v>
      </c>
      <c r="T830" t="str">
        <f>IF(SalesData[[#This Row],[Profit Margin]]&gt;=30%,"High",IF(SalesData[[#This Row],[Profit Margin]]&gt;=15%,"Medium","Low"))</f>
        <v>High</v>
      </c>
    </row>
    <row r="831" spans="1:20" x14ac:dyDescent="0.35">
      <c r="A831" t="s">
        <v>1379</v>
      </c>
      <c r="B831" s="23" t="s">
        <v>1378</v>
      </c>
      <c r="C831" t="s">
        <v>464</v>
      </c>
      <c r="D831" t="s">
        <v>43</v>
      </c>
      <c r="E831" t="s">
        <v>143</v>
      </c>
      <c r="F831" t="s">
        <v>45</v>
      </c>
      <c r="G831" t="s">
        <v>46</v>
      </c>
      <c r="H831" t="s">
        <v>47</v>
      </c>
      <c r="I831">
        <v>3</v>
      </c>
      <c r="J831" s="4">
        <v>650</v>
      </c>
      <c r="K831" s="6">
        <v>0.1</v>
      </c>
      <c r="L831" s="8">
        <v>1755</v>
      </c>
      <c r="M831" s="8">
        <v>1050</v>
      </c>
      <c r="N831" s="8">
        <v>705</v>
      </c>
      <c r="O831" s="8">
        <f>SalesData[[#This Row],[Quantity]]*SalesData[[#This Row],[Unit Price]]*(1-SalesData[[#This Row],[Discount]])</f>
        <v>1755</v>
      </c>
      <c r="P831" s="8">
        <f>SalesData[[#This Row],[Sales_Check]]-SalesData[[#This Row],[Cost]]</f>
        <v>705</v>
      </c>
      <c r="Q831" s="13">
        <f>IFERROR(SalesData[[#This Row],[Profit]]/SalesData[[#This Row],[Sales]],0)</f>
        <v>0.40170940170940173</v>
      </c>
      <c r="R831" t="str">
        <f>TEXT(SalesData[[#This Row],[Order Date]],"mmm-yyyy")</f>
        <v>Jul-2026</v>
      </c>
      <c r="S831">
        <f>YEAR(SalesData[[#This Row],[Order Date]])</f>
        <v>2026</v>
      </c>
      <c r="T831" t="str">
        <f>IF(SalesData[[#This Row],[Profit Margin]]&gt;=30%,"High",IF(SalesData[[#This Row],[Profit Margin]]&gt;=15%,"Medium","Low"))</f>
        <v>High</v>
      </c>
    </row>
    <row r="832" spans="1:20" x14ac:dyDescent="0.35">
      <c r="A832" t="s">
        <v>1380</v>
      </c>
      <c r="B832" s="23" t="s">
        <v>1378</v>
      </c>
      <c r="C832" t="s">
        <v>683</v>
      </c>
      <c r="D832" t="s">
        <v>25</v>
      </c>
      <c r="E832" t="s">
        <v>69</v>
      </c>
      <c r="F832" t="s">
        <v>37</v>
      </c>
      <c r="G832" t="s">
        <v>38</v>
      </c>
      <c r="H832" t="s">
        <v>47</v>
      </c>
      <c r="I832">
        <v>4</v>
      </c>
      <c r="J832" s="4">
        <v>350</v>
      </c>
      <c r="K832" s="6">
        <v>0.15</v>
      </c>
      <c r="L832" s="8">
        <v>1190</v>
      </c>
      <c r="M832" s="8">
        <v>720</v>
      </c>
      <c r="N832" s="8">
        <v>470</v>
      </c>
      <c r="O832" s="8">
        <f>SalesData[[#This Row],[Quantity]]*SalesData[[#This Row],[Unit Price]]*(1-SalesData[[#This Row],[Discount]])</f>
        <v>1190</v>
      </c>
      <c r="P832" s="8">
        <f>SalesData[[#This Row],[Sales_Check]]-SalesData[[#This Row],[Cost]]</f>
        <v>470</v>
      </c>
      <c r="Q832" s="13">
        <f>IFERROR(SalesData[[#This Row],[Profit]]/SalesData[[#This Row],[Sales]],0)</f>
        <v>0.3949579831932773</v>
      </c>
      <c r="R832" t="str">
        <f>TEXT(SalesData[[#This Row],[Order Date]],"mmm-yyyy")</f>
        <v>Jul-2026</v>
      </c>
      <c r="S832">
        <f>YEAR(SalesData[[#This Row],[Order Date]])</f>
        <v>2026</v>
      </c>
      <c r="T832" t="str">
        <f>IF(SalesData[[#This Row],[Profit Margin]]&gt;=30%,"High",IF(SalesData[[#This Row],[Profit Margin]]&gt;=15%,"Medium","Low"))</f>
        <v>High</v>
      </c>
    </row>
    <row r="833" spans="1:20" x14ac:dyDescent="0.35">
      <c r="A833" t="s">
        <v>1381</v>
      </c>
      <c r="B833" s="23" t="s">
        <v>1378</v>
      </c>
      <c r="C833" t="s">
        <v>229</v>
      </c>
      <c r="D833" t="s">
        <v>54</v>
      </c>
      <c r="E833" t="s">
        <v>103</v>
      </c>
      <c r="F833" t="s">
        <v>19</v>
      </c>
      <c r="G833" t="s">
        <v>113</v>
      </c>
      <c r="H833" t="s">
        <v>125</v>
      </c>
      <c r="I833">
        <v>1</v>
      </c>
      <c r="J833" s="4">
        <v>150</v>
      </c>
      <c r="K833" s="6">
        <v>0.05</v>
      </c>
      <c r="L833" s="8">
        <v>142.5</v>
      </c>
      <c r="M833" s="8">
        <v>75</v>
      </c>
      <c r="N833" s="8">
        <v>67.5</v>
      </c>
      <c r="O833" s="8">
        <f>SalesData[[#This Row],[Quantity]]*SalesData[[#This Row],[Unit Price]]*(1-SalesData[[#This Row],[Discount]])</f>
        <v>142.5</v>
      </c>
      <c r="P833" s="8">
        <f>SalesData[[#This Row],[Sales_Check]]-SalesData[[#This Row],[Cost]]</f>
        <v>67.5</v>
      </c>
      <c r="Q833" s="13">
        <f>IFERROR(SalesData[[#This Row],[Profit]]/SalesData[[#This Row],[Sales]],0)</f>
        <v>0.47368421052631576</v>
      </c>
      <c r="R833" t="str">
        <f>TEXT(SalesData[[#This Row],[Order Date]],"mmm-yyyy")</f>
        <v>Jul-2026</v>
      </c>
      <c r="S833">
        <f>YEAR(SalesData[[#This Row],[Order Date]])</f>
        <v>2026</v>
      </c>
      <c r="T833" t="str">
        <f>IF(SalesData[[#This Row],[Profit Margin]]&gt;=30%,"High",IF(SalesData[[#This Row],[Profit Margin]]&gt;=15%,"Medium","Low"))</f>
        <v>High</v>
      </c>
    </row>
    <row r="834" spans="1:20" x14ac:dyDescent="0.35">
      <c r="A834" t="s">
        <v>1382</v>
      </c>
      <c r="B834" s="23" t="s">
        <v>1383</v>
      </c>
      <c r="C834" t="s">
        <v>318</v>
      </c>
      <c r="D834" t="s">
        <v>43</v>
      </c>
      <c r="E834" t="s">
        <v>169</v>
      </c>
      <c r="F834" t="s">
        <v>27</v>
      </c>
      <c r="G834" t="s">
        <v>90</v>
      </c>
      <c r="H834" t="s">
        <v>33</v>
      </c>
      <c r="I834">
        <v>5</v>
      </c>
      <c r="J834" s="4">
        <v>350</v>
      </c>
      <c r="K834" s="6">
        <v>0</v>
      </c>
      <c r="L834" s="8">
        <v>1750</v>
      </c>
      <c r="M834" s="8">
        <v>850</v>
      </c>
      <c r="N834" s="8">
        <v>900</v>
      </c>
      <c r="O834" s="8">
        <f>SalesData[[#This Row],[Quantity]]*SalesData[[#This Row],[Unit Price]]*(1-SalesData[[#This Row],[Discount]])</f>
        <v>1750</v>
      </c>
      <c r="P834" s="8">
        <f>SalesData[[#This Row],[Sales_Check]]-SalesData[[#This Row],[Cost]]</f>
        <v>900</v>
      </c>
      <c r="Q834" s="13">
        <f>IFERROR(SalesData[[#This Row],[Profit]]/SalesData[[#This Row],[Sales]],0)</f>
        <v>0.51428571428571423</v>
      </c>
      <c r="R834" t="str">
        <f>TEXT(SalesData[[#This Row],[Order Date]],"mmm-yyyy")</f>
        <v>Jul-2026</v>
      </c>
      <c r="S834">
        <f>YEAR(SalesData[[#This Row],[Order Date]])</f>
        <v>2026</v>
      </c>
      <c r="T834" t="str">
        <f>IF(SalesData[[#This Row],[Profit Margin]]&gt;=30%,"High",IF(SalesData[[#This Row],[Profit Margin]]&gt;=15%,"Medium","Low"))</f>
        <v>High</v>
      </c>
    </row>
    <row r="835" spans="1:20" x14ac:dyDescent="0.35">
      <c r="A835" t="s">
        <v>1384</v>
      </c>
      <c r="B835" s="23" t="s">
        <v>1383</v>
      </c>
      <c r="C835" t="s">
        <v>31</v>
      </c>
      <c r="D835" t="s">
        <v>25</v>
      </c>
      <c r="E835" t="s">
        <v>89</v>
      </c>
      <c r="F835" t="s">
        <v>45</v>
      </c>
      <c r="G835" t="s">
        <v>70</v>
      </c>
      <c r="H835" t="s">
        <v>125</v>
      </c>
      <c r="I835">
        <v>10</v>
      </c>
      <c r="J835" s="4">
        <v>550</v>
      </c>
      <c r="K835" s="6">
        <v>0</v>
      </c>
      <c r="L835" s="8">
        <v>5500</v>
      </c>
      <c r="M835" s="8">
        <v>3000</v>
      </c>
      <c r="N835" s="8">
        <v>2500</v>
      </c>
      <c r="O835" s="8">
        <f>SalesData[[#This Row],[Quantity]]*SalesData[[#This Row],[Unit Price]]*(1-SalesData[[#This Row],[Discount]])</f>
        <v>5500</v>
      </c>
      <c r="P835" s="8">
        <f>SalesData[[#This Row],[Sales_Check]]-SalesData[[#This Row],[Cost]]</f>
        <v>2500</v>
      </c>
      <c r="Q835" s="13">
        <f>IFERROR(SalesData[[#This Row],[Profit]]/SalesData[[#This Row],[Sales]],0)</f>
        <v>0.45454545454545453</v>
      </c>
      <c r="R835" t="str">
        <f>TEXT(SalesData[[#This Row],[Order Date]],"mmm-yyyy")</f>
        <v>Jul-2026</v>
      </c>
      <c r="S835">
        <f>YEAR(SalesData[[#This Row],[Order Date]])</f>
        <v>2026</v>
      </c>
      <c r="T835" t="str">
        <f>IF(SalesData[[#This Row],[Profit Margin]]&gt;=30%,"High",IF(SalesData[[#This Row],[Profit Margin]]&gt;=15%,"Medium","Low"))</f>
        <v>High</v>
      </c>
    </row>
    <row r="836" spans="1:20" x14ac:dyDescent="0.35">
      <c r="A836" t="s">
        <v>1385</v>
      </c>
      <c r="B836" s="23" t="s">
        <v>1383</v>
      </c>
      <c r="C836" t="s">
        <v>723</v>
      </c>
      <c r="D836" t="s">
        <v>17</v>
      </c>
      <c r="E836" t="s">
        <v>32</v>
      </c>
      <c r="F836" t="s">
        <v>19</v>
      </c>
      <c r="G836" t="s">
        <v>56</v>
      </c>
      <c r="H836" t="s">
        <v>47</v>
      </c>
      <c r="I836">
        <v>8</v>
      </c>
      <c r="J836" s="4">
        <v>1500</v>
      </c>
      <c r="K836" s="6">
        <v>0.05</v>
      </c>
      <c r="L836" s="8">
        <v>11400</v>
      </c>
      <c r="M836" s="8">
        <v>7200</v>
      </c>
      <c r="N836" s="8">
        <v>4200</v>
      </c>
      <c r="O836" s="8">
        <f>SalesData[[#This Row],[Quantity]]*SalesData[[#This Row],[Unit Price]]*(1-SalesData[[#This Row],[Discount]])</f>
        <v>11400</v>
      </c>
      <c r="P836" s="8">
        <f>SalesData[[#This Row],[Sales_Check]]-SalesData[[#This Row],[Cost]]</f>
        <v>4200</v>
      </c>
      <c r="Q836" s="13">
        <f>IFERROR(SalesData[[#This Row],[Profit]]/SalesData[[#This Row],[Sales]],0)</f>
        <v>0.36842105263157893</v>
      </c>
      <c r="R836" t="str">
        <f>TEXT(SalesData[[#This Row],[Order Date]],"mmm-yyyy")</f>
        <v>Jul-2026</v>
      </c>
      <c r="S836">
        <f>YEAR(SalesData[[#This Row],[Order Date]])</f>
        <v>2026</v>
      </c>
      <c r="T836" t="str">
        <f>IF(SalesData[[#This Row],[Profit Margin]]&gt;=30%,"High",IF(SalesData[[#This Row],[Profit Margin]]&gt;=15%,"Medium","Low"))</f>
        <v>High</v>
      </c>
    </row>
    <row r="837" spans="1:20" x14ac:dyDescent="0.35">
      <c r="A837" t="s">
        <v>1386</v>
      </c>
      <c r="B837" s="23" t="s">
        <v>1387</v>
      </c>
      <c r="C837" t="s">
        <v>591</v>
      </c>
      <c r="D837" t="s">
        <v>43</v>
      </c>
      <c r="E837" t="s">
        <v>169</v>
      </c>
      <c r="F837" t="s">
        <v>45</v>
      </c>
      <c r="G837" t="s">
        <v>46</v>
      </c>
      <c r="H837" t="s">
        <v>125</v>
      </c>
      <c r="I837">
        <v>8</v>
      </c>
      <c r="J837" s="4">
        <v>350</v>
      </c>
      <c r="K837" s="6">
        <v>0.1</v>
      </c>
      <c r="L837" s="8">
        <v>2520</v>
      </c>
      <c r="M837" s="8">
        <v>1360</v>
      </c>
      <c r="N837" s="8">
        <v>1160</v>
      </c>
      <c r="O837" s="8">
        <f>SalesData[[#This Row],[Quantity]]*SalesData[[#This Row],[Unit Price]]*(1-SalesData[[#This Row],[Discount]])</f>
        <v>2520</v>
      </c>
      <c r="P837" s="8">
        <f>SalesData[[#This Row],[Sales_Check]]-SalesData[[#This Row],[Cost]]</f>
        <v>1160</v>
      </c>
      <c r="Q837" s="13">
        <f>IFERROR(SalesData[[#This Row],[Profit]]/SalesData[[#This Row],[Sales]],0)</f>
        <v>0.46031746031746029</v>
      </c>
      <c r="R837" t="str">
        <f>TEXT(SalesData[[#This Row],[Order Date]],"mmm-yyyy")</f>
        <v>Jul-2026</v>
      </c>
      <c r="S837">
        <f>YEAR(SalesData[[#This Row],[Order Date]])</f>
        <v>2026</v>
      </c>
      <c r="T837" t="str">
        <f>IF(SalesData[[#This Row],[Profit Margin]]&gt;=30%,"High",IF(SalesData[[#This Row],[Profit Margin]]&gt;=15%,"Medium","Low"))</f>
        <v>High</v>
      </c>
    </row>
    <row r="838" spans="1:20" x14ac:dyDescent="0.35">
      <c r="A838" t="s">
        <v>1388</v>
      </c>
      <c r="B838" s="23" t="s">
        <v>1389</v>
      </c>
      <c r="C838" t="s">
        <v>736</v>
      </c>
      <c r="D838" t="s">
        <v>17</v>
      </c>
      <c r="E838" t="s">
        <v>50</v>
      </c>
      <c r="F838" t="s">
        <v>27</v>
      </c>
      <c r="G838" t="s">
        <v>85</v>
      </c>
      <c r="H838" t="s">
        <v>33</v>
      </c>
      <c r="I838">
        <v>5</v>
      </c>
      <c r="J838" s="4">
        <v>650</v>
      </c>
      <c r="K838" s="6">
        <v>0.1</v>
      </c>
      <c r="L838" s="8">
        <v>2925</v>
      </c>
      <c r="M838" s="8">
        <v>1900</v>
      </c>
      <c r="N838" s="8">
        <v>1025</v>
      </c>
      <c r="O838" s="8">
        <f>SalesData[[#This Row],[Quantity]]*SalesData[[#This Row],[Unit Price]]*(1-SalesData[[#This Row],[Discount]])</f>
        <v>2925</v>
      </c>
      <c r="P838" s="8">
        <f>SalesData[[#This Row],[Sales_Check]]-SalesData[[#This Row],[Cost]]</f>
        <v>1025</v>
      </c>
      <c r="Q838" s="13">
        <f>IFERROR(SalesData[[#This Row],[Profit]]/SalesData[[#This Row],[Sales]],0)</f>
        <v>0.3504273504273504</v>
      </c>
      <c r="R838" t="str">
        <f>TEXT(SalesData[[#This Row],[Order Date]],"mmm-yyyy")</f>
        <v>Jul-2026</v>
      </c>
      <c r="S838">
        <f>YEAR(SalesData[[#This Row],[Order Date]])</f>
        <v>2026</v>
      </c>
      <c r="T838" t="str">
        <f>IF(SalesData[[#This Row],[Profit Margin]]&gt;=30%,"High",IF(SalesData[[#This Row],[Profit Margin]]&gt;=15%,"Medium","Low"))</f>
        <v>High</v>
      </c>
    </row>
    <row r="839" spans="1:20" x14ac:dyDescent="0.35">
      <c r="A839" t="s">
        <v>1390</v>
      </c>
      <c r="B839" s="23" t="s">
        <v>1391</v>
      </c>
      <c r="C839" t="s">
        <v>653</v>
      </c>
      <c r="D839" t="s">
        <v>54</v>
      </c>
      <c r="E839" t="s">
        <v>110</v>
      </c>
      <c r="F839" t="s">
        <v>37</v>
      </c>
      <c r="G839" t="s">
        <v>140</v>
      </c>
      <c r="H839" t="s">
        <v>29</v>
      </c>
      <c r="I839">
        <v>6</v>
      </c>
      <c r="J839" s="4">
        <v>280</v>
      </c>
      <c r="K839" s="6">
        <v>0</v>
      </c>
      <c r="L839" s="8">
        <v>1680</v>
      </c>
      <c r="M839" s="8">
        <v>900</v>
      </c>
      <c r="N839" s="8">
        <v>780</v>
      </c>
      <c r="O839" s="8">
        <f>SalesData[[#This Row],[Quantity]]*SalesData[[#This Row],[Unit Price]]*(1-SalesData[[#This Row],[Discount]])</f>
        <v>1680</v>
      </c>
      <c r="P839" s="8">
        <f>SalesData[[#This Row],[Sales_Check]]-SalesData[[#This Row],[Cost]]</f>
        <v>780</v>
      </c>
      <c r="Q839" s="13">
        <f>IFERROR(SalesData[[#This Row],[Profit]]/SalesData[[#This Row],[Sales]],0)</f>
        <v>0.4642857142857143</v>
      </c>
      <c r="R839" t="str">
        <f>TEXT(SalesData[[#This Row],[Order Date]],"mmm-yyyy")</f>
        <v>Jul-2026</v>
      </c>
      <c r="S839">
        <f>YEAR(SalesData[[#This Row],[Order Date]])</f>
        <v>2026</v>
      </c>
      <c r="T839" t="str">
        <f>IF(SalesData[[#This Row],[Profit Margin]]&gt;=30%,"High",IF(SalesData[[#This Row],[Profit Margin]]&gt;=15%,"Medium","Low"))</f>
        <v>High</v>
      </c>
    </row>
    <row r="840" spans="1:20" x14ac:dyDescent="0.35">
      <c r="A840" t="s">
        <v>1392</v>
      </c>
      <c r="B840" s="23" t="s">
        <v>1391</v>
      </c>
      <c r="C840" t="s">
        <v>367</v>
      </c>
      <c r="D840" t="s">
        <v>54</v>
      </c>
      <c r="E840" t="s">
        <v>103</v>
      </c>
      <c r="F840" t="s">
        <v>19</v>
      </c>
      <c r="G840" t="s">
        <v>113</v>
      </c>
      <c r="H840" t="s">
        <v>47</v>
      </c>
      <c r="I840">
        <v>7</v>
      </c>
      <c r="J840" s="4">
        <v>150</v>
      </c>
      <c r="K840" s="6">
        <v>0.05</v>
      </c>
      <c r="L840" s="8">
        <v>997.5</v>
      </c>
      <c r="M840" s="8">
        <v>525</v>
      </c>
      <c r="N840" s="8">
        <v>472.5</v>
      </c>
      <c r="O840" s="8">
        <f>SalesData[[#This Row],[Quantity]]*SalesData[[#This Row],[Unit Price]]*(1-SalesData[[#This Row],[Discount]])</f>
        <v>997.5</v>
      </c>
      <c r="P840" s="8">
        <f>SalesData[[#This Row],[Sales_Check]]-SalesData[[#This Row],[Cost]]</f>
        <v>472.5</v>
      </c>
      <c r="Q840" s="13">
        <f>IFERROR(SalesData[[#This Row],[Profit]]/SalesData[[#This Row],[Sales]],0)</f>
        <v>0.47368421052631576</v>
      </c>
      <c r="R840" t="str">
        <f>TEXT(SalesData[[#This Row],[Order Date]],"mmm-yyyy")</f>
        <v>Jul-2026</v>
      </c>
      <c r="S840">
        <f>YEAR(SalesData[[#This Row],[Order Date]])</f>
        <v>2026</v>
      </c>
      <c r="T840" t="str">
        <f>IF(SalesData[[#This Row],[Profit Margin]]&gt;=30%,"High",IF(SalesData[[#This Row],[Profit Margin]]&gt;=15%,"Medium","Low"))</f>
        <v>High</v>
      </c>
    </row>
    <row r="841" spans="1:20" x14ac:dyDescent="0.35">
      <c r="A841" t="s">
        <v>1393</v>
      </c>
      <c r="B841" s="23" t="s">
        <v>1391</v>
      </c>
      <c r="C841" t="s">
        <v>457</v>
      </c>
      <c r="D841" t="s">
        <v>25</v>
      </c>
      <c r="E841" t="s">
        <v>80</v>
      </c>
      <c r="F841" t="s">
        <v>19</v>
      </c>
      <c r="G841" t="s">
        <v>20</v>
      </c>
      <c r="H841" t="s">
        <v>39</v>
      </c>
      <c r="I841">
        <v>7</v>
      </c>
      <c r="J841" s="4">
        <v>950</v>
      </c>
      <c r="K841" s="6">
        <v>0</v>
      </c>
      <c r="L841" s="8">
        <v>6650</v>
      </c>
      <c r="M841" s="8">
        <v>3920</v>
      </c>
      <c r="N841" s="8">
        <v>2730</v>
      </c>
      <c r="O841" s="8">
        <f>SalesData[[#This Row],[Quantity]]*SalesData[[#This Row],[Unit Price]]*(1-SalesData[[#This Row],[Discount]])</f>
        <v>6650</v>
      </c>
      <c r="P841" s="8">
        <f>SalesData[[#This Row],[Sales_Check]]-SalesData[[#This Row],[Cost]]</f>
        <v>2730</v>
      </c>
      <c r="Q841" s="13">
        <f>IFERROR(SalesData[[#This Row],[Profit]]/SalesData[[#This Row],[Sales]],0)</f>
        <v>0.41052631578947368</v>
      </c>
      <c r="R841" t="str">
        <f>TEXT(SalesData[[#This Row],[Order Date]],"mmm-yyyy")</f>
        <v>Jul-2026</v>
      </c>
      <c r="S841">
        <f>YEAR(SalesData[[#This Row],[Order Date]])</f>
        <v>2026</v>
      </c>
      <c r="T841" t="str">
        <f>IF(SalesData[[#This Row],[Profit Margin]]&gt;=30%,"High",IF(SalesData[[#This Row],[Profit Margin]]&gt;=15%,"Medium","Low"))</f>
        <v>High</v>
      </c>
    </row>
    <row r="842" spans="1:20" x14ac:dyDescent="0.35">
      <c r="A842" t="s">
        <v>1394</v>
      </c>
      <c r="B842" s="23" t="s">
        <v>1391</v>
      </c>
      <c r="C842" t="s">
        <v>637</v>
      </c>
      <c r="D842" t="s">
        <v>43</v>
      </c>
      <c r="E842" t="s">
        <v>62</v>
      </c>
      <c r="F842" t="s">
        <v>27</v>
      </c>
      <c r="G842" t="s">
        <v>90</v>
      </c>
      <c r="H842" t="s">
        <v>125</v>
      </c>
      <c r="I842">
        <v>7</v>
      </c>
      <c r="J842" s="4">
        <v>500</v>
      </c>
      <c r="K842" s="6">
        <v>0</v>
      </c>
      <c r="L842" s="8">
        <v>3500</v>
      </c>
      <c r="M842" s="8">
        <v>1960</v>
      </c>
      <c r="N842" s="8">
        <v>1540</v>
      </c>
      <c r="O842" s="8">
        <f>SalesData[[#This Row],[Quantity]]*SalesData[[#This Row],[Unit Price]]*(1-SalesData[[#This Row],[Discount]])</f>
        <v>3500</v>
      </c>
      <c r="P842" s="8">
        <f>SalesData[[#This Row],[Sales_Check]]-SalesData[[#This Row],[Cost]]</f>
        <v>1540</v>
      </c>
      <c r="Q842" s="13">
        <f>IFERROR(SalesData[[#This Row],[Profit]]/SalesData[[#This Row],[Sales]],0)</f>
        <v>0.44</v>
      </c>
      <c r="R842" t="str">
        <f>TEXT(SalesData[[#This Row],[Order Date]],"mmm-yyyy")</f>
        <v>Jul-2026</v>
      </c>
      <c r="S842">
        <f>YEAR(SalesData[[#This Row],[Order Date]])</f>
        <v>2026</v>
      </c>
      <c r="T842" t="str">
        <f>IF(SalesData[[#This Row],[Profit Margin]]&gt;=30%,"High",IF(SalesData[[#This Row],[Profit Margin]]&gt;=15%,"Medium","Low"))</f>
        <v>High</v>
      </c>
    </row>
    <row r="843" spans="1:20" x14ac:dyDescent="0.35">
      <c r="A843" t="s">
        <v>1395</v>
      </c>
      <c r="B843" s="23" t="s">
        <v>1391</v>
      </c>
      <c r="C843" t="s">
        <v>185</v>
      </c>
      <c r="D843" t="s">
        <v>43</v>
      </c>
      <c r="E843" t="s">
        <v>169</v>
      </c>
      <c r="F843" t="s">
        <v>19</v>
      </c>
      <c r="G843" t="s">
        <v>113</v>
      </c>
      <c r="H843" t="s">
        <v>33</v>
      </c>
      <c r="I843">
        <v>2</v>
      </c>
      <c r="J843" s="4">
        <v>350</v>
      </c>
      <c r="K843" s="6">
        <v>0</v>
      </c>
      <c r="L843" s="8">
        <v>700</v>
      </c>
      <c r="M843" s="8">
        <v>340</v>
      </c>
      <c r="N843" s="8">
        <v>360</v>
      </c>
      <c r="O843" s="8">
        <f>SalesData[[#This Row],[Quantity]]*SalesData[[#This Row],[Unit Price]]*(1-SalesData[[#This Row],[Discount]])</f>
        <v>700</v>
      </c>
      <c r="P843" s="8">
        <f>SalesData[[#This Row],[Sales_Check]]-SalesData[[#This Row],[Cost]]</f>
        <v>360</v>
      </c>
      <c r="Q843" s="13">
        <f>IFERROR(SalesData[[#This Row],[Profit]]/SalesData[[#This Row],[Sales]],0)</f>
        <v>0.51428571428571423</v>
      </c>
      <c r="R843" t="str">
        <f>TEXT(SalesData[[#This Row],[Order Date]],"mmm-yyyy")</f>
        <v>Jul-2026</v>
      </c>
      <c r="S843">
        <f>YEAR(SalesData[[#This Row],[Order Date]])</f>
        <v>2026</v>
      </c>
      <c r="T843" t="str">
        <f>IF(SalesData[[#This Row],[Profit Margin]]&gt;=30%,"High",IF(SalesData[[#This Row],[Profit Margin]]&gt;=15%,"Medium","Low"))</f>
        <v>High</v>
      </c>
    </row>
    <row r="844" spans="1:20" x14ac:dyDescent="0.35">
      <c r="A844" t="s">
        <v>1396</v>
      </c>
      <c r="B844" s="23" t="s">
        <v>1397</v>
      </c>
      <c r="C844" t="s">
        <v>477</v>
      </c>
      <c r="D844" t="s">
        <v>25</v>
      </c>
      <c r="E844" t="s">
        <v>89</v>
      </c>
      <c r="F844" t="s">
        <v>37</v>
      </c>
      <c r="G844" t="s">
        <v>73</v>
      </c>
      <c r="H844" t="s">
        <v>125</v>
      </c>
      <c r="I844">
        <v>1</v>
      </c>
      <c r="J844" s="4">
        <v>550</v>
      </c>
      <c r="K844" s="6">
        <v>0.1</v>
      </c>
      <c r="L844" s="8">
        <v>495</v>
      </c>
      <c r="M844" s="8">
        <v>300</v>
      </c>
      <c r="N844" s="8">
        <v>195</v>
      </c>
      <c r="O844" s="8">
        <f>SalesData[[#This Row],[Quantity]]*SalesData[[#This Row],[Unit Price]]*(1-SalesData[[#This Row],[Discount]])</f>
        <v>495</v>
      </c>
      <c r="P844" s="8">
        <f>SalesData[[#This Row],[Sales_Check]]-SalesData[[#This Row],[Cost]]</f>
        <v>195</v>
      </c>
      <c r="Q844" s="13">
        <f>IFERROR(SalesData[[#This Row],[Profit]]/SalesData[[#This Row],[Sales]],0)</f>
        <v>0.39393939393939392</v>
      </c>
      <c r="R844" t="str">
        <f>TEXT(SalesData[[#This Row],[Order Date]],"mmm-yyyy")</f>
        <v>Jul-2026</v>
      </c>
      <c r="S844">
        <f>YEAR(SalesData[[#This Row],[Order Date]])</f>
        <v>2026</v>
      </c>
      <c r="T844" t="str">
        <f>IF(SalesData[[#This Row],[Profit Margin]]&gt;=30%,"High",IF(SalesData[[#This Row],[Profit Margin]]&gt;=15%,"Medium","Low"))</f>
        <v>High</v>
      </c>
    </row>
    <row r="845" spans="1:20" x14ac:dyDescent="0.35">
      <c r="A845" t="s">
        <v>1398</v>
      </c>
      <c r="B845" s="23" t="s">
        <v>1397</v>
      </c>
      <c r="C845" t="s">
        <v>185</v>
      </c>
      <c r="D845" t="s">
        <v>17</v>
      </c>
      <c r="E845" t="s">
        <v>65</v>
      </c>
      <c r="F845" t="s">
        <v>45</v>
      </c>
      <c r="G845" t="s">
        <v>104</v>
      </c>
      <c r="H845" t="s">
        <v>47</v>
      </c>
      <c r="I845">
        <v>3</v>
      </c>
      <c r="J845" s="4">
        <v>2200</v>
      </c>
      <c r="K845" s="6">
        <v>0.05</v>
      </c>
      <c r="L845" s="8">
        <v>6270</v>
      </c>
      <c r="M845" s="8">
        <v>4200</v>
      </c>
      <c r="N845" s="8">
        <v>2070</v>
      </c>
      <c r="O845" s="8">
        <f>SalesData[[#This Row],[Quantity]]*SalesData[[#This Row],[Unit Price]]*(1-SalesData[[#This Row],[Discount]])</f>
        <v>6270</v>
      </c>
      <c r="P845" s="8">
        <f>SalesData[[#This Row],[Sales_Check]]-SalesData[[#This Row],[Cost]]</f>
        <v>2070</v>
      </c>
      <c r="Q845" s="13">
        <f>IFERROR(SalesData[[#This Row],[Profit]]/SalesData[[#This Row],[Sales]],0)</f>
        <v>0.33014354066985646</v>
      </c>
      <c r="R845" t="str">
        <f>TEXT(SalesData[[#This Row],[Order Date]],"mmm-yyyy")</f>
        <v>Jul-2026</v>
      </c>
      <c r="S845">
        <f>YEAR(SalesData[[#This Row],[Order Date]])</f>
        <v>2026</v>
      </c>
      <c r="T845" t="str">
        <f>IF(SalesData[[#This Row],[Profit Margin]]&gt;=30%,"High",IF(SalesData[[#This Row],[Profit Margin]]&gt;=15%,"Medium","Low"))</f>
        <v>High</v>
      </c>
    </row>
    <row r="846" spans="1:20" x14ac:dyDescent="0.35">
      <c r="A846" t="s">
        <v>1399</v>
      </c>
      <c r="B846" s="23" t="s">
        <v>1397</v>
      </c>
      <c r="C846" t="s">
        <v>296</v>
      </c>
      <c r="D846" t="s">
        <v>54</v>
      </c>
      <c r="E846" t="s">
        <v>116</v>
      </c>
      <c r="F846" t="s">
        <v>19</v>
      </c>
      <c r="G846" t="s">
        <v>56</v>
      </c>
      <c r="H846" t="s">
        <v>29</v>
      </c>
      <c r="I846">
        <v>3</v>
      </c>
      <c r="J846" s="4">
        <v>450</v>
      </c>
      <c r="K846" s="6">
        <v>0</v>
      </c>
      <c r="L846" s="8">
        <v>1350</v>
      </c>
      <c r="M846" s="8">
        <v>750</v>
      </c>
      <c r="N846" s="8">
        <v>600</v>
      </c>
      <c r="O846" s="8">
        <f>SalesData[[#This Row],[Quantity]]*SalesData[[#This Row],[Unit Price]]*(1-SalesData[[#This Row],[Discount]])</f>
        <v>1350</v>
      </c>
      <c r="P846" s="8">
        <f>SalesData[[#This Row],[Sales_Check]]-SalesData[[#This Row],[Cost]]</f>
        <v>600</v>
      </c>
      <c r="Q846" s="13">
        <f>IFERROR(SalesData[[#This Row],[Profit]]/SalesData[[#This Row],[Sales]],0)</f>
        <v>0.44444444444444442</v>
      </c>
      <c r="R846" t="str">
        <f>TEXT(SalesData[[#This Row],[Order Date]],"mmm-yyyy")</f>
        <v>Jul-2026</v>
      </c>
      <c r="S846">
        <f>YEAR(SalesData[[#This Row],[Order Date]])</f>
        <v>2026</v>
      </c>
      <c r="T846" t="str">
        <f>IF(SalesData[[#This Row],[Profit Margin]]&gt;=30%,"High",IF(SalesData[[#This Row],[Profit Margin]]&gt;=15%,"Medium","Low"))</f>
        <v>High</v>
      </c>
    </row>
    <row r="847" spans="1:20" x14ac:dyDescent="0.35">
      <c r="A847" t="s">
        <v>1400</v>
      </c>
      <c r="B847" s="23" t="s">
        <v>1397</v>
      </c>
      <c r="C847" t="s">
        <v>375</v>
      </c>
      <c r="D847" t="s">
        <v>54</v>
      </c>
      <c r="E847" t="s">
        <v>110</v>
      </c>
      <c r="F847" t="s">
        <v>37</v>
      </c>
      <c r="G847" t="s">
        <v>73</v>
      </c>
      <c r="H847" t="s">
        <v>125</v>
      </c>
      <c r="I847">
        <v>1</v>
      </c>
      <c r="J847" s="4">
        <v>280</v>
      </c>
      <c r="K847" s="6">
        <v>0.05</v>
      </c>
      <c r="L847" s="8">
        <v>266</v>
      </c>
      <c r="M847" s="8">
        <v>150</v>
      </c>
      <c r="N847" s="8">
        <v>116</v>
      </c>
      <c r="O847" s="8">
        <f>SalesData[[#This Row],[Quantity]]*SalesData[[#This Row],[Unit Price]]*(1-SalesData[[#This Row],[Discount]])</f>
        <v>266</v>
      </c>
      <c r="P847" s="8">
        <f>SalesData[[#This Row],[Sales_Check]]-SalesData[[#This Row],[Cost]]</f>
        <v>116</v>
      </c>
      <c r="Q847" s="13">
        <f>IFERROR(SalesData[[#This Row],[Profit]]/SalesData[[#This Row],[Sales]],0)</f>
        <v>0.43609022556390975</v>
      </c>
      <c r="R847" t="str">
        <f>TEXT(SalesData[[#This Row],[Order Date]],"mmm-yyyy")</f>
        <v>Jul-2026</v>
      </c>
      <c r="S847">
        <f>YEAR(SalesData[[#This Row],[Order Date]])</f>
        <v>2026</v>
      </c>
      <c r="T847" t="str">
        <f>IF(SalesData[[#This Row],[Profit Margin]]&gt;=30%,"High",IF(SalesData[[#This Row],[Profit Margin]]&gt;=15%,"Medium","Low"))</f>
        <v>High</v>
      </c>
    </row>
    <row r="848" spans="1:20" x14ac:dyDescent="0.35">
      <c r="A848" t="s">
        <v>1401</v>
      </c>
      <c r="B848" s="23" t="s">
        <v>1397</v>
      </c>
      <c r="C848" t="s">
        <v>846</v>
      </c>
      <c r="D848" t="s">
        <v>17</v>
      </c>
      <c r="E848" t="s">
        <v>32</v>
      </c>
      <c r="F848" t="s">
        <v>27</v>
      </c>
      <c r="G848" t="s">
        <v>51</v>
      </c>
      <c r="H848" t="s">
        <v>47</v>
      </c>
      <c r="I848">
        <v>9</v>
      </c>
      <c r="J848" s="4">
        <v>1500</v>
      </c>
      <c r="K848" s="6">
        <v>0.1</v>
      </c>
      <c r="L848" s="8">
        <v>12150</v>
      </c>
      <c r="M848" s="8">
        <v>8100</v>
      </c>
      <c r="N848" s="8">
        <v>4050</v>
      </c>
      <c r="O848" s="8">
        <f>SalesData[[#This Row],[Quantity]]*SalesData[[#This Row],[Unit Price]]*(1-SalesData[[#This Row],[Discount]])</f>
        <v>12150</v>
      </c>
      <c r="P848" s="8">
        <f>SalesData[[#This Row],[Sales_Check]]-SalesData[[#This Row],[Cost]]</f>
        <v>4050</v>
      </c>
      <c r="Q848" s="13">
        <f>IFERROR(SalesData[[#This Row],[Profit]]/SalesData[[#This Row],[Sales]],0)</f>
        <v>0.33333333333333331</v>
      </c>
      <c r="R848" t="str">
        <f>TEXT(SalesData[[#This Row],[Order Date]],"mmm-yyyy")</f>
        <v>Jul-2026</v>
      </c>
      <c r="S848">
        <f>YEAR(SalesData[[#This Row],[Order Date]])</f>
        <v>2026</v>
      </c>
      <c r="T848" t="str">
        <f>IF(SalesData[[#This Row],[Profit Margin]]&gt;=30%,"High",IF(SalesData[[#This Row],[Profit Margin]]&gt;=15%,"Medium","Low"))</f>
        <v>High</v>
      </c>
    </row>
    <row r="849" spans="1:20" x14ac:dyDescent="0.35">
      <c r="A849" t="s">
        <v>1402</v>
      </c>
      <c r="B849" s="23" t="s">
        <v>1397</v>
      </c>
      <c r="C849" t="s">
        <v>96</v>
      </c>
      <c r="D849" t="s">
        <v>54</v>
      </c>
      <c r="E849" t="s">
        <v>55</v>
      </c>
      <c r="F849" t="s">
        <v>45</v>
      </c>
      <c r="G849" t="s">
        <v>104</v>
      </c>
      <c r="H849" t="s">
        <v>125</v>
      </c>
      <c r="I849">
        <v>3</v>
      </c>
      <c r="J849" s="4">
        <v>180</v>
      </c>
      <c r="K849" s="6">
        <v>0.05</v>
      </c>
      <c r="L849" s="8">
        <v>513</v>
      </c>
      <c r="M849" s="8">
        <v>270</v>
      </c>
      <c r="N849" s="8">
        <v>243</v>
      </c>
      <c r="O849" s="8">
        <f>SalesData[[#This Row],[Quantity]]*SalesData[[#This Row],[Unit Price]]*(1-SalesData[[#This Row],[Discount]])</f>
        <v>513</v>
      </c>
      <c r="P849" s="8">
        <f>SalesData[[#This Row],[Sales_Check]]-SalesData[[#This Row],[Cost]]</f>
        <v>243</v>
      </c>
      <c r="Q849" s="13">
        <f>IFERROR(SalesData[[#This Row],[Profit]]/SalesData[[#This Row],[Sales]],0)</f>
        <v>0.47368421052631576</v>
      </c>
      <c r="R849" t="str">
        <f>TEXT(SalesData[[#This Row],[Order Date]],"mmm-yyyy")</f>
        <v>Jul-2026</v>
      </c>
      <c r="S849">
        <f>YEAR(SalesData[[#This Row],[Order Date]])</f>
        <v>2026</v>
      </c>
      <c r="T849" t="str">
        <f>IF(SalesData[[#This Row],[Profit Margin]]&gt;=30%,"High",IF(SalesData[[#This Row],[Profit Margin]]&gt;=15%,"Medium","Low"))</f>
        <v>High</v>
      </c>
    </row>
    <row r="850" spans="1:20" x14ac:dyDescent="0.35">
      <c r="A850" t="s">
        <v>1403</v>
      </c>
      <c r="B850" s="23" t="s">
        <v>1404</v>
      </c>
      <c r="C850" t="s">
        <v>93</v>
      </c>
      <c r="D850" t="s">
        <v>43</v>
      </c>
      <c r="E850" t="s">
        <v>143</v>
      </c>
      <c r="F850" t="s">
        <v>45</v>
      </c>
      <c r="G850" t="s">
        <v>122</v>
      </c>
      <c r="H850" t="s">
        <v>33</v>
      </c>
      <c r="I850">
        <v>10</v>
      </c>
      <c r="J850" s="4">
        <v>650</v>
      </c>
      <c r="K850" s="6">
        <v>0</v>
      </c>
      <c r="L850" s="8">
        <v>6500</v>
      </c>
      <c r="M850" s="8">
        <v>3500</v>
      </c>
      <c r="N850" s="8">
        <v>3000</v>
      </c>
      <c r="O850" s="8">
        <f>SalesData[[#This Row],[Quantity]]*SalesData[[#This Row],[Unit Price]]*(1-SalesData[[#This Row],[Discount]])</f>
        <v>6500</v>
      </c>
      <c r="P850" s="8">
        <f>SalesData[[#This Row],[Sales_Check]]-SalesData[[#This Row],[Cost]]</f>
        <v>3000</v>
      </c>
      <c r="Q850" s="13">
        <f>IFERROR(SalesData[[#This Row],[Profit]]/SalesData[[#This Row],[Sales]],0)</f>
        <v>0.46153846153846156</v>
      </c>
      <c r="R850" t="str">
        <f>TEXT(SalesData[[#This Row],[Order Date]],"mmm-yyyy")</f>
        <v>Jul-2026</v>
      </c>
      <c r="S850">
        <f>YEAR(SalesData[[#This Row],[Order Date]])</f>
        <v>2026</v>
      </c>
      <c r="T850" t="str">
        <f>IF(SalesData[[#This Row],[Profit Margin]]&gt;=30%,"High",IF(SalesData[[#This Row],[Profit Margin]]&gt;=15%,"Medium","Low"))</f>
        <v>High</v>
      </c>
    </row>
    <row r="851" spans="1:20" x14ac:dyDescent="0.35">
      <c r="A851" t="s">
        <v>1405</v>
      </c>
      <c r="B851" s="23" t="s">
        <v>1406</v>
      </c>
      <c r="C851" t="s">
        <v>64</v>
      </c>
      <c r="D851" t="s">
        <v>43</v>
      </c>
      <c r="E851" t="s">
        <v>44</v>
      </c>
      <c r="F851" t="s">
        <v>37</v>
      </c>
      <c r="G851" t="s">
        <v>38</v>
      </c>
      <c r="H851" t="s">
        <v>29</v>
      </c>
      <c r="I851">
        <v>4</v>
      </c>
      <c r="J851" s="4">
        <v>2200</v>
      </c>
      <c r="K851" s="6">
        <v>0</v>
      </c>
      <c r="L851" s="8">
        <v>8800</v>
      </c>
      <c r="M851" s="8">
        <v>5800</v>
      </c>
      <c r="N851" s="8">
        <v>3000</v>
      </c>
      <c r="O851" s="8">
        <f>SalesData[[#This Row],[Quantity]]*SalesData[[#This Row],[Unit Price]]*(1-SalesData[[#This Row],[Discount]])</f>
        <v>8800</v>
      </c>
      <c r="P851" s="8">
        <f>SalesData[[#This Row],[Sales_Check]]-SalesData[[#This Row],[Cost]]</f>
        <v>3000</v>
      </c>
      <c r="Q851" s="13">
        <f>IFERROR(SalesData[[#This Row],[Profit]]/SalesData[[#This Row],[Sales]],0)</f>
        <v>0.34090909090909088</v>
      </c>
      <c r="R851" t="str">
        <f>TEXT(SalesData[[#This Row],[Order Date]],"mmm-yyyy")</f>
        <v>Jul-2026</v>
      </c>
      <c r="S851">
        <f>YEAR(SalesData[[#This Row],[Order Date]])</f>
        <v>2026</v>
      </c>
      <c r="T851" t="str">
        <f>IF(SalesData[[#This Row],[Profit Margin]]&gt;=30%,"High",IF(SalesData[[#This Row],[Profit Margin]]&gt;=15%,"Medium","Low"))</f>
        <v>High</v>
      </c>
    </row>
    <row r="852" spans="1:20" x14ac:dyDescent="0.35">
      <c r="A852" t="s">
        <v>1407</v>
      </c>
      <c r="B852" s="23" t="s">
        <v>1406</v>
      </c>
      <c r="C852" t="s">
        <v>194</v>
      </c>
      <c r="D852" t="s">
        <v>25</v>
      </c>
      <c r="E852" t="s">
        <v>89</v>
      </c>
      <c r="F852" t="s">
        <v>45</v>
      </c>
      <c r="G852" t="s">
        <v>122</v>
      </c>
      <c r="H852" t="s">
        <v>33</v>
      </c>
      <c r="I852">
        <v>10</v>
      </c>
      <c r="J852" s="4">
        <v>550</v>
      </c>
      <c r="K852" s="6">
        <v>0.05</v>
      </c>
      <c r="L852" s="8">
        <v>5225</v>
      </c>
      <c r="M852" s="8">
        <v>3000</v>
      </c>
      <c r="N852" s="8">
        <v>2225</v>
      </c>
      <c r="O852" s="8">
        <f>SalesData[[#This Row],[Quantity]]*SalesData[[#This Row],[Unit Price]]*(1-SalesData[[#This Row],[Discount]])</f>
        <v>5225</v>
      </c>
      <c r="P852" s="8">
        <f>SalesData[[#This Row],[Sales_Check]]-SalesData[[#This Row],[Cost]]</f>
        <v>2225</v>
      </c>
      <c r="Q852" s="13">
        <f>IFERROR(SalesData[[#This Row],[Profit]]/SalesData[[#This Row],[Sales]],0)</f>
        <v>0.42583732057416268</v>
      </c>
      <c r="R852" t="str">
        <f>TEXT(SalesData[[#This Row],[Order Date]],"mmm-yyyy")</f>
        <v>Jul-2026</v>
      </c>
      <c r="S852">
        <f>YEAR(SalesData[[#This Row],[Order Date]])</f>
        <v>2026</v>
      </c>
      <c r="T852" t="str">
        <f>IF(SalesData[[#This Row],[Profit Margin]]&gt;=30%,"High",IF(SalesData[[#This Row],[Profit Margin]]&gt;=15%,"Medium","Low"))</f>
        <v>High</v>
      </c>
    </row>
    <row r="853" spans="1:20" x14ac:dyDescent="0.35">
      <c r="A853" t="s">
        <v>1408</v>
      </c>
      <c r="B853" s="23" t="s">
        <v>1409</v>
      </c>
      <c r="C853" t="s">
        <v>318</v>
      </c>
      <c r="D853" t="s">
        <v>54</v>
      </c>
      <c r="E853" t="s">
        <v>107</v>
      </c>
      <c r="F853" t="s">
        <v>19</v>
      </c>
      <c r="G853" t="s">
        <v>56</v>
      </c>
      <c r="H853" t="s">
        <v>29</v>
      </c>
      <c r="I853">
        <v>1</v>
      </c>
      <c r="J853" s="4">
        <v>120</v>
      </c>
      <c r="K853" s="6">
        <v>0</v>
      </c>
      <c r="L853" s="8">
        <v>120</v>
      </c>
      <c r="M853" s="8">
        <v>55</v>
      </c>
      <c r="N853" s="8">
        <v>65</v>
      </c>
      <c r="O853" s="8">
        <f>SalesData[[#This Row],[Quantity]]*SalesData[[#This Row],[Unit Price]]*(1-SalesData[[#This Row],[Discount]])</f>
        <v>120</v>
      </c>
      <c r="P853" s="8">
        <f>SalesData[[#This Row],[Sales_Check]]-SalesData[[#This Row],[Cost]]</f>
        <v>65</v>
      </c>
      <c r="Q853" s="13">
        <f>IFERROR(SalesData[[#This Row],[Profit]]/SalesData[[#This Row],[Sales]],0)</f>
        <v>0.54166666666666663</v>
      </c>
      <c r="R853" t="str">
        <f>TEXT(SalesData[[#This Row],[Order Date]],"mmm-yyyy")</f>
        <v>Jul-2026</v>
      </c>
      <c r="S853">
        <f>YEAR(SalesData[[#This Row],[Order Date]])</f>
        <v>2026</v>
      </c>
      <c r="T853" t="str">
        <f>IF(SalesData[[#This Row],[Profit Margin]]&gt;=30%,"High",IF(SalesData[[#This Row],[Profit Margin]]&gt;=15%,"Medium","Low"))</f>
        <v>High</v>
      </c>
    </row>
    <row r="854" spans="1:20" x14ac:dyDescent="0.35">
      <c r="A854" t="s">
        <v>1410</v>
      </c>
      <c r="B854" s="23" t="s">
        <v>1409</v>
      </c>
      <c r="C854" t="s">
        <v>464</v>
      </c>
      <c r="D854" t="s">
        <v>54</v>
      </c>
      <c r="E854" t="s">
        <v>103</v>
      </c>
      <c r="F854" t="s">
        <v>37</v>
      </c>
      <c r="G854" t="s">
        <v>73</v>
      </c>
      <c r="H854" t="s">
        <v>39</v>
      </c>
      <c r="I854">
        <v>9</v>
      </c>
      <c r="J854" s="4">
        <v>150</v>
      </c>
      <c r="K854" s="6">
        <v>0.05</v>
      </c>
      <c r="L854" s="8">
        <v>1282.5</v>
      </c>
      <c r="M854" s="8">
        <v>675</v>
      </c>
      <c r="N854" s="8">
        <v>607.5</v>
      </c>
      <c r="O854" s="8">
        <f>SalesData[[#This Row],[Quantity]]*SalesData[[#This Row],[Unit Price]]*(1-SalesData[[#This Row],[Discount]])</f>
        <v>1282.5</v>
      </c>
      <c r="P854" s="8">
        <f>SalesData[[#This Row],[Sales_Check]]-SalesData[[#This Row],[Cost]]</f>
        <v>607.5</v>
      </c>
      <c r="Q854" s="13">
        <f>IFERROR(SalesData[[#This Row],[Profit]]/SalesData[[#This Row],[Sales]],0)</f>
        <v>0.47368421052631576</v>
      </c>
      <c r="R854" t="str">
        <f>TEXT(SalesData[[#This Row],[Order Date]],"mmm-yyyy")</f>
        <v>Jul-2026</v>
      </c>
      <c r="S854">
        <f>YEAR(SalesData[[#This Row],[Order Date]])</f>
        <v>2026</v>
      </c>
      <c r="T854" t="str">
        <f>IF(SalesData[[#This Row],[Profit Margin]]&gt;=30%,"High",IF(SalesData[[#This Row],[Profit Margin]]&gt;=15%,"Medium","Low"))</f>
        <v>High</v>
      </c>
    </row>
    <row r="855" spans="1:20" x14ac:dyDescent="0.35">
      <c r="A855" t="s">
        <v>1411</v>
      </c>
      <c r="B855" s="23" t="s">
        <v>1412</v>
      </c>
      <c r="C855" t="s">
        <v>134</v>
      </c>
      <c r="D855" t="s">
        <v>43</v>
      </c>
      <c r="E855" t="s">
        <v>169</v>
      </c>
      <c r="F855" t="s">
        <v>19</v>
      </c>
      <c r="G855" t="s">
        <v>56</v>
      </c>
      <c r="H855" t="s">
        <v>33</v>
      </c>
      <c r="I855">
        <v>4</v>
      </c>
      <c r="J855" s="4">
        <v>350</v>
      </c>
      <c r="K855" s="6">
        <v>0.05</v>
      </c>
      <c r="L855" s="8">
        <v>1330</v>
      </c>
      <c r="M855" s="8">
        <v>680</v>
      </c>
      <c r="N855" s="8">
        <v>650</v>
      </c>
      <c r="O855" s="8">
        <f>SalesData[[#This Row],[Quantity]]*SalesData[[#This Row],[Unit Price]]*(1-SalesData[[#This Row],[Discount]])</f>
        <v>1330</v>
      </c>
      <c r="P855" s="8">
        <f>SalesData[[#This Row],[Sales_Check]]-SalesData[[#This Row],[Cost]]</f>
        <v>650</v>
      </c>
      <c r="Q855" s="13">
        <f>IFERROR(SalesData[[#This Row],[Profit]]/SalesData[[#This Row],[Sales]],0)</f>
        <v>0.48872180451127817</v>
      </c>
      <c r="R855" t="str">
        <f>TEXT(SalesData[[#This Row],[Order Date]],"mmm-yyyy")</f>
        <v>Jul-2026</v>
      </c>
      <c r="S855">
        <f>YEAR(SalesData[[#This Row],[Order Date]])</f>
        <v>2026</v>
      </c>
      <c r="T855" t="str">
        <f>IF(SalesData[[#This Row],[Profit Margin]]&gt;=30%,"High",IF(SalesData[[#This Row],[Profit Margin]]&gt;=15%,"Medium","Low"))</f>
        <v>High</v>
      </c>
    </row>
    <row r="856" spans="1:20" x14ac:dyDescent="0.35">
      <c r="A856" t="s">
        <v>1413</v>
      </c>
      <c r="B856" s="23" t="s">
        <v>1412</v>
      </c>
      <c r="C856" t="s">
        <v>189</v>
      </c>
      <c r="D856" t="s">
        <v>25</v>
      </c>
      <c r="E856" t="s">
        <v>36</v>
      </c>
      <c r="F856" t="s">
        <v>37</v>
      </c>
      <c r="G856" t="s">
        <v>73</v>
      </c>
      <c r="H856" t="s">
        <v>21</v>
      </c>
      <c r="I856">
        <v>2</v>
      </c>
      <c r="J856" s="4">
        <v>700</v>
      </c>
      <c r="K856" s="6">
        <v>0.05</v>
      </c>
      <c r="L856" s="8">
        <v>1330</v>
      </c>
      <c r="M856" s="8">
        <v>800</v>
      </c>
      <c r="N856" s="8">
        <v>530</v>
      </c>
      <c r="O856" s="8">
        <f>SalesData[[#This Row],[Quantity]]*SalesData[[#This Row],[Unit Price]]*(1-SalesData[[#This Row],[Discount]])</f>
        <v>1330</v>
      </c>
      <c r="P856" s="8">
        <f>SalesData[[#This Row],[Sales_Check]]-SalesData[[#This Row],[Cost]]</f>
        <v>530</v>
      </c>
      <c r="Q856" s="13">
        <f>IFERROR(SalesData[[#This Row],[Profit]]/SalesData[[#This Row],[Sales]],0)</f>
        <v>0.39849624060150374</v>
      </c>
      <c r="R856" t="str">
        <f>TEXT(SalesData[[#This Row],[Order Date]],"mmm-yyyy")</f>
        <v>Jul-2026</v>
      </c>
      <c r="S856">
        <f>YEAR(SalesData[[#This Row],[Order Date]])</f>
        <v>2026</v>
      </c>
      <c r="T856" t="str">
        <f>IF(SalesData[[#This Row],[Profit Margin]]&gt;=30%,"High",IF(SalesData[[#This Row],[Profit Margin]]&gt;=15%,"Medium","Low"))</f>
        <v>High</v>
      </c>
    </row>
    <row r="857" spans="1:20" x14ac:dyDescent="0.35">
      <c r="A857" t="s">
        <v>1414</v>
      </c>
      <c r="B857" s="23" t="s">
        <v>1415</v>
      </c>
      <c r="C857" t="s">
        <v>350</v>
      </c>
      <c r="D857" t="s">
        <v>17</v>
      </c>
      <c r="E857" t="s">
        <v>65</v>
      </c>
      <c r="F857" t="s">
        <v>37</v>
      </c>
      <c r="G857" t="s">
        <v>140</v>
      </c>
      <c r="H857" t="s">
        <v>125</v>
      </c>
      <c r="I857">
        <v>1</v>
      </c>
      <c r="J857" s="4">
        <v>2200</v>
      </c>
      <c r="K857" s="6">
        <v>0.05</v>
      </c>
      <c r="L857" s="8">
        <v>2090</v>
      </c>
      <c r="M857" s="8">
        <v>1400</v>
      </c>
      <c r="N857" s="8">
        <v>690</v>
      </c>
      <c r="O857" s="8">
        <f>SalesData[[#This Row],[Quantity]]*SalesData[[#This Row],[Unit Price]]*(1-SalesData[[#This Row],[Discount]])</f>
        <v>2090</v>
      </c>
      <c r="P857" s="8">
        <f>SalesData[[#This Row],[Sales_Check]]-SalesData[[#This Row],[Cost]]</f>
        <v>690</v>
      </c>
      <c r="Q857" s="13">
        <f>IFERROR(SalesData[[#This Row],[Profit]]/SalesData[[#This Row],[Sales]],0)</f>
        <v>0.33014354066985646</v>
      </c>
      <c r="R857" t="str">
        <f>TEXT(SalesData[[#This Row],[Order Date]],"mmm-yyyy")</f>
        <v>Jul-2026</v>
      </c>
      <c r="S857">
        <f>YEAR(SalesData[[#This Row],[Order Date]])</f>
        <v>2026</v>
      </c>
      <c r="T857" t="str">
        <f>IF(SalesData[[#This Row],[Profit Margin]]&gt;=30%,"High",IF(SalesData[[#This Row],[Profit Margin]]&gt;=15%,"Medium","Low"))</f>
        <v>High</v>
      </c>
    </row>
    <row r="858" spans="1:20" x14ac:dyDescent="0.35">
      <c r="A858" t="s">
        <v>1416</v>
      </c>
      <c r="B858" s="23" t="s">
        <v>1415</v>
      </c>
      <c r="C858" t="s">
        <v>248</v>
      </c>
      <c r="D858" t="s">
        <v>54</v>
      </c>
      <c r="E858" t="s">
        <v>116</v>
      </c>
      <c r="F858" t="s">
        <v>27</v>
      </c>
      <c r="G858" t="s">
        <v>28</v>
      </c>
      <c r="H858" t="s">
        <v>39</v>
      </c>
      <c r="I858">
        <v>8</v>
      </c>
      <c r="J858" s="4">
        <v>450</v>
      </c>
      <c r="K858" s="6">
        <v>0</v>
      </c>
      <c r="L858" s="8">
        <v>3600</v>
      </c>
      <c r="M858" s="8">
        <v>2000</v>
      </c>
      <c r="N858" s="8">
        <v>1600</v>
      </c>
      <c r="O858" s="8">
        <f>SalesData[[#This Row],[Quantity]]*SalesData[[#This Row],[Unit Price]]*(1-SalesData[[#This Row],[Discount]])</f>
        <v>3600</v>
      </c>
      <c r="P858" s="8">
        <f>SalesData[[#This Row],[Sales_Check]]-SalesData[[#This Row],[Cost]]</f>
        <v>1600</v>
      </c>
      <c r="Q858" s="13">
        <f>IFERROR(SalesData[[#This Row],[Profit]]/SalesData[[#This Row],[Sales]],0)</f>
        <v>0.44444444444444442</v>
      </c>
      <c r="R858" t="str">
        <f>TEXT(SalesData[[#This Row],[Order Date]],"mmm-yyyy")</f>
        <v>Jul-2026</v>
      </c>
      <c r="S858">
        <f>YEAR(SalesData[[#This Row],[Order Date]])</f>
        <v>2026</v>
      </c>
      <c r="T858" t="str">
        <f>IF(SalesData[[#This Row],[Profit Margin]]&gt;=30%,"High",IF(SalesData[[#This Row],[Profit Margin]]&gt;=15%,"Medium","Low"))</f>
        <v>High</v>
      </c>
    </row>
    <row r="859" spans="1:20" x14ac:dyDescent="0.35">
      <c r="A859" t="s">
        <v>1417</v>
      </c>
      <c r="B859" s="23" t="s">
        <v>1418</v>
      </c>
      <c r="C859" t="s">
        <v>390</v>
      </c>
      <c r="D859" t="s">
        <v>17</v>
      </c>
      <c r="E859" t="s">
        <v>65</v>
      </c>
      <c r="F859" t="s">
        <v>45</v>
      </c>
      <c r="G859" t="s">
        <v>104</v>
      </c>
      <c r="H859" t="s">
        <v>125</v>
      </c>
      <c r="I859">
        <v>8</v>
      </c>
      <c r="J859" s="4">
        <v>2200</v>
      </c>
      <c r="K859" s="6">
        <v>0.1</v>
      </c>
      <c r="L859" s="8">
        <v>15840</v>
      </c>
      <c r="M859" s="8">
        <v>11200</v>
      </c>
      <c r="N859" s="8">
        <v>4640</v>
      </c>
      <c r="O859" s="8">
        <f>SalesData[[#This Row],[Quantity]]*SalesData[[#This Row],[Unit Price]]*(1-SalesData[[#This Row],[Discount]])</f>
        <v>15840</v>
      </c>
      <c r="P859" s="8">
        <f>SalesData[[#This Row],[Sales_Check]]-SalesData[[#This Row],[Cost]]</f>
        <v>4640</v>
      </c>
      <c r="Q859" s="13">
        <f>IFERROR(SalesData[[#This Row],[Profit]]/SalesData[[#This Row],[Sales]],0)</f>
        <v>0.29292929292929293</v>
      </c>
      <c r="R859" t="str">
        <f>TEXT(SalesData[[#This Row],[Order Date]],"mmm-yyyy")</f>
        <v>Jul-2026</v>
      </c>
      <c r="S859">
        <f>YEAR(SalesData[[#This Row],[Order Date]])</f>
        <v>2026</v>
      </c>
      <c r="T859" t="str">
        <f>IF(SalesData[[#This Row],[Profit Margin]]&gt;=30%,"High",IF(SalesData[[#This Row],[Profit Margin]]&gt;=15%,"Medium","Low"))</f>
        <v>Medium</v>
      </c>
    </row>
    <row r="860" spans="1:20" x14ac:dyDescent="0.35">
      <c r="A860" t="s">
        <v>1419</v>
      </c>
      <c r="B860" s="23" t="s">
        <v>1418</v>
      </c>
      <c r="C860" t="s">
        <v>711</v>
      </c>
      <c r="D860" t="s">
        <v>43</v>
      </c>
      <c r="E860" t="s">
        <v>62</v>
      </c>
      <c r="F860" t="s">
        <v>45</v>
      </c>
      <c r="G860" t="s">
        <v>70</v>
      </c>
      <c r="H860" t="s">
        <v>47</v>
      </c>
      <c r="I860">
        <v>4</v>
      </c>
      <c r="J860" s="4">
        <v>500</v>
      </c>
      <c r="K860" s="6">
        <v>0</v>
      </c>
      <c r="L860" s="8">
        <v>2000</v>
      </c>
      <c r="M860" s="8">
        <v>1120</v>
      </c>
      <c r="N860" s="8">
        <v>880</v>
      </c>
      <c r="O860" s="8">
        <f>SalesData[[#This Row],[Quantity]]*SalesData[[#This Row],[Unit Price]]*(1-SalesData[[#This Row],[Discount]])</f>
        <v>2000</v>
      </c>
      <c r="P860" s="8">
        <f>SalesData[[#This Row],[Sales_Check]]-SalesData[[#This Row],[Cost]]</f>
        <v>880</v>
      </c>
      <c r="Q860" s="13">
        <f>IFERROR(SalesData[[#This Row],[Profit]]/SalesData[[#This Row],[Sales]],0)</f>
        <v>0.44</v>
      </c>
      <c r="R860" t="str">
        <f>TEXT(SalesData[[#This Row],[Order Date]],"mmm-yyyy")</f>
        <v>Jul-2026</v>
      </c>
      <c r="S860">
        <f>YEAR(SalesData[[#This Row],[Order Date]])</f>
        <v>2026</v>
      </c>
      <c r="T860" t="str">
        <f>IF(SalesData[[#This Row],[Profit Margin]]&gt;=30%,"High",IF(SalesData[[#This Row],[Profit Margin]]&gt;=15%,"Medium","Low"))</f>
        <v>High</v>
      </c>
    </row>
    <row r="861" spans="1:20" x14ac:dyDescent="0.35">
      <c r="A861" t="s">
        <v>1420</v>
      </c>
      <c r="B861" s="23" t="s">
        <v>1418</v>
      </c>
      <c r="C861" t="s">
        <v>64</v>
      </c>
      <c r="D861" t="s">
        <v>43</v>
      </c>
      <c r="E861" t="s">
        <v>250</v>
      </c>
      <c r="F861" t="s">
        <v>19</v>
      </c>
      <c r="G861" t="s">
        <v>113</v>
      </c>
      <c r="H861" t="s">
        <v>47</v>
      </c>
      <c r="I861">
        <v>5</v>
      </c>
      <c r="J861" s="4">
        <v>900</v>
      </c>
      <c r="K861" s="6">
        <v>0</v>
      </c>
      <c r="L861" s="8">
        <v>4500</v>
      </c>
      <c r="M861" s="8">
        <v>2600</v>
      </c>
      <c r="N861" s="8">
        <v>1900</v>
      </c>
      <c r="O861" s="8">
        <f>SalesData[[#This Row],[Quantity]]*SalesData[[#This Row],[Unit Price]]*(1-SalesData[[#This Row],[Discount]])</f>
        <v>4500</v>
      </c>
      <c r="P861" s="8">
        <f>SalesData[[#This Row],[Sales_Check]]-SalesData[[#This Row],[Cost]]</f>
        <v>1900</v>
      </c>
      <c r="Q861" s="13">
        <f>IFERROR(SalesData[[#This Row],[Profit]]/SalesData[[#This Row],[Sales]],0)</f>
        <v>0.42222222222222222</v>
      </c>
      <c r="R861" t="str">
        <f>TEXT(SalesData[[#This Row],[Order Date]],"mmm-yyyy")</f>
        <v>Jul-2026</v>
      </c>
      <c r="S861">
        <f>YEAR(SalesData[[#This Row],[Order Date]])</f>
        <v>2026</v>
      </c>
      <c r="T861" t="str">
        <f>IF(SalesData[[#This Row],[Profit Margin]]&gt;=30%,"High",IF(SalesData[[#This Row],[Profit Margin]]&gt;=15%,"Medium","Low"))</f>
        <v>High</v>
      </c>
    </row>
    <row r="862" spans="1:20" x14ac:dyDescent="0.35">
      <c r="A862" t="s">
        <v>1421</v>
      </c>
      <c r="B862" s="23" t="s">
        <v>1418</v>
      </c>
      <c r="C862" t="s">
        <v>198</v>
      </c>
      <c r="D862" t="s">
        <v>17</v>
      </c>
      <c r="E862" t="s">
        <v>50</v>
      </c>
      <c r="F862" t="s">
        <v>45</v>
      </c>
      <c r="G862" t="s">
        <v>70</v>
      </c>
      <c r="H862" t="s">
        <v>47</v>
      </c>
      <c r="I862">
        <v>9</v>
      </c>
      <c r="J862" s="4">
        <v>650</v>
      </c>
      <c r="K862" s="6">
        <v>0.05</v>
      </c>
      <c r="L862" s="8">
        <v>5557.5</v>
      </c>
      <c r="M862" s="8">
        <v>3420</v>
      </c>
      <c r="N862" s="8">
        <v>2137.5</v>
      </c>
      <c r="O862" s="8">
        <f>SalesData[[#This Row],[Quantity]]*SalesData[[#This Row],[Unit Price]]*(1-SalesData[[#This Row],[Discount]])</f>
        <v>5557.5</v>
      </c>
      <c r="P862" s="8">
        <f>SalesData[[#This Row],[Sales_Check]]-SalesData[[#This Row],[Cost]]</f>
        <v>2137.5</v>
      </c>
      <c r="Q862" s="13">
        <f>IFERROR(SalesData[[#This Row],[Profit]]/SalesData[[#This Row],[Sales]],0)</f>
        <v>0.38461538461538464</v>
      </c>
      <c r="R862" t="str">
        <f>TEXT(SalesData[[#This Row],[Order Date]],"mmm-yyyy")</f>
        <v>Jul-2026</v>
      </c>
      <c r="S862">
        <f>YEAR(SalesData[[#This Row],[Order Date]])</f>
        <v>2026</v>
      </c>
      <c r="T862" t="str">
        <f>IF(SalesData[[#This Row],[Profit Margin]]&gt;=30%,"High",IF(SalesData[[#This Row],[Profit Margin]]&gt;=15%,"Medium","Low"))</f>
        <v>High</v>
      </c>
    </row>
    <row r="863" spans="1:20" x14ac:dyDescent="0.35">
      <c r="A863" t="s">
        <v>1422</v>
      </c>
      <c r="B863" s="23" t="s">
        <v>1418</v>
      </c>
      <c r="C863" t="s">
        <v>138</v>
      </c>
      <c r="D863" t="s">
        <v>17</v>
      </c>
      <c r="E863" t="s">
        <v>124</v>
      </c>
      <c r="F863" t="s">
        <v>27</v>
      </c>
      <c r="G863" t="s">
        <v>90</v>
      </c>
      <c r="H863" t="s">
        <v>21</v>
      </c>
      <c r="I863">
        <v>6</v>
      </c>
      <c r="J863" s="4">
        <v>1200</v>
      </c>
      <c r="K863" s="6">
        <v>0</v>
      </c>
      <c r="L863" s="8">
        <v>7200</v>
      </c>
      <c r="M863" s="8">
        <v>4320</v>
      </c>
      <c r="N863" s="8">
        <v>2880</v>
      </c>
      <c r="O863" s="8">
        <f>SalesData[[#This Row],[Quantity]]*SalesData[[#This Row],[Unit Price]]*(1-SalesData[[#This Row],[Discount]])</f>
        <v>7200</v>
      </c>
      <c r="P863" s="8">
        <f>SalesData[[#This Row],[Sales_Check]]-SalesData[[#This Row],[Cost]]</f>
        <v>2880</v>
      </c>
      <c r="Q863" s="13">
        <f>IFERROR(SalesData[[#This Row],[Profit]]/SalesData[[#This Row],[Sales]],0)</f>
        <v>0.4</v>
      </c>
      <c r="R863" t="str">
        <f>TEXT(SalesData[[#This Row],[Order Date]],"mmm-yyyy")</f>
        <v>Jul-2026</v>
      </c>
      <c r="S863">
        <f>YEAR(SalesData[[#This Row],[Order Date]])</f>
        <v>2026</v>
      </c>
      <c r="T863" t="str">
        <f>IF(SalesData[[#This Row],[Profit Margin]]&gt;=30%,"High",IF(SalesData[[#This Row],[Profit Margin]]&gt;=15%,"Medium","Low"))</f>
        <v>High</v>
      </c>
    </row>
    <row r="864" spans="1:20" x14ac:dyDescent="0.35">
      <c r="A864" t="s">
        <v>1423</v>
      </c>
      <c r="B864" s="23" t="s">
        <v>1424</v>
      </c>
      <c r="C864" t="s">
        <v>670</v>
      </c>
      <c r="D864" t="s">
        <v>25</v>
      </c>
      <c r="E864" t="s">
        <v>36</v>
      </c>
      <c r="F864" t="s">
        <v>27</v>
      </c>
      <c r="G864" t="s">
        <v>51</v>
      </c>
      <c r="H864" t="s">
        <v>47</v>
      </c>
      <c r="I864">
        <v>10</v>
      </c>
      <c r="J864" s="4">
        <v>700</v>
      </c>
      <c r="K864" s="6">
        <v>0</v>
      </c>
      <c r="L864" s="8">
        <v>7000</v>
      </c>
      <c r="M864" s="8">
        <v>4000</v>
      </c>
      <c r="N864" s="8">
        <v>3000</v>
      </c>
      <c r="O864" s="8">
        <f>SalesData[[#This Row],[Quantity]]*SalesData[[#This Row],[Unit Price]]*(1-SalesData[[#This Row],[Discount]])</f>
        <v>7000</v>
      </c>
      <c r="P864" s="8">
        <f>SalesData[[#This Row],[Sales_Check]]-SalesData[[#This Row],[Cost]]</f>
        <v>3000</v>
      </c>
      <c r="Q864" s="13">
        <f>IFERROR(SalesData[[#This Row],[Profit]]/SalesData[[#This Row],[Sales]],0)</f>
        <v>0.42857142857142855</v>
      </c>
      <c r="R864" t="str">
        <f>TEXT(SalesData[[#This Row],[Order Date]],"mmm-yyyy")</f>
        <v>Jul-2026</v>
      </c>
      <c r="S864">
        <f>YEAR(SalesData[[#This Row],[Order Date]])</f>
        <v>2026</v>
      </c>
      <c r="T864" t="str">
        <f>IF(SalesData[[#This Row],[Profit Margin]]&gt;=30%,"High",IF(SalesData[[#This Row],[Profit Margin]]&gt;=15%,"Medium","Low"))</f>
        <v>High</v>
      </c>
    </row>
    <row r="865" spans="1:20" x14ac:dyDescent="0.35">
      <c r="A865" t="s">
        <v>1425</v>
      </c>
      <c r="B865" s="23" t="s">
        <v>1426</v>
      </c>
      <c r="C865" t="s">
        <v>335</v>
      </c>
      <c r="D865" t="s">
        <v>43</v>
      </c>
      <c r="E865" t="s">
        <v>169</v>
      </c>
      <c r="F865" t="s">
        <v>45</v>
      </c>
      <c r="G865" t="s">
        <v>104</v>
      </c>
      <c r="H865" t="s">
        <v>125</v>
      </c>
      <c r="I865">
        <v>3</v>
      </c>
      <c r="J865" s="4">
        <v>350</v>
      </c>
      <c r="K865" s="6">
        <v>0</v>
      </c>
      <c r="L865" s="8">
        <v>1050</v>
      </c>
      <c r="M865" s="8">
        <v>510</v>
      </c>
      <c r="N865" s="8">
        <v>540</v>
      </c>
      <c r="O865" s="8">
        <f>SalesData[[#This Row],[Quantity]]*SalesData[[#This Row],[Unit Price]]*(1-SalesData[[#This Row],[Discount]])</f>
        <v>1050</v>
      </c>
      <c r="P865" s="8">
        <f>SalesData[[#This Row],[Sales_Check]]-SalesData[[#This Row],[Cost]]</f>
        <v>540</v>
      </c>
      <c r="Q865" s="13">
        <f>IFERROR(SalesData[[#This Row],[Profit]]/SalesData[[#This Row],[Sales]],0)</f>
        <v>0.51428571428571423</v>
      </c>
      <c r="R865" t="str">
        <f>TEXT(SalesData[[#This Row],[Order Date]],"mmm-yyyy")</f>
        <v>Jul-2026</v>
      </c>
      <c r="S865">
        <f>YEAR(SalesData[[#This Row],[Order Date]])</f>
        <v>2026</v>
      </c>
      <c r="T865" t="str">
        <f>IF(SalesData[[#This Row],[Profit Margin]]&gt;=30%,"High",IF(SalesData[[#This Row],[Profit Margin]]&gt;=15%,"Medium","Low"))</f>
        <v>High</v>
      </c>
    </row>
    <row r="866" spans="1:20" x14ac:dyDescent="0.35">
      <c r="A866" t="s">
        <v>1427</v>
      </c>
      <c r="B866" s="23" t="s">
        <v>1426</v>
      </c>
      <c r="C866" t="s">
        <v>477</v>
      </c>
      <c r="D866" t="s">
        <v>54</v>
      </c>
      <c r="E866" t="s">
        <v>116</v>
      </c>
      <c r="F866" t="s">
        <v>19</v>
      </c>
      <c r="G866" t="s">
        <v>20</v>
      </c>
      <c r="H866" t="s">
        <v>33</v>
      </c>
      <c r="I866">
        <v>6</v>
      </c>
      <c r="J866" s="4">
        <v>450</v>
      </c>
      <c r="K866" s="6">
        <v>0</v>
      </c>
      <c r="L866" s="8">
        <v>2700</v>
      </c>
      <c r="M866" s="8">
        <v>1500</v>
      </c>
      <c r="N866" s="8">
        <v>1200</v>
      </c>
      <c r="O866" s="8">
        <f>SalesData[[#This Row],[Quantity]]*SalesData[[#This Row],[Unit Price]]*(1-SalesData[[#This Row],[Discount]])</f>
        <v>2700</v>
      </c>
      <c r="P866" s="8">
        <f>SalesData[[#This Row],[Sales_Check]]-SalesData[[#This Row],[Cost]]</f>
        <v>1200</v>
      </c>
      <c r="Q866" s="13">
        <f>IFERROR(SalesData[[#This Row],[Profit]]/SalesData[[#This Row],[Sales]],0)</f>
        <v>0.44444444444444442</v>
      </c>
      <c r="R866" t="str">
        <f>TEXT(SalesData[[#This Row],[Order Date]],"mmm-yyyy")</f>
        <v>Jul-2026</v>
      </c>
      <c r="S866">
        <f>YEAR(SalesData[[#This Row],[Order Date]])</f>
        <v>2026</v>
      </c>
      <c r="T866" t="str">
        <f>IF(SalesData[[#This Row],[Profit Margin]]&gt;=30%,"High",IF(SalesData[[#This Row],[Profit Margin]]&gt;=15%,"Medium","Low"))</f>
        <v>High</v>
      </c>
    </row>
    <row r="867" spans="1:20" x14ac:dyDescent="0.35">
      <c r="A867" t="s">
        <v>1428</v>
      </c>
      <c r="B867" s="23" t="s">
        <v>1426</v>
      </c>
      <c r="C867" t="s">
        <v>809</v>
      </c>
      <c r="D867" t="s">
        <v>25</v>
      </c>
      <c r="E867" t="s">
        <v>69</v>
      </c>
      <c r="F867" t="s">
        <v>19</v>
      </c>
      <c r="G867" t="s">
        <v>113</v>
      </c>
      <c r="H867" t="s">
        <v>47</v>
      </c>
      <c r="I867">
        <v>4</v>
      </c>
      <c r="J867" s="4">
        <v>350</v>
      </c>
      <c r="K867" s="6">
        <v>0.15</v>
      </c>
      <c r="L867" s="8">
        <v>1190</v>
      </c>
      <c r="M867" s="8">
        <v>720</v>
      </c>
      <c r="N867" s="8">
        <v>470</v>
      </c>
      <c r="O867" s="8">
        <f>SalesData[[#This Row],[Quantity]]*SalesData[[#This Row],[Unit Price]]*(1-SalesData[[#This Row],[Discount]])</f>
        <v>1190</v>
      </c>
      <c r="P867" s="8">
        <f>SalesData[[#This Row],[Sales_Check]]-SalesData[[#This Row],[Cost]]</f>
        <v>470</v>
      </c>
      <c r="Q867" s="13">
        <f>IFERROR(SalesData[[#This Row],[Profit]]/SalesData[[#This Row],[Sales]],0)</f>
        <v>0.3949579831932773</v>
      </c>
      <c r="R867" t="str">
        <f>TEXT(SalesData[[#This Row],[Order Date]],"mmm-yyyy")</f>
        <v>Jul-2026</v>
      </c>
      <c r="S867">
        <f>YEAR(SalesData[[#This Row],[Order Date]])</f>
        <v>2026</v>
      </c>
      <c r="T867" t="str">
        <f>IF(SalesData[[#This Row],[Profit Margin]]&gt;=30%,"High",IF(SalesData[[#This Row],[Profit Margin]]&gt;=15%,"Medium","Low"))</f>
        <v>High</v>
      </c>
    </row>
    <row r="868" spans="1:20" x14ac:dyDescent="0.35">
      <c r="A868" t="s">
        <v>1429</v>
      </c>
      <c r="B868" s="23" t="s">
        <v>1430</v>
      </c>
      <c r="C868" t="s">
        <v>272</v>
      </c>
      <c r="D868" t="s">
        <v>25</v>
      </c>
      <c r="E868" t="s">
        <v>80</v>
      </c>
      <c r="F868" t="s">
        <v>27</v>
      </c>
      <c r="G868" t="s">
        <v>28</v>
      </c>
      <c r="H868" t="s">
        <v>39</v>
      </c>
      <c r="I868">
        <v>6</v>
      </c>
      <c r="J868" s="4">
        <v>950</v>
      </c>
      <c r="K868" s="6">
        <v>0</v>
      </c>
      <c r="L868" s="8">
        <v>5700</v>
      </c>
      <c r="M868" s="8">
        <v>3360</v>
      </c>
      <c r="N868" s="8">
        <v>2340</v>
      </c>
      <c r="O868" s="8">
        <f>SalesData[[#This Row],[Quantity]]*SalesData[[#This Row],[Unit Price]]*(1-SalesData[[#This Row],[Discount]])</f>
        <v>5700</v>
      </c>
      <c r="P868" s="8">
        <f>SalesData[[#This Row],[Sales_Check]]-SalesData[[#This Row],[Cost]]</f>
        <v>2340</v>
      </c>
      <c r="Q868" s="13">
        <f>IFERROR(SalesData[[#This Row],[Profit]]/SalesData[[#This Row],[Sales]],0)</f>
        <v>0.41052631578947368</v>
      </c>
      <c r="R868" t="str">
        <f>TEXT(SalesData[[#This Row],[Order Date]],"mmm-yyyy")</f>
        <v>Jul-2026</v>
      </c>
      <c r="S868">
        <f>YEAR(SalesData[[#This Row],[Order Date]])</f>
        <v>2026</v>
      </c>
      <c r="T868" t="str">
        <f>IF(SalesData[[#This Row],[Profit Margin]]&gt;=30%,"High",IF(SalesData[[#This Row],[Profit Margin]]&gt;=15%,"Medium","Low"))</f>
        <v>High</v>
      </c>
    </row>
    <row r="869" spans="1:20" x14ac:dyDescent="0.35">
      <c r="A869" t="s">
        <v>1431</v>
      </c>
      <c r="B869" s="23" t="s">
        <v>1430</v>
      </c>
      <c r="C869" t="s">
        <v>145</v>
      </c>
      <c r="D869" t="s">
        <v>17</v>
      </c>
      <c r="E869" t="s">
        <v>65</v>
      </c>
      <c r="F869" t="s">
        <v>37</v>
      </c>
      <c r="G869" t="s">
        <v>97</v>
      </c>
      <c r="H869" t="s">
        <v>47</v>
      </c>
      <c r="I869">
        <v>9</v>
      </c>
      <c r="J869" s="4">
        <v>2200</v>
      </c>
      <c r="K869" s="6">
        <v>0.1</v>
      </c>
      <c r="L869" s="8">
        <v>17820</v>
      </c>
      <c r="M869" s="8">
        <v>12600</v>
      </c>
      <c r="N869" s="8">
        <v>5220</v>
      </c>
      <c r="O869" s="8">
        <f>SalesData[[#This Row],[Quantity]]*SalesData[[#This Row],[Unit Price]]*(1-SalesData[[#This Row],[Discount]])</f>
        <v>17820</v>
      </c>
      <c r="P869" s="8">
        <f>SalesData[[#This Row],[Sales_Check]]-SalesData[[#This Row],[Cost]]</f>
        <v>5220</v>
      </c>
      <c r="Q869" s="13">
        <f>IFERROR(SalesData[[#This Row],[Profit]]/SalesData[[#This Row],[Sales]],0)</f>
        <v>0.29292929292929293</v>
      </c>
      <c r="R869" t="str">
        <f>TEXT(SalesData[[#This Row],[Order Date]],"mmm-yyyy")</f>
        <v>Jul-2026</v>
      </c>
      <c r="S869">
        <f>YEAR(SalesData[[#This Row],[Order Date]])</f>
        <v>2026</v>
      </c>
      <c r="T869" t="str">
        <f>IF(SalesData[[#This Row],[Profit Margin]]&gt;=30%,"High",IF(SalesData[[#This Row],[Profit Margin]]&gt;=15%,"Medium","Low"))</f>
        <v>Medium</v>
      </c>
    </row>
    <row r="870" spans="1:20" x14ac:dyDescent="0.35">
      <c r="A870" t="s">
        <v>1432</v>
      </c>
      <c r="B870" s="23" t="s">
        <v>1430</v>
      </c>
      <c r="C870" t="s">
        <v>528</v>
      </c>
      <c r="D870" t="s">
        <v>17</v>
      </c>
      <c r="E870" t="s">
        <v>18</v>
      </c>
      <c r="F870" t="s">
        <v>37</v>
      </c>
      <c r="G870" t="s">
        <v>38</v>
      </c>
      <c r="H870" t="s">
        <v>29</v>
      </c>
      <c r="I870">
        <v>7</v>
      </c>
      <c r="J870" s="4">
        <v>1800</v>
      </c>
      <c r="K870" s="6">
        <v>0.05</v>
      </c>
      <c r="L870" s="8">
        <v>11970</v>
      </c>
      <c r="M870" s="8">
        <v>7700</v>
      </c>
      <c r="N870" s="8">
        <v>4270</v>
      </c>
      <c r="O870" s="8">
        <f>SalesData[[#This Row],[Quantity]]*SalesData[[#This Row],[Unit Price]]*(1-SalesData[[#This Row],[Discount]])</f>
        <v>11970</v>
      </c>
      <c r="P870" s="8">
        <f>SalesData[[#This Row],[Sales_Check]]-SalesData[[#This Row],[Cost]]</f>
        <v>4270</v>
      </c>
      <c r="Q870" s="13">
        <f>IFERROR(SalesData[[#This Row],[Profit]]/SalesData[[#This Row],[Sales]],0)</f>
        <v>0.35672514619883039</v>
      </c>
      <c r="R870" t="str">
        <f>TEXT(SalesData[[#This Row],[Order Date]],"mmm-yyyy")</f>
        <v>Jul-2026</v>
      </c>
      <c r="S870">
        <f>YEAR(SalesData[[#This Row],[Order Date]])</f>
        <v>2026</v>
      </c>
      <c r="T870" t="str">
        <f>IF(SalesData[[#This Row],[Profit Margin]]&gt;=30%,"High",IF(SalesData[[#This Row],[Profit Margin]]&gt;=15%,"Medium","Low"))</f>
        <v>High</v>
      </c>
    </row>
    <row r="871" spans="1:20" x14ac:dyDescent="0.35">
      <c r="A871" t="s">
        <v>1433</v>
      </c>
      <c r="B871" s="23" t="s">
        <v>1434</v>
      </c>
      <c r="C871" t="s">
        <v>464</v>
      </c>
      <c r="D871" t="s">
        <v>17</v>
      </c>
      <c r="E871" t="s">
        <v>65</v>
      </c>
      <c r="F871" t="s">
        <v>45</v>
      </c>
      <c r="G871" t="s">
        <v>46</v>
      </c>
      <c r="H871" t="s">
        <v>125</v>
      </c>
      <c r="I871">
        <v>2</v>
      </c>
      <c r="J871" s="4">
        <v>2200</v>
      </c>
      <c r="K871" s="6">
        <v>0</v>
      </c>
      <c r="L871" s="8">
        <v>4400</v>
      </c>
      <c r="M871" s="8">
        <v>2800</v>
      </c>
      <c r="N871" s="8">
        <v>1600</v>
      </c>
      <c r="O871" s="8">
        <f>SalesData[[#This Row],[Quantity]]*SalesData[[#This Row],[Unit Price]]*(1-SalesData[[#This Row],[Discount]])</f>
        <v>4400</v>
      </c>
      <c r="P871" s="8">
        <f>SalesData[[#This Row],[Sales_Check]]-SalesData[[#This Row],[Cost]]</f>
        <v>1600</v>
      </c>
      <c r="Q871" s="13">
        <f>IFERROR(SalesData[[#This Row],[Profit]]/SalesData[[#This Row],[Sales]],0)</f>
        <v>0.36363636363636365</v>
      </c>
      <c r="R871" t="str">
        <f>TEXT(SalesData[[#This Row],[Order Date]],"mmm-yyyy")</f>
        <v>Jul-2026</v>
      </c>
      <c r="S871">
        <f>YEAR(SalesData[[#This Row],[Order Date]])</f>
        <v>2026</v>
      </c>
      <c r="T871" t="str">
        <f>IF(SalesData[[#This Row],[Profit Margin]]&gt;=30%,"High",IF(SalesData[[#This Row],[Profit Margin]]&gt;=15%,"Medium","Low"))</f>
        <v>High</v>
      </c>
    </row>
    <row r="872" spans="1:20" x14ac:dyDescent="0.35">
      <c r="A872" t="s">
        <v>1435</v>
      </c>
      <c r="B872" s="23" t="s">
        <v>1434</v>
      </c>
      <c r="C872" t="s">
        <v>423</v>
      </c>
      <c r="D872" t="s">
        <v>25</v>
      </c>
      <c r="E872" t="s">
        <v>26</v>
      </c>
      <c r="F872" t="s">
        <v>19</v>
      </c>
      <c r="G872" t="s">
        <v>215</v>
      </c>
      <c r="H872" t="s">
        <v>33</v>
      </c>
      <c r="I872">
        <v>9</v>
      </c>
      <c r="J872" s="4">
        <v>600</v>
      </c>
      <c r="K872" s="6">
        <v>0.15</v>
      </c>
      <c r="L872" s="8">
        <v>4590</v>
      </c>
      <c r="M872" s="8">
        <v>2970</v>
      </c>
      <c r="N872" s="8">
        <v>1620</v>
      </c>
      <c r="O872" s="8">
        <f>SalesData[[#This Row],[Quantity]]*SalesData[[#This Row],[Unit Price]]*(1-SalesData[[#This Row],[Discount]])</f>
        <v>4590</v>
      </c>
      <c r="P872" s="8">
        <f>SalesData[[#This Row],[Sales_Check]]-SalesData[[#This Row],[Cost]]</f>
        <v>1620</v>
      </c>
      <c r="Q872" s="13">
        <f>IFERROR(SalesData[[#This Row],[Profit]]/SalesData[[#This Row],[Sales]],0)</f>
        <v>0.35294117647058826</v>
      </c>
      <c r="R872" t="str">
        <f>TEXT(SalesData[[#This Row],[Order Date]],"mmm-yyyy")</f>
        <v>Jul-2026</v>
      </c>
      <c r="S872">
        <f>YEAR(SalesData[[#This Row],[Order Date]])</f>
        <v>2026</v>
      </c>
      <c r="T872" t="str">
        <f>IF(SalesData[[#This Row],[Profit Margin]]&gt;=30%,"High",IF(SalesData[[#This Row],[Profit Margin]]&gt;=15%,"Medium","Low"))</f>
        <v>High</v>
      </c>
    </row>
    <row r="873" spans="1:20" x14ac:dyDescent="0.35">
      <c r="A873" t="s">
        <v>1436</v>
      </c>
      <c r="B873" s="23" t="s">
        <v>1434</v>
      </c>
      <c r="C873" t="s">
        <v>736</v>
      </c>
      <c r="D873" t="s">
        <v>17</v>
      </c>
      <c r="E873" t="s">
        <v>124</v>
      </c>
      <c r="F873" t="s">
        <v>19</v>
      </c>
      <c r="G873" t="s">
        <v>215</v>
      </c>
      <c r="H873" t="s">
        <v>39</v>
      </c>
      <c r="I873">
        <v>7</v>
      </c>
      <c r="J873" s="4">
        <v>1200</v>
      </c>
      <c r="K873" s="6">
        <v>0</v>
      </c>
      <c r="L873" s="8">
        <v>8400</v>
      </c>
      <c r="M873" s="8">
        <v>5040</v>
      </c>
      <c r="N873" s="8">
        <v>3360</v>
      </c>
      <c r="O873" s="8">
        <f>SalesData[[#This Row],[Quantity]]*SalesData[[#This Row],[Unit Price]]*(1-SalesData[[#This Row],[Discount]])</f>
        <v>8400</v>
      </c>
      <c r="P873" s="8">
        <f>SalesData[[#This Row],[Sales_Check]]-SalesData[[#This Row],[Cost]]</f>
        <v>3360</v>
      </c>
      <c r="Q873" s="13">
        <f>IFERROR(SalesData[[#This Row],[Profit]]/SalesData[[#This Row],[Sales]],0)</f>
        <v>0.4</v>
      </c>
      <c r="R873" t="str">
        <f>TEXT(SalesData[[#This Row],[Order Date]],"mmm-yyyy")</f>
        <v>Jul-2026</v>
      </c>
      <c r="S873">
        <f>YEAR(SalesData[[#This Row],[Order Date]])</f>
        <v>2026</v>
      </c>
      <c r="T873" t="str">
        <f>IF(SalesData[[#This Row],[Profit Margin]]&gt;=30%,"High",IF(SalesData[[#This Row],[Profit Margin]]&gt;=15%,"Medium","Low"))</f>
        <v>High</v>
      </c>
    </row>
    <row r="874" spans="1:20" x14ac:dyDescent="0.35">
      <c r="A874" t="s">
        <v>1437</v>
      </c>
      <c r="B874" s="23" t="s">
        <v>1434</v>
      </c>
      <c r="C874" t="s">
        <v>192</v>
      </c>
      <c r="D874" t="s">
        <v>43</v>
      </c>
      <c r="E874" t="s">
        <v>44</v>
      </c>
      <c r="F874" t="s">
        <v>45</v>
      </c>
      <c r="G874" t="s">
        <v>104</v>
      </c>
      <c r="H874" t="s">
        <v>39</v>
      </c>
      <c r="I874">
        <v>4</v>
      </c>
      <c r="J874" s="4">
        <v>2200</v>
      </c>
      <c r="K874" s="6">
        <v>0</v>
      </c>
      <c r="L874" s="8">
        <v>8800</v>
      </c>
      <c r="M874" s="8">
        <v>5800</v>
      </c>
      <c r="N874" s="8">
        <v>3000</v>
      </c>
      <c r="O874" s="8">
        <f>SalesData[[#This Row],[Quantity]]*SalesData[[#This Row],[Unit Price]]*(1-SalesData[[#This Row],[Discount]])</f>
        <v>8800</v>
      </c>
      <c r="P874" s="8">
        <f>SalesData[[#This Row],[Sales_Check]]-SalesData[[#This Row],[Cost]]</f>
        <v>3000</v>
      </c>
      <c r="Q874" s="13">
        <f>IFERROR(SalesData[[#This Row],[Profit]]/SalesData[[#This Row],[Sales]],0)</f>
        <v>0.34090909090909088</v>
      </c>
      <c r="R874" t="str">
        <f>TEXT(SalesData[[#This Row],[Order Date]],"mmm-yyyy")</f>
        <v>Jul-2026</v>
      </c>
      <c r="S874">
        <f>YEAR(SalesData[[#This Row],[Order Date]])</f>
        <v>2026</v>
      </c>
      <c r="T874" t="str">
        <f>IF(SalesData[[#This Row],[Profit Margin]]&gt;=30%,"High",IF(SalesData[[#This Row],[Profit Margin]]&gt;=15%,"Medium","Low"))</f>
        <v>High</v>
      </c>
    </row>
    <row r="875" spans="1:20" x14ac:dyDescent="0.35">
      <c r="A875" t="s">
        <v>1438</v>
      </c>
      <c r="B875" s="23" t="s">
        <v>1434</v>
      </c>
      <c r="C875" t="s">
        <v>715</v>
      </c>
      <c r="D875" t="s">
        <v>17</v>
      </c>
      <c r="E875" t="s">
        <v>32</v>
      </c>
      <c r="F875" t="s">
        <v>45</v>
      </c>
      <c r="G875" t="s">
        <v>104</v>
      </c>
      <c r="H875" t="s">
        <v>29</v>
      </c>
      <c r="I875">
        <v>2</v>
      </c>
      <c r="J875" s="4">
        <v>1500</v>
      </c>
      <c r="K875" s="6">
        <v>0.15</v>
      </c>
      <c r="L875" s="8">
        <v>2550</v>
      </c>
      <c r="M875" s="8">
        <v>1800</v>
      </c>
      <c r="N875" s="8">
        <v>750</v>
      </c>
      <c r="O875" s="8">
        <f>SalesData[[#This Row],[Quantity]]*SalesData[[#This Row],[Unit Price]]*(1-SalesData[[#This Row],[Discount]])</f>
        <v>2550</v>
      </c>
      <c r="P875" s="8">
        <f>SalesData[[#This Row],[Sales_Check]]-SalesData[[#This Row],[Cost]]</f>
        <v>750</v>
      </c>
      <c r="Q875" s="13">
        <f>IFERROR(SalesData[[#This Row],[Profit]]/SalesData[[#This Row],[Sales]],0)</f>
        <v>0.29411764705882354</v>
      </c>
      <c r="R875" t="str">
        <f>TEXT(SalesData[[#This Row],[Order Date]],"mmm-yyyy")</f>
        <v>Jul-2026</v>
      </c>
      <c r="S875">
        <f>YEAR(SalesData[[#This Row],[Order Date]])</f>
        <v>2026</v>
      </c>
      <c r="T875" t="str">
        <f>IF(SalesData[[#This Row],[Profit Margin]]&gt;=30%,"High",IF(SalesData[[#This Row],[Profit Margin]]&gt;=15%,"Medium","Low"))</f>
        <v>Medium</v>
      </c>
    </row>
    <row r="876" spans="1:20" x14ac:dyDescent="0.35">
      <c r="A876" t="s">
        <v>1439</v>
      </c>
      <c r="B876" s="23" t="s">
        <v>1434</v>
      </c>
      <c r="C876" t="s">
        <v>313</v>
      </c>
      <c r="D876" t="s">
        <v>54</v>
      </c>
      <c r="E876" t="s">
        <v>116</v>
      </c>
      <c r="F876" t="s">
        <v>45</v>
      </c>
      <c r="G876" t="s">
        <v>122</v>
      </c>
      <c r="H876" t="s">
        <v>21</v>
      </c>
      <c r="I876">
        <v>6</v>
      </c>
      <c r="J876" s="4">
        <v>450</v>
      </c>
      <c r="K876" s="6">
        <v>0</v>
      </c>
      <c r="L876" s="8">
        <v>2700</v>
      </c>
      <c r="M876" s="8">
        <v>1500</v>
      </c>
      <c r="N876" s="8">
        <v>1200</v>
      </c>
      <c r="O876" s="8">
        <f>SalesData[[#This Row],[Quantity]]*SalesData[[#This Row],[Unit Price]]*(1-SalesData[[#This Row],[Discount]])</f>
        <v>2700</v>
      </c>
      <c r="P876" s="8">
        <f>SalesData[[#This Row],[Sales_Check]]-SalesData[[#This Row],[Cost]]</f>
        <v>1200</v>
      </c>
      <c r="Q876" s="13">
        <f>IFERROR(SalesData[[#This Row],[Profit]]/SalesData[[#This Row],[Sales]],0)</f>
        <v>0.44444444444444442</v>
      </c>
      <c r="R876" t="str">
        <f>TEXT(SalesData[[#This Row],[Order Date]],"mmm-yyyy")</f>
        <v>Jul-2026</v>
      </c>
      <c r="S876">
        <f>YEAR(SalesData[[#This Row],[Order Date]])</f>
        <v>2026</v>
      </c>
      <c r="T876" t="str">
        <f>IF(SalesData[[#This Row],[Profit Margin]]&gt;=30%,"High",IF(SalesData[[#This Row],[Profit Margin]]&gt;=15%,"Medium","Low"))</f>
        <v>High</v>
      </c>
    </row>
    <row r="877" spans="1:20" x14ac:dyDescent="0.35">
      <c r="A877" t="s">
        <v>1440</v>
      </c>
      <c r="B877" s="23" t="s">
        <v>1441</v>
      </c>
      <c r="C877" t="s">
        <v>35</v>
      </c>
      <c r="D877" t="s">
        <v>25</v>
      </c>
      <c r="E877" t="s">
        <v>69</v>
      </c>
      <c r="F877" t="s">
        <v>19</v>
      </c>
      <c r="G877" t="s">
        <v>113</v>
      </c>
      <c r="H877" t="s">
        <v>29</v>
      </c>
      <c r="I877">
        <v>8</v>
      </c>
      <c r="J877" s="4">
        <v>350</v>
      </c>
      <c r="K877" s="6">
        <v>0.05</v>
      </c>
      <c r="L877" s="8">
        <v>2660</v>
      </c>
      <c r="M877" s="8">
        <v>1440</v>
      </c>
      <c r="N877" s="8">
        <v>1220</v>
      </c>
      <c r="O877" s="8">
        <f>SalesData[[#This Row],[Quantity]]*SalesData[[#This Row],[Unit Price]]*(1-SalesData[[#This Row],[Discount]])</f>
        <v>2660</v>
      </c>
      <c r="P877" s="8">
        <f>SalesData[[#This Row],[Sales_Check]]-SalesData[[#This Row],[Cost]]</f>
        <v>1220</v>
      </c>
      <c r="Q877" s="13">
        <f>IFERROR(SalesData[[#This Row],[Profit]]/SalesData[[#This Row],[Sales]],0)</f>
        <v>0.45864661654135336</v>
      </c>
      <c r="R877" t="str">
        <f>TEXT(SalesData[[#This Row],[Order Date]],"mmm-yyyy")</f>
        <v>Jul-2026</v>
      </c>
      <c r="S877">
        <f>YEAR(SalesData[[#This Row],[Order Date]])</f>
        <v>2026</v>
      </c>
      <c r="T877" t="str">
        <f>IF(SalesData[[#This Row],[Profit Margin]]&gt;=30%,"High",IF(SalesData[[#This Row],[Profit Margin]]&gt;=15%,"Medium","Low"))</f>
        <v>High</v>
      </c>
    </row>
    <row r="878" spans="1:20" x14ac:dyDescent="0.35">
      <c r="A878" t="s">
        <v>1442</v>
      </c>
      <c r="B878" s="23" t="s">
        <v>1441</v>
      </c>
      <c r="C878" t="s">
        <v>800</v>
      </c>
      <c r="D878" t="s">
        <v>54</v>
      </c>
      <c r="E878" t="s">
        <v>116</v>
      </c>
      <c r="F878" t="s">
        <v>45</v>
      </c>
      <c r="G878" t="s">
        <v>104</v>
      </c>
      <c r="H878" t="s">
        <v>21</v>
      </c>
      <c r="I878">
        <v>1</v>
      </c>
      <c r="J878" s="4">
        <v>450</v>
      </c>
      <c r="K878" s="6">
        <v>0.05</v>
      </c>
      <c r="L878" s="8">
        <v>427.5</v>
      </c>
      <c r="M878" s="8">
        <v>250</v>
      </c>
      <c r="N878" s="8">
        <v>177.5</v>
      </c>
      <c r="O878" s="8">
        <f>SalesData[[#This Row],[Quantity]]*SalesData[[#This Row],[Unit Price]]*(1-SalesData[[#This Row],[Discount]])</f>
        <v>427.5</v>
      </c>
      <c r="P878" s="8">
        <f>SalesData[[#This Row],[Sales_Check]]-SalesData[[#This Row],[Cost]]</f>
        <v>177.5</v>
      </c>
      <c r="Q878" s="13">
        <f>IFERROR(SalesData[[#This Row],[Profit]]/SalesData[[#This Row],[Sales]],0)</f>
        <v>0.41520467836257308</v>
      </c>
      <c r="R878" t="str">
        <f>TEXT(SalesData[[#This Row],[Order Date]],"mmm-yyyy")</f>
        <v>Jul-2026</v>
      </c>
      <c r="S878">
        <f>YEAR(SalesData[[#This Row],[Order Date]])</f>
        <v>2026</v>
      </c>
      <c r="T878" t="str">
        <f>IF(SalesData[[#This Row],[Profit Margin]]&gt;=30%,"High",IF(SalesData[[#This Row],[Profit Margin]]&gt;=15%,"Medium","Low"))</f>
        <v>High</v>
      </c>
    </row>
    <row r="879" spans="1:20" x14ac:dyDescent="0.35">
      <c r="A879" t="s">
        <v>1443</v>
      </c>
      <c r="B879" s="23" t="s">
        <v>1441</v>
      </c>
      <c r="C879" t="s">
        <v>82</v>
      </c>
      <c r="D879" t="s">
        <v>43</v>
      </c>
      <c r="E879" t="s">
        <v>143</v>
      </c>
      <c r="F879" t="s">
        <v>19</v>
      </c>
      <c r="G879" t="s">
        <v>113</v>
      </c>
      <c r="H879" t="s">
        <v>33</v>
      </c>
      <c r="I879">
        <v>4</v>
      </c>
      <c r="J879" s="4">
        <v>650</v>
      </c>
      <c r="K879" s="6">
        <v>0.05</v>
      </c>
      <c r="L879" s="8">
        <v>2470</v>
      </c>
      <c r="M879" s="8">
        <v>1400</v>
      </c>
      <c r="N879" s="8">
        <v>1070</v>
      </c>
      <c r="O879" s="8">
        <f>SalesData[[#This Row],[Quantity]]*SalesData[[#This Row],[Unit Price]]*(1-SalesData[[#This Row],[Discount]])</f>
        <v>2470</v>
      </c>
      <c r="P879" s="8">
        <f>SalesData[[#This Row],[Sales_Check]]-SalesData[[#This Row],[Cost]]</f>
        <v>1070</v>
      </c>
      <c r="Q879" s="13">
        <f>IFERROR(SalesData[[#This Row],[Profit]]/SalesData[[#This Row],[Sales]],0)</f>
        <v>0.4331983805668016</v>
      </c>
      <c r="R879" t="str">
        <f>TEXT(SalesData[[#This Row],[Order Date]],"mmm-yyyy")</f>
        <v>Jul-2026</v>
      </c>
      <c r="S879">
        <f>YEAR(SalesData[[#This Row],[Order Date]])</f>
        <v>2026</v>
      </c>
      <c r="T879" t="str">
        <f>IF(SalesData[[#This Row],[Profit Margin]]&gt;=30%,"High",IF(SalesData[[#This Row],[Profit Margin]]&gt;=15%,"Medium","Low"))</f>
        <v>High</v>
      </c>
    </row>
    <row r="880" spans="1:20" x14ac:dyDescent="0.35">
      <c r="A880" t="s">
        <v>1444</v>
      </c>
      <c r="B880" s="23" t="s">
        <v>1441</v>
      </c>
      <c r="C880" t="s">
        <v>566</v>
      </c>
      <c r="D880" t="s">
        <v>17</v>
      </c>
      <c r="E880" t="s">
        <v>50</v>
      </c>
      <c r="F880" t="s">
        <v>27</v>
      </c>
      <c r="G880" t="s">
        <v>90</v>
      </c>
      <c r="H880" t="s">
        <v>39</v>
      </c>
      <c r="I880">
        <v>7</v>
      </c>
      <c r="J880" s="4">
        <v>650</v>
      </c>
      <c r="K880" s="6">
        <v>0.1</v>
      </c>
      <c r="L880" s="8">
        <v>4095</v>
      </c>
      <c r="M880" s="8">
        <v>2660</v>
      </c>
      <c r="N880" s="8">
        <v>1435</v>
      </c>
      <c r="O880" s="8">
        <f>SalesData[[#This Row],[Quantity]]*SalesData[[#This Row],[Unit Price]]*(1-SalesData[[#This Row],[Discount]])</f>
        <v>4095</v>
      </c>
      <c r="P880" s="8">
        <f>SalesData[[#This Row],[Sales_Check]]-SalesData[[#This Row],[Cost]]</f>
        <v>1435</v>
      </c>
      <c r="Q880" s="13">
        <f>IFERROR(SalesData[[#This Row],[Profit]]/SalesData[[#This Row],[Sales]],0)</f>
        <v>0.3504273504273504</v>
      </c>
      <c r="R880" t="str">
        <f>TEXT(SalesData[[#This Row],[Order Date]],"mmm-yyyy")</f>
        <v>Jul-2026</v>
      </c>
      <c r="S880">
        <f>YEAR(SalesData[[#This Row],[Order Date]])</f>
        <v>2026</v>
      </c>
      <c r="T880" t="str">
        <f>IF(SalesData[[#This Row],[Profit Margin]]&gt;=30%,"High",IF(SalesData[[#This Row],[Profit Margin]]&gt;=15%,"Medium","Low"))</f>
        <v>High</v>
      </c>
    </row>
    <row r="881" spans="1:20" x14ac:dyDescent="0.35">
      <c r="A881" t="s">
        <v>1445</v>
      </c>
      <c r="B881" s="23" t="s">
        <v>1446</v>
      </c>
      <c r="C881" t="s">
        <v>209</v>
      </c>
      <c r="D881" t="s">
        <v>43</v>
      </c>
      <c r="E881" t="s">
        <v>62</v>
      </c>
      <c r="F881" t="s">
        <v>37</v>
      </c>
      <c r="G881" t="s">
        <v>73</v>
      </c>
      <c r="H881" t="s">
        <v>21</v>
      </c>
      <c r="I881">
        <v>4</v>
      </c>
      <c r="J881" s="4">
        <v>500</v>
      </c>
      <c r="K881" s="6">
        <v>0</v>
      </c>
      <c r="L881" s="8">
        <v>2000</v>
      </c>
      <c r="M881" s="8">
        <v>1120</v>
      </c>
      <c r="N881" s="8">
        <v>880</v>
      </c>
      <c r="O881" s="8">
        <f>SalesData[[#This Row],[Quantity]]*SalesData[[#This Row],[Unit Price]]*(1-SalesData[[#This Row],[Discount]])</f>
        <v>2000</v>
      </c>
      <c r="P881" s="8">
        <f>SalesData[[#This Row],[Sales_Check]]-SalesData[[#This Row],[Cost]]</f>
        <v>880</v>
      </c>
      <c r="Q881" s="13">
        <f>IFERROR(SalesData[[#This Row],[Profit]]/SalesData[[#This Row],[Sales]],0)</f>
        <v>0.44</v>
      </c>
      <c r="R881" t="str">
        <f>TEXT(SalesData[[#This Row],[Order Date]],"mmm-yyyy")</f>
        <v>Jul-2026</v>
      </c>
      <c r="S881">
        <f>YEAR(SalesData[[#This Row],[Order Date]])</f>
        <v>2026</v>
      </c>
      <c r="T881" t="str">
        <f>IF(SalesData[[#This Row],[Profit Margin]]&gt;=30%,"High",IF(SalesData[[#This Row],[Profit Margin]]&gt;=15%,"Medium","Low"))</f>
        <v>High</v>
      </c>
    </row>
    <row r="882" spans="1:20" x14ac:dyDescent="0.35">
      <c r="A882" t="s">
        <v>1447</v>
      </c>
      <c r="B882" s="23" t="s">
        <v>1446</v>
      </c>
      <c r="C882" t="s">
        <v>165</v>
      </c>
      <c r="D882" t="s">
        <v>17</v>
      </c>
      <c r="E882" t="s">
        <v>18</v>
      </c>
      <c r="F882" t="s">
        <v>27</v>
      </c>
      <c r="G882" t="s">
        <v>85</v>
      </c>
      <c r="H882" t="s">
        <v>33</v>
      </c>
      <c r="I882">
        <v>7</v>
      </c>
      <c r="J882" s="4">
        <v>1800</v>
      </c>
      <c r="K882" s="6">
        <v>0</v>
      </c>
      <c r="L882" s="8">
        <v>12600</v>
      </c>
      <c r="M882" s="8">
        <v>7700</v>
      </c>
      <c r="N882" s="8">
        <v>4900</v>
      </c>
      <c r="O882" s="8">
        <f>SalesData[[#This Row],[Quantity]]*SalesData[[#This Row],[Unit Price]]*(1-SalesData[[#This Row],[Discount]])</f>
        <v>12600</v>
      </c>
      <c r="P882" s="8">
        <f>SalesData[[#This Row],[Sales_Check]]-SalesData[[#This Row],[Cost]]</f>
        <v>4900</v>
      </c>
      <c r="Q882" s="13">
        <f>IFERROR(SalesData[[#This Row],[Profit]]/SalesData[[#This Row],[Sales]],0)</f>
        <v>0.3888888888888889</v>
      </c>
      <c r="R882" t="str">
        <f>TEXT(SalesData[[#This Row],[Order Date]],"mmm-yyyy")</f>
        <v>Jul-2026</v>
      </c>
      <c r="S882">
        <f>YEAR(SalesData[[#This Row],[Order Date]])</f>
        <v>2026</v>
      </c>
      <c r="T882" t="str">
        <f>IF(SalesData[[#This Row],[Profit Margin]]&gt;=30%,"High",IF(SalesData[[#This Row],[Profit Margin]]&gt;=15%,"Medium","Low"))</f>
        <v>High</v>
      </c>
    </row>
    <row r="883" spans="1:20" x14ac:dyDescent="0.35">
      <c r="A883" t="s">
        <v>1448</v>
      </c>
      <c r="B883" s="23" t="s">
        <v>1446</v>
      </c>
      <c r="C883" t="s">
        <v>220</v>
      </c>
      <c r="D883" t="s">
        <v>25</v>
      </c>
      <c r="E883" t="s">
        <v>26</v>
      </c>
      <c r="F883" t="s">
        <v>27</v>
      </c>
      <c r="G883" t="s">
        <v>85</v>
      </c>
      <c r="H883" t="s">
        <v>47</v>
      </c>
      <c r="I883">
        <v>6</v>
      </c>
      <c r="J883" s="4">
        <v>600</v>
      </c>
      <c r="K883" s="6">
        <v>0</v>
      </c>
      <c r="L883" s="8">
        <v>3600</v>
      </c>
      <c r="M883" s="8">
        <v>1980</v>
      </c>
      <c r="N883" s="8">
        <v>1620</v>
      </c>
      <c r="O883" s="8">
        <f>SalesData[[#This Row],[Quantity]]*SalesData[[#This Row],[Unit Price]]*(1-SalesData[[#This Row],[Discount]])</f>
        <v>3600</v>
      </c>
      <c r="P883" s="8">
        <f>SalesData[[#This Row],[Sales_Check]]-SalesData[[#This Row],[Cost]]</f>
        <v>1620</v>
      </c>
      <c r="Q883" s="13">
        <f>IFERROR(SalesData[[#This Row],[Profit]]/SalesData[[#This Row],[Sales]],0)</f>
        <v>0.45</v>
      </c>
      <c r="R883" t="str">
        <f>TEXT(SalesData[[#This Row],[Order Date]],"mmm-yyyy")</f>
        <v>Jul-2026</v>
      </c>
      <c r="S883">
        <f>YEAR(SalesData[[#This Row],[Order Date]])</f>
        <v>2026</v>
      </c>
      <c r="T883" t="str">
        <f>IF(SalesData[[#This Row],[Profit Margin]]&gt;=30%,"High",IF(SalesData[[#This Row],[Profit Margin]]&gt;=15%,"Medium","Low"))</f>
        <v>High</v>
      </c>
    </row>
    <row r="884" spans="1:20" x14ac:dyDescent="0.35">
      <c r="A884" t="s">
        <v>1449</v>
      </c>
      <c r="B884" s="23" t="s">
        <v>1446</v>
      </c>
      <c r="C884" t="s">
        <v>464</v>
      </c>
      <c r="D884" t="s">
        <v>17</v>
      </c>
      <c r="E884" t="s">
        <v>18</v>
      </c>
      <c r="F884" t="s">
        <v>37</v>
      </c>
      <c r="G884" t="s">
        <v>38</v>
      </c>
      <c r="H884" t="s">
        <v>39</v>
      </c>
      <c r="I884">
        <v>3</v>
      </c>
      <c r="J884" s="4">
        <v>1800</v>
      </c>
      <c r="K884" s="6">
        <v>0.1</v>
      </c>
      <c r="L884" s="8">
        <v>4860</v>
      </c>
      <c r="M884" s="8">
        <v>3300</v>
      </c>
      <c r="N884" s="8">
        <v>1560</v>
      </c>
      <c r="O884" s="8">
        <f>SalesData[[#This Row],[Quantity]]*SalesData[[#This Row],[Unit Price]]*(1-SalesData[[#This Row],[Discount]])</f>
        <v>4860</v>
      </c>
      <c r="P884" s="8">
        <f>SalesData[[#This Row],[Sales_Check]]-SalesData[[#This Row],[Cost]]</f>
        <v>1560</v>
      </c>
      <c r="Q884" s="13">
        <f>IFERROR(SalesData[[#This Row],[Profit]]/SalesData[[#This Row],[Sales]],0)</f>
        <v>0.32098765432098764</v>
      </c>
      <c r="R884" t="str">
        <f>TEXT(SalesData[[#This Row],[Order Date]],"mmm-yyyy")</f>
        <v>Jul-2026</v>
      </c>
      <c r="S884">
        <f>YEAR(SalesData[[#This Row],[Order Date]])</f>
        <v>2026</v>
      </c>
      <c r="T884" t="str">
        <f>IF(SalesData[[#This Row],[Profit Margin]]&gt;=30%,"High",IF(SalesData[[#This Row],[Profit Margin]]&gt;=15%,"Medium","Low"))</f>
        <v>High</v>
      </c>
    </row>
    <row r="885" spans="1:20" x14ac:dyDescent="0.35">
      <c r="A885" t="s">
        <v>1450</v>
      </c>
      <c r="B885" s="23" t="s">
        <v>1451</v>
      </c>
      <c r="C885" t="s">
        <v>575</v>
      </c>
      <c r="D885" t="s">
        <v>17</v>
      </c>
      <c r="E885" t="s">
        <v>50</v>
      </c>
      <c r="F885" t="s">
        <v>19</v>
      </c>
      <c r="G885" t="s">
        <v>113</v>
      </c>
      <c r="H885" t="s">
        <v>29</v>
      </c>
      <c r="I885">
        <v>1</v>
      </c>
      <c r="J885" s="4">
        <v>650</v>
      </c>
      <c r="K885" s="6">
        <v>0</v>
      </c>
      <c r="L885" s="8">
        <v>650</v>
      </c>
      <c r="M885" s="8">
        <v>380</v>
      </c>
      <c r="N885" s="8">
        <v>270</v>
      </c>
      <c r="O885" s="8">
        <f>SalesData[[#This Row],[Quantity]]*SalesData[[#This Row],[Unit Price]]*(1-SalesData[[#This Row],[Discount]])</f>
        <v>650</v>
      </c>
      <c r="P885" s="8">
        <f>SalesData[[#This Row],[Sales_Check]]-SalesData[[#This Row],[Cost]]</f>
        <v>270</v>
      </c>
      <c r="Q885" s="13">
        <f>IFERROR(SalesData[[#This Row],[Profit]]/SalesData[[#This Row],[Sales]],0)</f>
        <v>0.41538461538461541</v>
      </c>
      <c r="R885" t="str">
        <f>TEXT(SalesData[[#This Row],[Order Date]],"mmm-yyyy")</f>
        <v>Jul-2026</v>
      </c>
      <c r="S885">
        <f>YEAR(SalesData[[#This Row],[Order Date]])</f>
        <v>2026</v>
      </c>
      <c r="T885" t="str">
        <f>IF(SalesData[[#This Row],[Profit Margin]]&gt;=30%,"High",IF(SalesData[[#This Row],[Profit Margin]]&gt;=15%,"Medium","Low"))</f>
        <v>High</v>
      </c>
    </row>
    <row r="886" spans="1:20" x14ac:dyDescent="0.35">
      <c r="A886" t="s">
        <v>1452</v>
      </c>
      <c r="B886" s="23" t="s">
        <v>1451</v>
      </c>
      <c r="C886" t="s">
        <v>800</v>
      </c>
      <c r="D886" t="s">
        <v>17</v>
      </c>
      <c r="E886" t="s">
        <v>50</v>
      </c>
      <c r="F886" t="s">
        <v>45</v>
      </c>
      <c r="G886" t="s">
        <v>70</v>
      </c>
      <c r="H886" t="s">
        <v>21</v>
      </c>
      <c r="I886">
        <v>1</v>
      </c>
      <c r="J886" s="4">
        <v>650</v>
      </c>
      <c r="K886" s="6">
        <v>0.15</v>
      </c>
      <c r="L886" s="8">
        <v>552.5</v>
      </c>
      <c r="M886" s="8">
        <v>380</v>
      </c>
      <c r="N886" s="8">
        <v>172.5</v>
      </c>
      <c r="O886" s="8">
        <f>SalesData[[#This Row],[Quantity]]*SalesData[[#This Row],[Unit Price]]*(1-SalesData[[#This Row],[Discount]])</f>
        <v>552.5</v>
      </c>
      <c r="P886" s="8">
        <f>SalesData[[#This Row],[Sales_Check]]-SalesData[[#This Row],[Cost]]</f>
        <v>172.5</v>
      </c>
      <c r="Q886" s="13">
        <f>IFERROR(SalesData[[#This Row],[Profit]]/SalesData[[#This Row],[Sales]],0)</f>
        <v>0.31221719457013575</v>
      </c>
      <c r="R886" t="str">
        <f>TEXT(SalesData[[#This Row],[Order Date]],"mmm-yyyy")</f>
        <v>Jul-2026</v>
      </c>
      <c r="S886">
        <f>YEAR(SalesData[[#This Row],[Order Date]])</f>
        <v>2026</v>
      </c>
      <c r="T886" t="str">
        <f>IF(SalesData[[#This Row],[Profit Margin]]&gt;=30%,"High",IF(SalesData[[#This Row],[Profit Margin]]&gt;=15%,"Medium","Low"))</f>
        <v>High</v>
      </c>
    </row>
    <row r="887" spans="1:20" x14ac:dyDescent="0.35">
      <c r="A887" t="s">
        <v>1453</v>
      </c>
      <c r="B887" s="23" t="s">
        <v>1454</v>
      </c>
      <c r="C887" t="s">
        <v>473</v>
      </c>
      <c r="D887" t="s">
        <v>17</v>
      </c>
      <c r="E887" t="s">
        <v>65</v>
      </c>
      <c r="F887" t="s">
        <v>37</v>
      </c>
      <c r="G887" t="s">
        <v>38</v>
      </c>
      <c r="H887" t="s">
        <v>33</v>
      </c>
      <c r="I887">
        <v>8</v>
      </c>
      <c r="J887" s="4">
        <v>2200</v>
      </c>
      <c r="K887" s="6">
        <v>0.1</v>
      </c>
      <c r="L887" s="8">
        <v>15840</v>
      </c>
      <c r="M887" s="8">
        <v>11200</v>
      </c>
      <c r="N887" s="8">
        <v>4640</v>
      </c>
      <c r="O887" s="8">
        <f>SalesData[[#This Row],[Quantity]]*SalesData[[#This Row],[Unit Price]]*(1-SalesData[[#This Row],[Discount]])</f>
        <v>15840</v>
      </c>
      <c r="P887" s="8">
        <f>SalesData[[#This Row],[Sales_Check]]-SalesData[[#This Row],[Cost]]</f>
        <v>4640</v>
      </c>
      <c r="Q887" s="13">
        <f>IFERROR(SalesData[[#This Row],[Profit]]/SalesData[[#This Row],[Sales]],0)</f>
        <v>0.29292929292929293</v>
      </c>
      <c r="R887" t="str">
        <f>TEXT(SalesData[[#This Row],[Order Date]],"mmm-yyyy")</f>
        <v>Jul-2026</v>
      </c>
      <c r="S887">
        <f>YEAR(SalesData[[#This Row],[Order Date]])</f>
        <v>2026</v>
      </c>
      <c r="T887" t="str">
        <f>IF(SalesData[[#This Row],[Profit Margin]]&gt;=30%,"High",IF(SalesData[[#This Row],[Profit Margin]]&gt;=15%,"Medium","Low"))</f>
        <v>Medium</v>
      </c>
    </row>
    <row r="888" spans="1:20" x14ac:dyDescent="0.35">
      <c r="A888" t="s">
        <v>1455</v>
      </c>
      <c r="B888" s="23" t="s">
        <v>1454</v>
      </c>
      <c r="C888" t="s">
        <v>569</v>
      </c>
      <c r="D888" t="s">
        <v>17</v>
      </c>
      <c r="E888" t="s">
        <v>32</v>
      </c>
      <c r="F888" t="s">
        <v>27</v>
      </c>
      <c r="G888" t="s">
        <v>28</v>
      </c>
      <c r="H888" t="s">
        <v>29</v>
      </c>
      <c r="I888">
        <v>4</v>
      </c>
      <c r="J888" s="4">
        <v>1500</v>
      </c>
      <c r="K888" s="6">
        <v>0.1</v>
      </c>
      <c r="L888" s="8">
        <v>5400</v>
      </c>
      <c r="M888" s="8">
        <v>3600</v>
      </c>
      <c r="N888" s="8">
        <v>1800</v>
      </c>
      <c r="O888" s="8">
        <f>SalesData[[#This Row],[Quantity]]*SalesData[[#This Row],[Unit Price]]*(1-SalesData[[#This Row],[Discount]])</f>
        <v>5400</v>
      </c>
      <c r="P888" s="8">
        <f>SalesData[[#This Row],[Sales_Check]]-SalesData[[#This Row],[Cost]]</f>
        <v>1800</v>
      </c>
      <c r="Q888" s="13">
        <f>IFERROR(SalesData[[#This Row],[Profit]]/SalesData[[#This Row],[Sales]],0)</f>
        <v>0.33333333333333331</v>
      </c>
      <c r="R888" t="str">
        <f>TEXT(SalesData[[#This Row],[Order Date]],"mmm-yyyy")</f>
        <v>Jul-2026</v>
      </c>
      <c r="S888">
        <f>YEAR(SalesData[[#This Row],[Order Date]])</f>
        <v>2026</v>
      </c>
      <c r="T888" t="str">
        <f>IF(SalesData[[#This Row],[Profit Margin]]&gt;=30%,"High",IF(SalesData[[#This Row],[Profit Margin]]&gt;=15%,"Medium","Low"))</f>
        <v>High</v>
      </c>
    </row>
    <row r="889" spans="1:20" x14ac:dyDescent="0.35">
      <c r="A889" t="s">
        <v>1456</v>
      </c>
      <c r="B889" s="23" t="s">
        <v>1457</v>
      </c>
      <c r="C889" t="s">
        <v>625</v>
      </c>
      <c r="D889" t="s">
        <v>25</v>
      </c>
      <c r="E889" t="s">
        <v>36</v>
      </c>
      <c r="F889" t="s">
        <v>27</v>
      </c>
      <c r="G889" t="s">
        <v>90</v>
      </c>
      <c r="H889" t="s">
        <v>29</v>
      </c>
      <c r="I889">
        <v>9</v>
      </c>
      <c r="J889" s="4">
        <v>700</v>
      </c>
      <c r="K889" s="6">
        <v>0.1</v>
      </c>
      <c r="L889" s="8">
        <v>5670</v>
      </c>
      <c r="M889" s="8">
        <v>3600</v>
      </c>
      <c r="N889" s="8">
        <v>2070</v>
      </c>
      <c r="O889" s="8">
        <f>SalesData[[#This Row],[Quantity]]*SalesData[[#This Row],[Unit Price]]*(1-SalesData[[#This Row],[Discount]])</f>
        <v>5670</v>
      </c>
      <c r="P889" s="8">
        <f>SalesData[[#This Row],[Sales_Check]]-SalesData[[#This Row],[Cost]]</f>
        <v>2070</v>
      </c>
      <c r="Q889" s="13">
        <f>IFERROR(SalesData[[#This Row],[Profit]]/SalesData[[#This Row],[Sales]],0)</f>
        <v>0.36507936507936506</v>
      </c>
      <c r="R889" t="str">
        <f>TEXT(SalesData[[#This Row],[Order Date]],"mmm-yyyy")</f>
        <v>Jul-2026</v>
      </c>
      <c r="S889">
        <f>YEAR(SalesData[[#This Row],[Order Date]])</f>
        <v>2026</v>
      </c>
      <c r="T889" t="str">
        <f>IF(SalesData[[#This Row],[Profit Margin]]&gt;=30%,"High",IF(SalesData[[#This Row],[Profit Margin]]&gt;=15%,"Medium","Low"))</f>
        <v>High</v>
      </c>
    </row>
    <row r="890" spans="1:20" x14ac:dyDescent="0.35">
      <c r="A890" t="s">
        <v>1458</v>
      </c>
      <c r="B890" s="23" t="s">
        <v>1457</v>
      </c>
      <c r="C890" t="s">
        <v>328</v>
      </c>
      <c r="D890" t="s">
        <v>54</v>
      </c>
      <c r="E890" t="s">
        <v>110</v>
      </c>
      <c r="F890" t="s">
        <v>19</v>
      </c>
      <c r="G890" t="s">
        <v>20</v>
      </c>
      <c r="H890" t="s">
        <v>33</v>
      </c>
      <c r="I890">
        <v>5</v>
      </c>
      <c r="J890" s="4">
        <v>280</v>
      </c>
      <c r="K890" s="6">
        <v>0.1</v>
      </c>
      <c r="L890" s="8">
        <v>1260</v>
      </c>
      <c r="M890" s="8">
        <v>750</v>
      </c>
      <c r="N890" s="8">
        <v>510</v>
      </c>
      <c r="O890" s="8">
        <f>SalesData[[#This Row],[Quantity]]*SalesData[[#This Row],[Unit Price]]*(1-SalesData[[#This Row],[Discount]])</f>
        <v>1260</v>
      </c>
      <c r="P890" s="8">
        <f>SalesData[[#This Row],[Sales_Check]]-SalesData[[#This Row],[Cost]]</f>
        <v>510</v>
      </c>
      <c r="Q890" s="13">
        <f>IFERROR(SalesData[[#This Row],[Profit]]/SalesData[[#This Row],[Sales]],0)</f>
        <v>0.40476190476190477</v>
      </c>
      <c r="R890" t="str">
        <f>TEXT(SalesData[[#This Row],[Order Date]],"mmm-yyyy")</f>
        <v>Jul-2026</v>
      </c>
      <c r="S890">
        <f>YEAR(SalesData[[#This Row],[Order Date]])</f>
        <v>2026</v>
      </c>
      <c r="T890" t="str">
        <f>IF(SalesData[[#This Row],[Profit Margin]]&gt;=30%,"High",IF(SalesData[[#This Row],[Profit Margin]]&gt;=15%,"Medium","Low"))</f>
        <v>High</v>
      </c>
    </row>
    <row r="891" spans="1:20" x14ac:dyDescent="0.35">
      <c r="A891" t="s">
        <v>1459</v>
      </c>
      <c r="B891" s="23" t="s">
        <v>1457</v>
      </c>
      <c r="C891" t="s">
        <v>444</v>
      </c>
      <c r="D891" t="s">
        <v>43</v>
      </c>
      <c r="E891" t="s">
        <v>62</v>
      </c>
      <c r="F891" t="s">
        <v>19</v>
      </c>
      <c r="G891" t="s">
        <v>113</v>
      </c>
      <c r="H891" t="s">
        <v>33</v>
      </c>
      <c r="I891">
        <v>10</v>
      </c>
      <c r="J891" s="4">
        <v>500</v>
      </c>
      <c r="K891" s="6">
        <v>0</v>
      </c>
      <c r="L891" s="8">
        <v>5000</v>
      </c>
      <c r="M891" s="8">
        <v>2800</v>
      </c>
      <c r="N891" s="8">
        <v>2200</v>
      </c>
      <c r="O891" s="8">
        <f>SalesData[[#This Row],[Quantity]]*SalesData[[#This Row],[Unit Price]]*(1-SalesData[[#This Row],[Discount]])</f>
        <v>5000</v>
      </c>
      <c r="P891" s="8">
        <f>SalesData[[#This Row],[Sales_Check]]-SalesData[[#This Row],[Cost]]</f>
        <v>2200</v>
      </c>
      <c r="Q891" s="13">
        <f>IFERROR(SalesData[[#This Row],[Profit]]/SalesData[[#This Row],[Sales]],0)</f>
        <v>0.44</v>
      </c>
      <c r="R891" t="str">
        <f>TEXT(SalesData[[#This Row],[Order Date]],"mmm-yyyy")</f>
        <v>Jul-2026</v>
      </c>
      <c r="S891">
        <f>YEAR(SalesData[[#This Row],[Order Date]])</f>
        <v>2026</v>
      </c>
      <c r="T891" t="str">
        <f>IF(SalesData[[#This Row],[Profit Margin]]&gt;=30%,"High",IF(SalesData[[#This Row],[Profit Margin]]&gt;=15%,"Medium","Low"))</f>
        <v>High</v>
      </c>
    </row>
    <row r="892" spans="1:20" x14ac:dyDescent="0.35">
      <c r="A892" t="s">
        <v>1460</v>
      </c>
      <c r="B892" s="23" t="s">
        <v>1457</v>
      </c>
      <c r="C892" t="s">
        <v>701</v>
      </c>
      <c r="D892" t="s">
        <v>43</v>
      </c>
      <c r="E892" t="s">
        <v>143</v>
      </c>
      <c r="F892" t="s">
        <v>37</v>
      </c>
      <c r="G892" t="s">
        <v>97</v>
      </c>
      <c r="H892" t="s">
        <v>47</v>
      </c>
      <c r="I892">
        <v>4</v>
      </c>
      <c r="J892" s="4">
        <v>650</v>
      </c>
      <c r="K892" s="6">
        <v>0.15</v>
      </c>
      <c r="L892" s="8">
        <v>2210</v>
      </c>
      <c r="M892" s="8">
        <v>1400</v>
      </c>
      <c r="N892" s="8">
        <v>810</v>
      </c>
      <c r="O892" s="8">
        <f>SalesData[[#This Row],[Quantity]]*SalesData[[#This Row],[Unit Price]]*(1-SalesData[[#This Row],[Discount]])</f>
        <v>2210</v>
      </c>
      <c r="P892" s="8">
        <f>SalesData[[#This Row],[Sales_Check]]-SalesData[[#This Row],[Cost]]</f>
        <v>810</v>
      </c>
      <c r="Q892" s="13">
        <f>IFERROR(SalesData[[#This Row],[Profit]]/SalesData[[#This Row],[Sales]],0)</f>
        <v>0.36651583710407237</v>
      </c>
      <c r="R892" t="str">
        <f>TEXT(SalesData[[#This Row],[Order Date]],"mmm-yyyy")</f>
        <v>Jul-2026</v>
      </c>
      <c r="S892">
        <f>YEAR(SalesData[[#This Row],[Order Date]])</f>
        <v>2026</v>
      </c>
      <c r="T892" t="str">
        <f>IF(SalesData[[#This Row],[Profit Margin]]&gt;=30%,"High",IF(SalesData[[#This Row],[Profit Margin]]&gt;=15%,"Medium","Low"))</f>
        <v>High</v>
      </c>
    </row>
    <row r="893" spans="1:20" x14ac:dyDescent="0.35">
      <c r="A893" t="s">
        <v>1461</v>
      </c>
      <c r="B893" s="23" t="s">
        <v>1462</v>
      </c>
      <c r="C893" t="s">
        <v>182</v>
      </c>
      <c r="D893" t="s">
        <v>43</v>
      </c>
      <c r="E893" t="s">
        <v>44</v>
      </c>
      <c r="F893" t="s">
        <v>27</v>
      </c>
      <c r="G893" t="s">
        <v>51</v>
      </c>
      <c r="H893" t="s">
        <v>33</v>
      </c>
      <c r="I893">
        <v>4</v>
      </c>
      <c r="J893" s="4">
        <v>2200</v>
      </c>
      <c r="K893" s="6">
        <v>0.1</v>
      </c>
      <c r="L893" s="8">
        <v>7920</v>
      </c>
      <c r="M893" s="8">
        <v>5800</v>
      </c>
      <c r="N893" s="8">
        <v>2120</v>
      </c>
      <c r="O893" s="8">
        <f>SalesData[[#This Row],[Quantity]]*SalesData[[#This Row],[Unit Price]]*(1-SalesData[[#This Row],[Discount]])</f>
        <v>7920</v>
      </c>
      <c r="P893" s="8">
        <f>SalesData[[#This Row],[Sales_Check]]-SalesData[[#This Row],[Cost]]</f>
        <v>2120</v>
      </c>
      <c r="Q893" s="13">
        <f>IFERROR(SalesData[[#This Row],[Profit]]/SalesData[[#This Row],[Sales]],0)</f>
        <v>0.26767676767676768</v>
      </c>
      <c r="R893" t="str">
        <f>TEXT(SalesData[[#This Row],[Order Date]],"mmm-yyyy")</f>
        <v>Jul-2026</v>
      </c>
      <c r="S893">
        <f>YEAR(SalesData[[#This Row],[Order Date]])</f>
        <v>2026</v>
      </c>
      <c r="T893" t="str">
        <f>IF(SalesData[[#This Row],[Profit Margin]]&gt;=30%,"High",IF(SalesData[[#This Row],[Profit Margin]]&gt;=15%,"Medium","Low"))</f>
        <v>Medium</v>
      </c>
    </row>
    <row r="894" spans="1:20" x14ac:dyDescent="0.35">
      <c r="A894" t="s">
        <v>1463</v>
      </c>
      <c r="B894" s="23" t="s">
        <v>1462</v>
      </c>
      <c r="C894" t="s">
        <v>61</v>
      </c>
      <c r="D894" t="s">
        <v>54</v>
      </c>
      <c r="E894" t="s">
        <v>55</v>
      </c>
      <c r="F894" t="s">
        <v>37</v>
      </c>
      <c r="G894" t="s">
        <v>73</v>
      </c>
      <c r="H894" t="s">
        <v>21</v>
      </c>
      <c r="I894">
        <v>9</v>
      </c>
      <c r="J894" s="4">
        <v>180</v>
      </c>
      <c r="K894" s="6">
        <v>0.05</v>
      </c>
      <c r="L894" s="8">
        <v>1539</v>
      </c>
      <c r="M894" s="8">
        <v>810</v>
      </c>
      <c r="N894" s="8">
        <v>729</v>
      </c>
      <c r="O894" s="8">
        <f>SalesData[[#This Row],[Quantity]]*SalesData[[#This Row],[Unit Price]]*(1-SalesData[[#This Row],[Discount]])</f>
        <v>1539</v>
      </c>
      <c r="P894" s="8">
        <f>SalesData[[#This Row],[Sales_Check]]-SalesData[[#This Row],[Cost]]</f>
        <v>729</v>
      </c>
      <c r="Q894" s="13">
        <f>IFERROR(SalesData[[#This Row],[Profit]]/SalesData[[#This Row],[Sales]],0)</f>
        <v>0.47368421052631576</v>
      </c>
      <c r="R894" t="str">
        <f>TEXT(SalesData[[#This Row],[Order Date]],"mmm-yyyy")</f>
        <v>Jul-2026</v>
      </c>
      <c r="S894">
        <f>YEAR(SalesData[[#This Row],[Order Date]])</f>
        <v>2026</v>
      </c>
      <c r="T894" t="str">
        <f>IF(SalesData[[#This Row],[Profit Margin]]&gt;=30%,"High",IF(SalesData[[#This Row],[Profit Margin]]&gt;=15%,"Medium","Low"))</f>
        <v>High</v>
      </c>
    </row>
    <row r="895" spans="1:20" x14ac:dyDescent="0.35">
      <c r="A895" t="s">
        <v>1464</v>
      </c>
      <c r="B895" s="23" t="s">
        <v>1465</v>
      </c>
      <c r="C895" t="s">
        <v>171</v>
      </c>
      <c r="D895" t="s">
        <v>17</v>
      </c>
      <c r="E895" t="s">
        <v>50</v>
      </c>
      <c r="F895" t="s">
        <v>27</v>
      </c>
      <c r="G895" t="s">
        <v>85</v>
      </c>
      <c r="H895" t="s">
        <v>21</v>
      </c>
      <c r="I895">
        <v>7</v>
      </c>
      <c r="J895" s="4">
        <v>650</v>
      </c>
      <c r="K895" s="6">
        <v>0</v>
      </c>
      <c r="L895" s="8">
        <v>4550</v>
      </c>
      <c r="M895" s="8">
        <v>2660</v>
      </c>
      <c r="N895" s="8">
        <v>1890</v>
      </c>
      <c r="O895" s="8">
        <f>SalesData[[#This Row],[Quantity]]*SalesData[[#This Row],[Unit Price]]*(1-SalesData[[#This Row],[Discount]])</f>
        <v>4550</v>
      </c>
      <c r="P895" s="8">
        <f>SalesData[[#This Row],[Sales_Check]]-SalesData[[#This Row],[Cost]]</f>
        <v>1890</v>
      </c>
      <c r="Q895" s="13">
        <f>IFERROR(SalesData[[#This Row],[Profit]]/SalesData[[#This Row],[Sales]],0)</f>
        <v>0.41538461538461541</v>
      </c>
      <c r="R895" t="str">
        <f>TEXT(SalesData[[#This Row],[Order Date]],"mmm-yyyy")</f>
        <v>Jul-2026</v>
      </c>
      <c r="S895">
        <f>YEAR(SalesData[[#This Row],[Order Date]])</f>
        <v>2026</v>
      </c>
      <c r="T895" t="str">
        <f>IF(SalesData[[#This Row],[Profit Margin]]&gt;=30%,"High",IF(SalesData[[#This Row],[Profit Margin]]&gt;=15%,"Medium","Low"))</f>
        <v>High</v>
      </c>
    </row>
    <row r="896" spans="1:20" x14ac:dyDescent="0.35">
      <c r="A896" t="s">
        <v>1466</v>
      </c>
      <c r="B896" s="23" t="s">
        <v>1465</v>
      </c>
      <c r="C896" t="s">
        <v>350</v>
      </c>
      <c r="D896" t="s">
        <v>17</v>
      </c>
      <c r="E896" t="s">
        <v>65</v>
      </c>
      <c r="F896" t="s">
        <v>19</v>
      </c>
      <c r="G896" t="s">
        <v>56</v>
      </c>
      <c r="H896" t="s">
        <v>39</v>
      </c>
      <c r="I896">
        <v>3</v>
      </c>
      <c r="J896" s="4">
        <v>2200</v>
      </c>
      <c r="K896" s="6">
        <v>0</v>
      </c>
      <c r="L896" s="8">
        <v>6600</v>
      </c>
      <c r="M896" s="8">
        <v>4200</v>
      </c>
      <c r="N896" s="8">
        <v>2400</v>
      </c>
      <c r="O896" s="8">
        <f>SalesData[[#This Row],[Quantity]]*SalesData[[#This Row],[Unit Price]]*(1-SalesData[[#This Row],[Discount]])</f>
        <v>6600</v>
      </c>
      <c r="P896" s="8">
        <f>SalesData[[#This Row],[Sales_Check]]-SalesData[[#This Row],[Cost]]</f>
        <v>2400</v>
      </c>
      <c r="Q896" s="13">
        <f>IFERROR(SalesData[[#This Row],[Profit]]/SalesData[[#This Row],[Sales]],0)</f>
        <v>0.36363636363636365</v>
      </c>
      <c r="R896" t="str">
        <f>TEXT(SalesData[[#This Row],[Order Date]],"mmm-yyyy")</f>
        <v>Jul-2026</v>
      </c>
      <c r="S896">
        <f>YEAR(SalesData[[#This Row],[Order Date]])</f>
        <v>2026</v>
      </c>
      <c r="T896" t="str">
        <f>IF(SalesData[[#This Row],[Profit Margin]]&gt;=30%,"High",IF(SalesData[[#This Row],[Profit Margin]]&gt;=15%,"Medium","Low"))</f>
        <v>High</v>
      </c>
    </row>
    <row r="897" spans="1:20" x14ac:dyDescent="0.35">
      <c r="A897" t="s">
        <v>1467</v>
      </c>
      <c r="B897" s="23" t="s">
        <v>1465</v>
      </c>
      <c r="C897" t="s">
        <v>876</v>
      </c>
      <c r="D897" t="s">
        <v>25</v>
      </c>
      <c r="E897" t="s">
        <v>26</v>
      </c>
      <c r="F897" t="s">
        <v>45</v>
      </c>
      <c r="G897" t="s">
        <v>104</v>
      </c>
      <c r="H897" t="s">
        <v>125</v>
      </c>
      <c r="I897">
        <v>5</v>
      </c>
      <c r="J897" s="4">
        <v>600</v>
      </c>
      <c r="K897" s="6">
        <v>0.05</v>
      </c>
      <c r="L897" s="8">
        <v>2850</v>
      </c>
      <c r="M897" s="8">
        <v>1650</v>
      </c>
      <c r="N897" s="8">
        <v>1200</v>
      </c>
      <c r="O897" s="8">
        <f>SalesData[[#This Row],[Quantity]]*SalesData[[#This Row],[Unit Price]]*(1-SalesData[[#This Row],[Discount]])</f>
        <v>2850</v>
      </c>
      <c r="P897" s="8">
        <f>SalesData[[#This Row],[Sales_Check]]-SalesData[[#This Row],[Cost]]</f>
        <v>1200</v>
      </c>
      <c r="Q897" s="13">
        <f>IFERROR(SalesData[[#This Row],[Profit]]/SalesData[[#This Row],[Sales]],0)</f>
        <v>0.42105263157894735</v>
      </c>
      <c r="R897" t="str">
        <f>TEXT(SalesData[[#This Row],[Order Date]],"mmm-yyyy")</f>
        <v>Jul-2026</v>
      </c>
      <c r="S897">
        <f>YEAR(SalesData[[#This Row],[Order Date]])</f>
        <v>2026</v>
      </c>
      <c r="T897" t="str">
        <f>IF(SalesData[[#This Row],[Profit Margin]]&gt;=30%,"High",IF(SalesData[[#This Row],[Profit Margin]]&gt;=15%,"Medium","Low"))</f>
        <v>High</v>
      </c>
    </row>
    <row r="898" spans="1:20" x14ac:dyDescent="0.35">
      <c r="A898" t="s">
        <v>1468</v>
      </c>
      <c r="B898" s="23" t="s">
        <v>1465</v>
      </c>
      <c r="C898" t="s">
        <v>691</v>
      </c>
      <c r="D898" t="s">
        <v>54</v>
      </c>
      <c r="E898" t="s">
        <v>110</v>
      </c>
      <c r="F898" t="s">
        <v>45</v>
      </c>
      <c r="G898" t="s">
        <v>70</v>
      </c>
      <c r="H898" t="s">
        <v>29</v>
      </c>
      <c r="I898">
        <v>2</v>
      </c>
      <c r="J898" s="4">
        <v>280</v>
      </c>
      <c r="K898" s="6">
        <v>0.1</v>
      </c>
      <c r="L898" s="8">
        <v>504</v>
      </c>
      <c r="M898" s="8">
        <v>300</v>
      </c>
      <c r="N898" s="8">
        <v>204</v>
      </c>
      <c r="O898" s="8">
        <f>SalesData[[#This Row],[Quantity]]*SalesData[[#This Row],[Unit Price]]*(1-SalesData[[#This Row],[Discount]])</f>
        <v>504</v>
      </c>
      <c r="P898" s="8">
        <f>SalesData[[#This Row],[Sales_Check]]-SalesData[[#This Row],[Cost]]</f>
        <v>204</v>
      </c>
      <c r="Q898" s="13">
        <f>IFERROR(SalesData[[#This Row],[Profit]]/SalesData[[#This Row],[Sales]],0)</f>
        <v>0.40476190476190477</v>
      </c>
      <c r="R898" t="str">
        <f>TEXT(SalesData[[#This Row],[Order Date]],"mmm-yyyy")</f>
        <v>Jul-2026</v>
      </c>
      <c r="S898">
        <f>YEAR(SalesData[[#This Row],[Order Date]])</f>
        <v>2026</v>
      </c>
      <c r="T898" t="str">
        <f>IF(SalesData[[#This Row],[Profit Margin]]&gt;=30%,"High",IF(SalesData[[#This Row],[Profit Margin]]&gt;=15%,"Medium","Low"))</f>
        <v>High</v>
      </c>
    </row>
    <row r="899" spans="1:20" x14ac:dyDescent="0.35">
      <c r="A899" t="s">
        <v>1469</v>
      </c>
      <c r="B899" s="23" t="s">
        <v>1470</v>
      </c>
      <c r="C899" t="s">
        <v>294</v>
      </c>
      <c r="D899" t="s">
        <v>25</v>
      </c>
      <c r="E899" t="s">
        <v>36</v>
      </c>
      <c r="F899" t="s">
        <v>19</v>
      </c>
      <c r="G899" t="s">
        <v>215</v>
      </c>
      <c r="H899" t="s">
        <v>29</v>
      </c>
      <c r="I899">
        <v>10</v>
      </c>
      <c r="J899" s="4">
        <v>700</v>
      </c>
      <c r="K899" s="6">
        <v>0.05</v>
      </c>
      <c r="L899" s="8">
        <v>6650</v>
      </c>
      <c r="M899" s="8">
        <v>4000</v>
      </c>
      <c r="N899" s="8">
        <v>2650</v>
      </c>
      <c r="O899" s="8">
        <f>SalesData[[#This Row],[Quantity]]*SalesData[[#This Row],[Unit Price]]*(1-SalesData[[#This Row],[Discount]])</f>
        <v>6650</v>
      </c>
      <c r="P899" s="8">
        <f>SalesData[[#This Row],[Sales_Check]]-SalesData[[#This Row],[Cost]]</f>
        <v>2650</v>
      </c>
      <c r="Q899" s="13">
        <f>IFERROR(SalesData[[#This Row],[Profit]]/SalesData[[#This Row],[Sales]],0)</f>
        <v>0.39849624060150374</v>
      </c>
      <c r="R899" t="str">
        <f>TEXT(SalesData[[#This Row],[Order Date]],"mmm-yyyy")</f>
        <v>Jul-2026</v>
      </c>
      <c r="S899">
        <f>YEAR(SalesData[[#This Row],[Order Date]])</f>
        <v>2026</v>
      </c>
      <c r="T899" t="str">
        <f>IF(SalesData[[#This Row],[Profit Margin]]&gt;=30%,"High",IF(SalesData[[#This Row],[Profit Margin]]&gt;=15%,"Medium","Low"))</f>
        <v>High</v>
      </c>
    </row>
    <row r="900" spans="1:20" x14ac:dyDescent="0.35">
      <c r="A900" t="s">
        <v>1471</v>
      </c>
      <c r="B900" s="23" t="s">
        <v>1472</v>
      </c>
      <c r="C900" t="s">
        <v>352</v>
      </c>
      <c r="D900" t="s">
        <v>43</v>
      </c>
      <c r="E900" t="s">
        <v>44</v>
      </c>
      <c r="F900" t="s">
        <v>27</v>
      </c>
      <c r="G900" t="s">
        <v>51</v>
      </c>
      <c r="H900" t="s">
        <v>47</v>
      </c>
      <c r="I900">
        <v>6</v>
      </c>
      <c r="J900" s="4">
        <v>2200</v>
      </c>
      <c r="K900" s="6">
        <v>0</v>
      </c>
      <c r="L900" s="8">
        <v>13200</v>
      </c>
      <c r="M900" s="8">
        <v>8700</v>
      </c>
      <c r="N900" s="8">
        <v>4500</v>
      </c>
      <c r="O900" s="8">
        <f>SalesData[[#This Row],[Quantity]]*SalesData[[#This Row],[Unit Price]]*(1-SalesData[[#This Row],[Discount]])</f>
        <v>13200</v>
      </c>
      <c r="P900" s="8">
        <f>SalesData[[#This Row],[Sales_Check]]-SalesData[[#This Row],[Cost]]</f>
        <v>4500</v>
      </c>
      <c r="Q900" s="13">
        <f>IFERROR(SalesData[[#This Row],[Profit]]/SalesData[[#This Row],[Sales]],0)</f>
        <v>0.34090909090909088</v>
      </c>
      <c r="R900" t="str">
        <f>TEXT(SalesData[[#This Row],[Order Date]],"mmm-yyyy")</f>
        <v>Jul-2026</v>
      </c>
      <c r="S900">
        <f>YEAR(SalesData[[#This Row],[Order Date]])</f>
        <v>2026</v>
      </c>
      <c r="T900" t="str">
        <f>IF(SalesData[[#This Row],[Profit Margin]]&gt;=30%,"High",IF(SalesData[[#This Row],[Profit Margin]]&gt;=15%,"Medium","Low"))</f>
        <v>High</v>
      </c>
    </row>
    <row r="901" spans="1:20" x14ac:dyDescent="0.35">
      <c r="A901" t="s">
        <v>1473</v>
      </c>
      <c r="B901" s="23" t="s">
        <v>1472</v>
      </c>
      <c r="C901" t="s">
        <v>35</v>
      </c>
      <c r="D901" t="s">
        <v>54</v>
      </c>
      <c r="E901" t="s">
        <v>55</v>
      </c>
      <c r="F901" t="s">
        <v>45</v>
      </c>
      <c r="G901" t="s">
        <v>122</v>
      </c>
      <c r="H901" t="s">
        <v>21</v>
      </c>
      <c r="I901">
        <v>5</v>
      </c>
      <c r="J901" s="4">
        <v>180</v>
      </c>
      <c r="K901" s="6">
        <v>0</v>
      </c>
      <c r="L901" s="8">
        <v>900</v>
      </c>
      <c r="M901" s="8">
        <v>450</v>
      </c>
      <c r="N901" s="8">
        <v>450</v>
      </c>
      <c r="O901" s="8">
        <f>SalesData[[#This Row],[Quantity]]*SalesData[[#This Row],[Unit Price]]*(1-SalesData[[#This Row],[Discount]])</f>
        <v>900</v>
      </c>
      <c r="P901" s="8">
        <f>SalesData[[#This Row],[Sales_Check]]-SalesData[[#This Row],[Cost]]</f>
        <v>450</v>
      </c>
      <c r="Q901" s="13">
        <f>IFERROR(SalesData[[#This Row],[Profit]]/SalesData[[#This Row],[Sales]],0)</f>
        <v>0.5</v>
      </c>
      <c r="R901" t="str">
        <f>TEXT(SalesData[[#This Row],[Order Date]],"mmm-yyyy")</f>
        <v>Jul-2026</v>
      </c>
      <c r="S901">
        <f>YEAR(SalesData[[#This Row],[Order Date]])</f>
        <v>2026</v>
      </c>
      <c r="T901" t="str">
        <f>IF(SalesData[[#This Row],[Profit Margin]]&gt;=30%,"High",IF(SalesData[[#This Row],[Profit Margin]]&gt;=15%,"Medium","Low"))</f>
        <v>High</v>
      </c>
    </row>
    <row r="902" spans="1:20" x14ac:dyDescent="0.35">
      <c r="A902" t="s">
        <v>1474</v>
      </c>
      <c r="B902" s="23" t="s">
        <v>1472</v>
      </c>
      <c r="C902" t="s">
        <v>115</v>
      </c>
      <c r="D902" t="s">
        <v>17</v>
      </c>
      <c r="E902" t="s">
        <v>65</v>
      </c>
      <c r="F902" t="s">
        <v>37</v>
      </c>
      <c r="G902" t="s">
        <v>73</v>
      </c>
      <c r="H902" t="s">
        <v>29</v>
      </c>
      <c r="I902">
        <v>1</v>
      </c>
      <c r="J902" s="4">
        <v>2200</v>
      </c>
      <c r="K902" s="6">
        <v>0</v>
      </c>
      <c r="L902" s="8">
        <v>2200</v>
      </c>
      <c r="M902" s="8">
        <v>1400</v>
      </c>
      <c r="N902" s="8">
        <v>800</v>
      </c>
      <c r="O902" s="8">
        <f>SalesData[[#This Row],[Quantity]]*SalesData[[#This Row],[Unit Price]]*(1-SalesData[[#This Row],[Discount]])</f>
        <v>2200</v>
      </c>
      <c r="P902" s="8">
        <f>SalesData[[#This Row],[Sales_Check]]-SalesData[[#This Row],[Cost]]</f>
        <v>800</v>
      </c>
      <c r="Q902" s="13">
        <f>IFERROR(SalesData[[#This Row],[Profit]]/SalesData[[#This Row],[Sales]],0)</f>
        <v>0.36363636363636365</v>
      </c>
      <c r="R902" t="str">
        <f>TEXT(SalesData[[#This Row],[Order Date]],"mmm-yyyy")</f>
        <v>Jul-2026</v>
      </c>
      <c r="S902">
        <f>YEAR(SalesData[[#This Row],[Order Date]])</f>
        <v>2026</v>
      </c>
      <c r="T902" t="str">
        <f>IF(SalesData[[#This Row],[Profit Margin]]&gt;=30%,"High",IF(SalesData[[#This Row],[Profit Margin]]&gt;=15%,"Medium","Low"))</f>
        <v>High</v>
      </c>
    </row>
    <row r="903" spans="1:20" x14ac:dyDescent="0.35">
      <c r="A903" t="s">
        <v>1475</v>
      </c>
      <c r="B903" s="23" t="s">
        <v>1476</v>
      </c>
      <c r="C903" t="s">
        <v>99</v>
      </c>
      <c r="D903" t="s">
        <v>25</v>
      </c>
      <c r="E903" t="s">
        <v>69</v>
      </c>
      <c r="F903" t="s">
        <v>27</v>
      </c>
      <c r="G903" t="s">
        <v>28</v>
      </c>
      <c r="H903" t="s">
        <v>29</v>
      </c>
      <c r="I903">
        <v>4</v>
      </c>
      <c r="J903" s="4">
        <v>350</v>
      </c>
      <c r="K903" s="6">
        <v>0</v>
      </c>
      <c r="L903" s="8">
        <v>1400</v>
      </c>
      <c r="M903" s="8">
        <v>720</v>
      </c>
      <c r="N903" s="8">
        <v>680</v>
      </c>
      <c r="O903" s="8">
        <f>SalesData[[#This Row],[Quantity]]*SalesData[[#This Row],[Unit Price]]*(1-SalesData[[#This Row],[Discount]])</f>
        <v>1400</v>
      </c>
      <c r="P903" s="8">
        <f>SalesData[[#This Row],[Sales_Check]]-SalesData[[#This Row],[Cost]]</f>
        <v>680</v>
      </c>
      <c r="Q903" s="13">
        <f>IFERROR(SalesData[[#This Row],[Profit]]/SalesData[[#This Row],[Sales]],0)</f>
        <v>0.48571428571428571</v>
      </c>
      <c r="R903" t="str">
        <f>TEXT(SalesData[[#This Row],[Order Date]],"mmm-yyyy")</f>
        <v>Aug-2026</v>
      </c>
      <c r="S903">
        <f>YEAR(SalesData[[#This Row],[Order Date]])</f>
        <v>2026</v>
      </c>
      <c r="T903" t="str">
        <f>IF(SalesData[[#This Row],[Profit Margin]]&gt;=30%,"High",IF(SalesData[[#This Row],[Profit Margin]]&gt;=15%,"Medium","Low"))</f>
        <v>High</v>
      </c>
    </row>
    <row r="904" spans="1:20" x14ac:dyDescent="0.35">
      <c r="A904" t="s">
        <v>1477</v>
      </c>
      <c r="B904" s="23" t="s">
        <v>1476</v>
      </c>
      <c r="C904" t="s">
        <v>99</v>
      </c>
      <c r="D904" t="s">
        <v>25</v>
      </c>
      <c r="E904" t="s">
        <v>89</v>
      </c>
      <c r="F904" t="s">
        <v>37</v>
      </c>
      <c r="G904" t="s">
        <v>38</v>
      </c>
      <c r="H904" t="s">
        <v>29</v>
      </c>
      <c r="I904">
        <v>10</v>
      </c>
      <c r="J904" s="4">
        <v>550</v>
      </c>
      <c r="K904" s="6">
        <v>0</v>
      </c>
      <c r="L904" s="8">
        <v>5500</v>
      </c>
      <c r="M904" s="8">
        <v>3000</v>
      </c>
      <c r="N904" s="8">
        <v>2500</v>
      </c>
      <c r="O904" s="8">
        <f>SalesData[[#This Row],[Quantity]]*SalesData[[#This Row],[Unit Price]]*(1-SalesData[[#This Row],[Discount]])</f>
        <v>5500</v>
      </c>
      <c r="P904" s="8">
        <f>SalesData[[#This Row],[Sales_Check]]-SalesData[[#This Row],[Cost]]</f>
        <v>2500</v>
      </c>
      <c r="Q904" s="13">
        <f>IFERROR(SalesData[[#This Row],[Profit]]/SalesData[[#This Row],[Sales]],0)</f>
        <v>0.45454545454545453</v>
      </c>
      <c r="R904" t="str">
        <f>TEXT(SalesData[[#This Row],[Order Date]],"mmm-yyyy")</f>
        <v>Aug-2026</v>
      </c>
      <c r="S904">
        <f>YEAR(SalesData[[#This Row],[Order Date]])</f>
        <v>2026</v>
      </c>
      <c r="T904" t="str">
        <f>IF(SalesData[[#This Row],[Profit Margin]]&gt;=30%,"High",IF(SalesData[[#This Row],[Profit Margin]]&gt;=15%,"Medium","Low"))</f>
        <v>High</v>
      </c>
    </row>
    <row r="905" spans="1:20" x14ac:dyDescent="0.35">
      <c r="A905" t="s">
        <v>1478</v>
      </c>
      <c r="B905" s="23" t="s">
        <v>1479</v>
      </c>
      <c r="C905" t="s">
        <v>131</v>
      </c>
      <c r="D905" t="s">
        <v>25</v>
      </c>
      <c r="E905" t="s">
        <v>36</v>
      </c>
      <c r="F905" t="s">
        <v>19</v>
      </c>
      <c r="G905" t="s">
        <v>113</v>
      </c>
      <c r="H905" t="s">
        <v>125</v>
      </c>
      <c r="I905">
        <v>5</v>
      </c>
      <c r="J905" s="4">
        <v>700</v>
      </c>
      <c r="K905" s="6">
        <v>0</v>
      </c>
      <c r="L905" s="8">
        <v>3500</v>
      </c>
      <c r="M905" s="8">
        <v>2000</v>
      </c>
      <c r="N905" s="8">
        <v>1500</v>
      </c>
      <c r="O905" s="8">
        <f>SalesData[[#This Row],[Quantity]]*SalesData[[#This Row],[Unit Price]]*(1-SalesData[[#This Row],[Discount]])</f>
        <v>3500</v>
      </c>
      <c r="P905" s="8">
        <f>SalesData[[#This Row],[Sales_Check]]-SalesData[[#This Row],[Cost]]</f>
        <v>1500</v>
      </c>
      <c r="Q905" s="13">
        <f>IFERROR(SalesData[[#This Row],[Profit]]/SalesData[[#This Row],[Sales]],0)</f>
        <v>0.42857142857142855</v>
      </c>
      <c r="R905" t="str">
        <f>TEXT(SalesData[[#This Row],[Order Date]],"mmm-yyyy")</f>
        <v>Aug-2026</v>
      </c>
      <c r="S905">
        <f>YEAR(SalesData[[#This Row],[Order Date]])</f>
        <v>2026</v>
      </c>
      <c r="T905" t="str">
        <f>IF(SalesData[[#This Row],[Profit Margin]]&gt;=30%,"High",IF(SalesData[[#This Row],[Profit Margin]]&gt;=15%,"Medium","Low"))</f>
        <v>High</v>
      </c>
    </row>
    <row r="906" spans="1:20" x14ac:dyDescent="0.35">
      <c r="A906" t="s">
        <v>1480</v>
      </c>
      <c r="B906" s="23" t="s">
        <v>1481</v>
      </c>
      <c r="C906" t="s">
        <v>207</v>
      </c>
      <c r="D906" t="s">
        <v>17</v>
      </c>
      <c r="E906" t="s">
        <v>124</v>
      </c>
      <c r="F906" t="s">
        <v>37</v>
      </c>
      <c r="G906" t="s">
        <v>38</v>
      </c>
      <c r="H906" t="s">
        <v>125</v>
      </c>
      <c r="I906">
        <v>2</v>
      </c>
      <c r="J906" s="4">
        <v>1200</v>
      </c>
      <c r="K906" s="6">
        <v>0.05</v>
      </c>
      <c r="L906" s="8">
        <v>2280</v>
      </c>
      <c r="M906" s="8">
        <v>1440</v>
      </c>
      <c r="N906" s="8">
        <v>840</v>
      </c>
      <c r="O906" s="8">
        <f>SalesData[[#This Row],[Quantity]]*SalesData[[#This Row],[Unit Price]]*(1-SalesData[[#This Row],[Discount]])</f>
        <v>2280</v>
      </c>
      <c r="P906" s="8">
        <f>SalesData[[#This Row],[Sales_Check]]-SalesData[[#This Row],[Cost]]</f>
        <v>840</v>
      </c>
      <c r="Q906" s="13">
        <f>IFERROR(SalesData[[#This Row],[Profit]]/SalesData[[#This Row],[Sales]],0)</f>
        <v>0.36842105263157893</v>
      </c>
      <c r="R906" t="str">
        <f>TEXT(SalesData[[#This Row],[Order Date]],"mmm-yyyy")</f>
        <v>Aug-2026</v>
      </c>
      <c r="S906">
        <f>YEAR(SalesData[[#This Row],[Order Date]])</f>
        <v>2026</v>
      </c>
      <c r="T906" t="str">
        <f>IF(SalesData[[#This Row],[Profit Margin]]&gt;=30%,"High",IF(SalesData[[#This Row],[Profit Margin]]&gt;=15%,"Medium","Low"))</f>
        <v>High</v>
      </c>
    </row>
    <row r="907" spans="1:20" x14ac:dyDescent="0.35">
      <c r="A907" t="s">
        <v>1482</v>
      </c>
      <c r="B907" s="23" t="s">
        <v>1481</v>
      </c>
      <c r="C907" t="s">
        <v>575</v>
      </c>
      <c r="D907" t="s">
        <v>54</v>
      </c>
      <c r="E907" t="s">
        <v>110</v>
      </c>
      <c r="F907" t="s">
        <v>19</v>
      </c>
      <c r="G907" t="s">
        <v>113</v>
      </c>
      <c r="H907" t="s">
        <v>39</v>
      </c>
      <c r="I907">
        <v>6</v>
      </c>
      <c r="J907" s="4">
        <v>280</v>
      </c>
      <c r="K907" s="6">
        <v>0</v>
      </c>
      <c r="L907" s="8">
        <v>1680</v>
      </c>
      <c r="M907" s="8">
        <v>900</v>
      </c>
      <c r="N907" s="8">
        <v>780</v>
      </c>
      <c r="O907" s="8">
        <f>SalesData[[#This Row],[Quantity]]*SalesData[[#This Row],[Unit Price]]*(1-SalesData[[#This Row],[Discount]])</f>
        <v>1680</v>
      </c>
      <c r="P907" s="8">
        <f>SalesData[[#This Row],[Sales_Check]]-SalesData[[#This Row],[Cost]]</f>
        <v>780</v>
      </c>
      <c r="Q907" s="13">
        <f>IFERROR(SalesData[[#This Row],[Profit]]/SalesData[[#This Row],[Sales]],0)</f>
        <v>0.4642857142857143</v>
      </c>
      <c r="R907" t="str">
        <f>TEXT(SalesData[[#This Row],[Order Date]],"mmm-yyyy")</f>
        <v>Aug-2026</v>
      </c>
      <c r="S907">
        <f>YEAR(SalesData[[#This Row],[Order Date]])</f>
        <v>2026</v>
      </c>
      <c r="T907" t="str">
        <f>IF(SalesData[[#This Row],[Profit Margin]]&gt;=30%,"High",IF(SalesData[[#This Row],[Profit Margin]]&gt;=15%,"Medium","Low"))</f>
        <v>High</v>
      </c>
    </row>
    <row r="908" spans="1:20" x14ac:dyDescent="0.35">
      <c r="A908" t="s">
        <v>1483</v>
      </c>
      <c r="B908" s="23" t="s">
        <v>1481</v>
      </c>
      <c r="C908" t="s">
        <v>106</v>
      </c>
      <c r="D908" t="s">
        <v>25</v>
      </c>
      <c r="E908" t="s">
        <v>80</v>
      </c>
      <c r="F908" t="s">
        <v>37</v>
      </c>
      <c r="G908" t="s">
        <v>73</v>
      </c>
      <c r="H908" t="s">
        <v>29</v>
      </c>
      <c r="I908">
        <v>8</v>
      </c>
      <c r="J908" s="4">
        <v>950</v>
      </c>
      <c r="K908" s="6">
        <v>0.1</v>
      </c>
      <c r="L908" s="8">
        <v>6840</v>
      </c>
      <c r="M908" s="8">
        <v>4480</v>
      </c>
      <c r="N908" s="8">
        <v>2360</v>
      </c>
      <c r="O908" s="8">
        <f>SalesData[[#This Row],[Quantity]]*SalesData[[#This Row],[Unit Price]]*(1-SalesData[[#This Row],[Discount]])</f>
        <v>6840</v>
      </c>
      <c r="P908" s="8">
        <f>SalesData[[#This Row],[Sales_Check]]-SalesData[[#This Row],[Cost]]</f>
        <v>2360</v>
      </c>
      <c r="Q908" s="13">
        <f>IFERROR(SalesData[[#This Row],[Profit]]/SalesData[[#This Row],[Sales]],0)</f>
        <v>0.34502923976608185</v>
      </c>
      <c r="R908" t="str">
        <f>TEXT(SalesData[[#This Row],[Order Date]],"mmm-yyyy")</f>
        <v>Aug-2026</v>
      </c>
      <c r="S908">
        <f>YEAR(SalesData[[#This Row],[Order Date]])</f>
        <v>2026</v>
      </c>
      <c r="T908" t="str">
        <f>IF(SalesData[[#This Row],[Profit Margin]]&gt;=30%,"High",IF(SalesData[[#This Row],[Profit Margin]]&gt;=15%,"Medium","Low"))</f>
        <v>High</v>
      </c>
    </row>
    <row r="909" spans="1:20" x14ac:dyDescent="0.35">
      <c r="A909" t="s">
        <v>1484</v>
      </c>
      <c r="B909" s="23" t="s">
        <v>1481</v>
      </c>
      <c r="C909" t="s">
        <v>35</v>
      </c>
      <c r="D909" t="s">
        <v>25</v>
      </c>
      <c r="E909" t="s">
        <v>69</v>
      </c>
      <c r="F909" t="s">
        <v>19</v>
      </c>
      <c r="G909" t="s">
        <v>215</v>
      </c>
      <c r="H909" t="s">
        <v>39</v>
      </c>
      <c r="I909">
        <v>1</v>
      </c>
      <c r="J909" s="4">
        <v>350</v>
      </c>
      <c r="K909" s="6">
        <v>0.05</v>
      </c>
      <c r="L909" s="8">
        <v>332.5</v>
      </c>
      <c r="M909" s="8">
        <v>180</v>
      </c>
      <c r="N909" s="8">
        <v>152.5</v>
      </c>
      <c r="O909" s="8">
        <f>SalesData[[#This Row],[Quantity]]*SalesData[[#This Row],[Unit Price]]*(1-SalesData[[#This Row],[Discount]])</f>
        <v>332.5</v>
      </c>
      <c r="P909" s="8">
        <f>SalesData[[#This Row],[Sales_Check]]-SalesData[[#This Row],[Cost]]</f>
        <v>152.5</v>
      </c>
      <c r="Q909" s="13">
        <f>IFERROR(SalesData[[#This Row],[Profit]]/SalesData[[#This Row],[Sales]],0)</f>
        <v>0.45864661654135336</v>
      </c>
      <c r="R909" t="str">
        <f>TEXT(SalesData[[#This Row],[Order Date]],"mmm-yyyy")</f>
        <v>Aug-2026</v>
      </c>
      <c r="S909">
        <f>YEAR(SalesData[[#This Row],[Order Date]])</f>
        <v>2026</v>
      </c>
      <c r="T909" t="str">
        <f>IF(SalesData[[#This Row],[Profit Margin]]&gt;=30%,"High",IF(SalesData[[#This Row],[Profit Margin]]&gt;=15%,"Medium","Low"))</f>
        <v>High</v>
      </c>
    </row>
    <row r="910" spans="1:20" x14ac:dyDescent="0.35">
      <c r="A910" t="s">
        <v>1485</v>
      </c>
      <c r="B910" s="23" t="s">
        <v>1486</v>
      </c>
      <c r="C910" t="s">
        <v>236</v>
      </c>
      <c r="D910" t="s">
        <v>17</v>
      </c>
      <c r="E910" t="s">
        <v>50</v>
      </c>
      <c r="F910" t="s">
        <v>45</v>
      </c>
      <c r="G910" t="s">
        <v>70</v>
      </c>
      <c r="H910" t="s">
        <v>125</v>
      </c>
      <c r="I910">
        <v>5</v>
      </c>
      <c r="J910" s="4">
        <v>650</v>
      </c>
      <c r="K910" s="6">
        <v>0</v>
      </c>
      <c r="L910" s="8">
        <v>3250</v>
      </c>
      <c r="M910" s="8">
        <v>1900</v>
      </c>
      <c r="N910" s="8">
        <v>1350</v>
      </c>
      <c r="O910" s="8">
        <f>SalesData[[#This Row],[Quantity]]*SalesData[[#This Row],[Unit Price]]*(1-SalesData[[#This Row],[Discount]])</f>
        <v>3250</v>
      </c>
      <c r="P910" s="8">
        <f>SalesData[[#This Row],[Sales_Check]]-SalesData[[#This Row],[Cost]]</f>
        <v>1350</v>
      </c>
      <c r="Q910" s="13">
        <f>IFERROR(SalesData[[#This Row],[Profit]]/SalesData[[#This Row],[Sales]],0)</f>
        <v>0.41538461538461541</v>
      </c>
      <c r="R910" t="str">
        <f>TEXT(SalesData[[#This Row],[Order Date]],"mmm-yyyy")</f>
        <v>Aug-2026</v>
      </c>
      <c r="S910">
        <f>YEAR(SalesData[[#This Row],[Order Date]])</f>
        <v>2026</v>
      </c>
      <c r="T910" t="str">
        <f>IF(SalesData[[#This Row],[Profit Margin]]&gt;=30%,"High",IF(SalesData[[#This Row],[Profit Margin]]&gt;=15%,"Medium","Low"))</f>
        <v>High</v>
      </c>
    </row>
    <row r="911" spans="1:20" x14ac:dyDescent="0.35">
      <c r="A911" t="s">
        <v>1487</v>
      </c>
      <c r="B911" s="23" t="s">
        <v>1486</v>
      </c>
      <c r="C911" t="s">
        <v>473</v>
      </c>
      <c r="D911" t="s">
        <v>17</v>
      </c>
      <c r="E911" t="s">
        <v>50</v>
      </c>
      <c r="F911" t="s">
        <v>19</v>
      </c>
      <c r="G911" t="s">
        <v>113</v>
      </c>
      <c r="H911" t="s">
        <v>29</v>
      </c>
      <c r="I911">
        <v>2</v>
      </c>
      <c r="J911" s="4">
        <v>650</v>
      </c>
      <c r="K911" s="6">
        <v>0</v>
      </c>
      <c r="L911" s="8">
        <v>1300</v>
      </c>
      <c r="M911" s="8">
        <v>760</v>
      </c>
      <c r="N911" s="8">
        <v>540</v>
      </c>
      <c r="O911" s="8">
        <f>SalesData[[#This Row],[Quantity]]*SalesData[[#This Row],[Unit Price]]*(1-SalesData[[#This Row],[Discount]])</f>
        <v>1300</v>
      </c>
      <c r="P911" s="8">
        <f>SalesData[[#This Row],[Sales_Check]]-SalesData[[#This Row],[Cost]]</f>
        <v>540</v>
      </c>
      <c r="Q911" s="13">
        <f>IFERROR(SalesData[[#This Row],[Profit]]/SalesData[[#This Row],[Sales]],0)</f>
        <v>0.41538461538461541</v>
      </c>
      <c r="R911" t="str">
        <f>TEXT(SalesData[[#This Row],[Order Date]],"mmm-yyyy")</f>
        <v>Aug-2026</v>
      </c>
      <c r="S911">
        <f>YEAR(SalesData[[#This Row],[Order Date]])</f>
        <v>2026</v>
      </c>
      <c r="T911" t="str">
        <f>IF(SalesData[[#This Row],[Profit Margin]]&gt;=30%,"High",IF(SalesData[[#This Row],[Profit Margin]]&gt;=15%,"Medium","Low"))</f>
        <v>High</v>
      </c>
    </row>
    <row r="912" spans="1:20" x14ac:dyDescent="0.35">
      <c r="A912" t="s">
        <v>1488</v>
      </c>
      <c r="B912" s="23" t="s">
        <v>1486</v>
      </c>
      <c r="C912" t="s">
        <v>830</v>
      </c>
      <c r="D912" t="s">
        <v>17</v>
      </c>
      <c r="E912" t="s">
        <v>32</v>
      </c>
      <c r="F912" t="s">
        <v>19</v>
      </c>
      <c r="G912" t="s">
        <v>215</v>
      </c>
      <c r="H912" t="s">
        <v>33</v>
      </c>
      <c r="I912">
        <v>1</v>
      </c>
      <c r="J912" s="4">
        <v>1500</v>
      </c>
      <c r="K912" s="6">
        <v>0.05</v>
      </c>
      <c r="L912" s="8">
        <v>1425</v>
      </c>
      <c r="M912" s="8">
        <v>900</v>
      </c>
      <c r="N912" s="8">
        <v>525</v>
      </c>
      <c r="O912" s="8">
        <f>SalesData[[#This Row],[Quantity]]*SalesData[[#This Row],[Unit Price]]*(1-SalesData[[#This Row],[Discount]])</f>
        <v>1425</v>
      </c>
      <c r="P912" s="8">
        <f>SalesData[[#This Row],[Sales_Check]]-SalesData[[#This Row],[Cost]]</f>
        <v>525</v>
      </c>
      <c r="Q912" s="13">
        <f>IFERROR(SalesData[[#This Row],[Profit]]/SalesData[[#This Row],[Sales]],0)</f>
        <v>0.36842105263157893</v>
      </c>
      <c r="R912" t="str">
        <f>TEXT(SalesData[[#This Row],[Order Date]],"mmm-yyyy")</f>
        <v>Aug-2026</v>
      </c>
      <c r="S912">
        <f>YEAR(SalesData[[#This Row],[Order Date]])</f>
        <v>2026</v>
      </c>
      <c r="T912" t="str">
        <f>IF(SalesData[[#This Row],[Profit Margin]]&gt;=30%,"High",IF(SalesData[[#This Row],[Profit Margin]]&gt;=15%,"Medium","Low"))</f>
        <v>High</v>
      </c>
    </row>
    <row r="913" spans="1:20" x14ac:dyDescent="0.35">
      <c r="A913" t="s">
        <v>1489</v>
      </c>
      <c r="B913" s="23" t="s">
        <v>1486</v>
      </c>
      <c r="C913" t="s">
        <v>846</v>
      </c>
      <c r="D913" t="s">
        <v>54</v>
      </c>
      <c r="E913" t="s">
        <v>116</v>
      </c>
      <c r="F913" t="s">
        <v>45</v>
      </c>
      <c r="G913" t="s">
        <v>46</v>
      </c>
      <c r="H913" t="s">
        <v>33</v>
      </c>
      <c r="I913">
        <v>1</v>
      </c>
      <c r="J913" s="4">
        <v>450</v>
      </c>
      <c r="K913" s="6">
        <v>0.05</v>
      </c>
      <c r="L913" s="8">
        <v>427.5</v>
      </c>
      <c r="M913" s="8">
        <v>250</v>
      </c>
      <c r="N913" s="8">
        <v>177.5</v>
      </c>
      <c r="O913" s="8">
        <f>SalesData[[#This Row],[Quantity]]*SalesData[[#This Row],[Unit Price]]*(1-SalesData[[#This Row],[Discount]])</f>
        <v>427.5</v>
      </c>
      <c r="P913" s="8">
        <f>SalesData[[#This Row],[Sales_Check]]-SalesData[[#This Row],[Cost]]</f>
        <v>177.5</v>
      </c>
      <c r="Q913" s="13">
        <f>IFERROR(SalesData[[#This Row],[Profit]]/SalesData[[#This Row],[Sales]],0)</f>
        <v>0.41520467836257308</v>
      </c>
      <c r="R913" t="str">
        <f>TEXT(SalesData[[#This Row],[Order Date]],"mmm-yyyy")</f>
        <v>Aug-2026</v>
      </c>
      <c r="S913">
        <f>YEAR(SalesData[[#This Row],[Order Date]])</f>
        <v>2026</v>
      </c>
      <c r="T913" t="str">
        <f>IF(SalesData[[#This Row],[Profit Margin]]&gt;=30%,"High",IF(SalesData[[#This Row],[Profit Margin]]&gt;=15%,"Medium","Low"))</f>
        <v>High</v>
      </c>
    </row>
    <row r="914" spans="1:20" x14ac:dyDescent="0.35">
      <c r="A914" t="s">
        <v>1490</v>
      </c>
      <c r="B914" s="23" t="s">
        <v>1486</v>
      </c>
      <c r="C914" t="s">
        <v>973</v>
      </c>
      <c r="D914" t="s">
        <v>54</v>
      </c>
      <c r="E914" t="s">
        <v>103</v>
      </c>
      <c r="F914" t="s">
        <v>37</v>
      </c>
      <c r="G914" t="s">
        <v>73</v>
      </c>
      <c r="H914" t="s">
        <v>29</v>
      </c>
      <c r="I914">
        <v>6</v>
      </c>
      <c r="J914" s="4">
        <v>150</v>
      </c>
      <c r="K914" s="6">
        <v>0.1</v>
      </c>
      <c r="L914" s="8">
        <v>810</v>
      </c>
      <c r="M914" s="8">
        <v>450</v>
      </c>
      <c r="N914" s="8">
        <v>360</v>
      </c>
      <c r="O914" s="8">
        <f>SalesData[[#This Row],[Quantity]]*SalesData[[#This Row],[Unit Price]]*(1-SalesData[[#This Row],[Discount]])</f>
        <v>810</v>
      </c>
      <c r="P914" s="8">
        <f>SalesData[[#This Row],[Sales_Check]]-SalesData[[#This Row],[Cost]]</f>
        <v>360</v>
      </c>
      <c r="Q914" s="13">
        <f>IFERROR(SalesData[[#This Row],[Profit]]/SalesData[[#This Row],[Sales]],0)</f>
        <v>0.44444444444444442</v>
      </c>
      <c r="R914" t="str">
        <f>TEXT(SalesData[[#This Row],[Order Date]],"mmm-yyyy")</f>
        <v>Aug-2026</v>
      </c>
      <c r="S914">
        <f>YEAR(SalesData[[#This Row],[Order Date]])</f>
        <v>2026</v>
      </c>
      <c r="T914" t="str">
        <f>IF(SalesData[[#This Row],[Profit Margin]]&gt;=30%,"High",IF(SalesData[[#This Row],[Profit Margin]]&gt;=15%,"Medium","Low"))</f>
        <v>High</v>
      </c>
    </row>
    <row r="915" spans="1:20" x14ac:dyDescent="0.35">
      <c r="A915" t="s">
        <v>1491</v>
      </c>
      <c r="B915" s="23" t="s">
        <v>1492</v>
      </c>
      <c r="C915" t="s">
        <v>386</v>
      </c>
      <c r="D915" t="s">
        <v>25</v>
      </c>
      <c r="E915" t="s">
        <v>26</v>
      </c>
      <c r="F915" t="s">
        <v>45</v>
      </c>
      <c r="G915" t="s">
        <v>122</v>
      </c>
      <c r="H915" t="s">
        <v>29</v>
      </c>
      <c r="I915">
        <v>5</v>
      </c>
      <c r="J915" s="4">
        <v>600</v>
      </c>
      <c r="K915" s="6">
        <v>0</v>
      </c>
      <c r="L915" s="8">
        <v>3000</v>
      </c>
      <c r="M915" s="8">
        <v>1650</v>
      </c>
      <c r="N915" s="8">
        <v>1350</v>
      </c>
      <c r="O915" s="8">
        <f>SalesData[[#This Row],[Quantity]]*SalesData[[#This Row],[Unit Price]]*(1-SalesData[[#This Row],[Discount]])</f>
        <v>3000</v>
      </c>
      <c r="P915" s="8">
        <f>SalesData[[#This Row],[Sales_Check]]-SalesData[[#This Row],[Cost]]</f>
        <v>1350</v>
      </c>
      <c r="Q915" s="13">
        <f>IFERROR(SalesData[[#This Row],[Profit]]/SalesData[[#This Row],[Sales]],0)</f>
        <v>0.45</v>
      </c>
      <c r="R915" t="str">
        <f>TEXT(SalesData[[#This Row],[Order Date]],"mmm-yyyy")</f>
        <v>Aug-2026</v>
      </c>
      <c r="S915">
        <f>YEAR(SalesData[[#This Row],[Order Date]])</f>
        <v>2026</v>
      </c>
      <c r="T915" t="str">
        <f>IF(SalesData[[#This Row],[Profit Margin]]&gt;=30%,"High",IF(SalesData[[#This Row],[Profit Margin]]&gt;=15%,"Medium","Low"))</f>
        <v>High</v>
      </c>
    </row>
    <row r="916" spans="1:20" x14ac:dyDescent="0.35">
      <c r="A916" t="s">
        <v>1493</v>
      </c>
      <c r="B916" s="23" t="s">
        <v>1492</v>
      </c>
      <c r="C916" t="s">
        <v>457</v>
      </c>
      <c r="D916" t="s">
        <v>54</v>
      </c>
      <c r="E916" t="s">
        <v>55</v>
      </c>
      <c r="F916" t="s">
        <v>37</v>
      </c>
      <c r="G916" t="s">
        <v>38</v>
      </c>
      <c r="H916" t="s">
        <v>21</v>
      </c>
      <c r="I916">
        <v>2</v>
      </c>
      <c r="J916" s="4">
        <v>180</v>
      </c>
      <c r="K916" s="6">
        <v>0.05</v>
      </c>
      <c r="L916" s="8">
        <v>342</v>
      </c>
      <c r="M916" s="8">
        <v>180</v>
      </c>
      <c r="N916" s="8">
        <v>162</v>
      </c>
      <c r="O916" s="8">
        <f>SalesData[[#This Row],[Quantity]]*SalesData[[#This Row],[Unit Price]]*(1-SalesData[[#This Row],[Discount]])</f>
        <v>342</v>
      </c>
      <c r="P916" s="8">
        <f>SalesData[[#This Row],[Sales_Check]]-SalesData[[#This Row],[Cost]]</f>
        <v>162</v>
      </c>
      <c r="Q916" s="13">
        <f>IFERROR(SalesData[[#This Row],[Profit]]/SalesData[[#This Row],[Sales]],0)</f>
        <v>0.47368421052631576</v>
      </c>
      <c r="R916" t="str">
        <f>TEXT(SalesData[[#This Row],[Order Date]],"mmm-yyyy")</f>
        <v>Aug-2026</v>
      </c>
      <c r="S916">
        <f>YEAR(SalesData[[#This Row],[Order Date]])</f>
        <v>2026</v>
      </c>
      <c r="T916" t="str">
        <f>IF(SalesData[[#This Row],[Profit Margin]]&gt;=30%,"High",IF(SalesData[[#This Row],[Profit Margin]]&gt;=15%,"Medium","Low"))</f>
        <v>High</v>
      </c>
    </row>
    <row r="917" spans="1:20" x14ac:dyDescent="0.35">
      <c r="A917" t="s">
        <v>1494</v>
      </c>
      <c r="B917" s="23" t="s">
        <v>1495</v>
      </c>
      <c r="C917" t="s">
        <v>68</v>
      </c>
      <c r="D917" t="s">
        <v>54</v>
      </c>
      <c r="E917" t="s">
        <v>103</v>
      </c>
      <c r="F917" t="s">
        <v>45</v>
      </c>
      <c r="G917" t="s">
        <v>70</v>
      </c>
      <c r="H917" t="s">
        <v>21</v>
      </c>
      <c r="I917">
        <v>10</v>
      </c>
      <c r="J917" s="4">
        <v>150</v>
      </c>
      <c r="K917" s="6">
        <v>0.05</v>
      </c>
      <c r="L917" s="8">
        <v>1425</v>
      </c>
      <c r="M917" s="8">
        <v>750</v>
      </c>
      <c r="N917" s="8">
        <v>675</v>
      </c>
      <c r="O917" s="8">
        <f>SalesData[[#This Row],[Quantity]]*SalesData[[#This Row],[Unit Price]]*(1-SalesData[[#This Row],[Discount]])</f>
        <v>1425</v>
      </c>
      <c r="P917" s="8">
        <f>SalesData[[#This Row],[Sales_Check]]-SalesData[[#This Row],[Cost]]</f>
        <v>675</v>
      </c>
      <c r="Q917" s="13">
        <f>IFERROR(SalesData[[#This Row],[Profit]]/SalesData[[#This Row],[Sales]],0)</f>
        <v>0.47368421052631576</v>
      </c>
      <c r="R917" t="str">
        <f>TEXT(SalesData[[#This Row],[Order Date]],"mmm-yyyy")</f>
        <v>Aug-2026</v>
      </c>
      <c r="S917">
        <f>YEAR(SalesData[[#This Row],[Order Date]])</f>
        <v>2026</v>
      </c>
      <c r="T917" t="str">
        <f>IF(SalesData[[#This Row],[Profit Margin]]&gt;=30%,"High",IF(SalesData[[#This Row],[Profit Margin]]&gt;=15%,"Medium","Low"))</f>
        <v>High</v>
      </c>
    </row>
    <row r="918" spans="1:20" x14ac:dyDescent="0.35">
      <c r="A918" t="s">
        <v>1496</v>
      </c>
      <c r="B918" s="23" t="s">
        <v>1495</v>
      </c>
      <c r="C918" t="s">
        <v>178</v>
      </c>
      <c r="D918" t="s">
        <v>54</v>
      </c>
      <c r="E918" t="s">
        <v>107</v>
      </c>
      <c r="F918" t="s">
        <v>45</v>
      </c>
      <c r="G918" t="s">
        <v>122</v>
      </c>
      <c r="H918" t="s">
        <v>21</v>
      </c>
      <c r="I918">
        <v>10</v>
      </c>
      <c r="J918" s="4">
        <v>120</v>
      </c>
      <c r="K918" s="6">
        <v>0.05</v>
      </c>
      <c r="L918" s="8">
        <v>1140</v>
      </c>
      <c r="M918" s="8">
        <v>550</v>
      </c>
      <c r="N918" s="8">
        <v>590</v>
      </c>
      <c r="O918" s="8">
        <f>SalesData[[#This Row],[Quantity]]*SalesData[[#This Row],[Unit Price]]*(1-SalesData[[#This Row],[Discount]])</f>
        <v>1140</v>
      </c>
      <c r="P918" s="8">
        <f>SalesData[[#This Row],[Sales_Check]]-SalesData[[#This Row],[Cost]]</f>
        <v>590</v>
      </c>
      <c r="Q918" s="13">
        <f>IFERROR(SalesData[[#This Row],[Profit]]/SalesData[[#This Row],[Sales]],0)</f>
        <v>0.51754385964912286</v>
      </c>
      <c r="R918" t="str">
        <f>TEXT(SalesData[[#This Row],[Order Date]],"mmm-yyyy")</f>
        <v>Aug-2026</v>
      </c>
      <c r="S918">
        <f>YEAR(SalesData[[#This Row],[Order Date]])</f>
        <v>2026</v>
      </c>
      <c r="T918" t="str">
        <f>IF(SalesData[[#This Row],[Profit Margin]]&gt;=30%,"High",IF(SalesData[[#This Row],[Profit Margin]]&gt;=15%,"Medium","Low"))</f>
        <v>High</v>
      </c>
    </row>
    <row r="919" spans="1:20" x14ac:dyDescent="0.35">
      <c r="A919" t="s">
        <v>1497</v>
      </c>
      <c r="B919" s="23" t="s">
        <v>1495</v>
      </c>
      <c r="C919" t="s">
        <v>96</v>
      </c>
      <c r="D919" t="s">
        <v>43</v>
      </c>
      <c r="E919" t="s">
        <v>143</v>
      </c>
      <c r="F919" t="s">
        <v>37</v>
      </c>
      <c r="G919" t="s">
        <v>38</v>
      </c>
      <c r="H919" t="s">
        <v>125</v>
      </c>
      <c r="I919">
        <v>1</v>
      </c>
      <c r="J919" s="4">
        <v>650</v>
      </c>
      <c r="K919" s="6">
        <v>0</v>
      </c>
      <c r="L919" s="8">
        <v>650</v>
      </c>
      <c r="M919" s="8">
        <v>350</v>
      </c>
      <c r="N919" s="8">
        <v>300</v>
      </c>
      <c r="O919" s="8">
        <f>SalesData[[#This Row],[Quantity]]*SalesData[[#This Row],[Unit Price]]*(1-SalesData[[#This Row],[Discount]])</f>
        <v>650</v>
      </c>
      <c r="P919" s="8">
        <f>SalesData[[#This Row],[Sales_Check]]-SalesData[[#This Row],[Cost]]</f>
        <v>300</v>
      </c>
      <c r="Q919" s="13">
        <f>IFERROR(SalesData[[#This Row],[Profit]]/SalesData[[#This Row],[Sales]],0)</f>
        <v>0.46153846153846156</v>
      </c>
      <c r="R919" t="str">
        <f>TEXT(SalesData[[#This Row],[Order Date]],"mmm-yyyy")</f>
        <v>Aug-2026</v>
      </c>
      <c r="S919">
        <f>YEAR(SalesData[[#This Row],[Order Date]])</f>
        <v>2026</v>
      </c>
      <c r="T919" t="str">
        <f>IF(SalesData[[#This Row],[Profit Margin]]&gt;=30%,"High",IF(SalesData[[#This Row],[Profit Margin]]&gt;=15%,"Medium","Low"))</f>
        <v>High</v>
      </c>
    </row>
    <row r="920" spans="1:20" x14ac:dyDescent="0.35">
      <c r="A920" t="s">
        <v>1498</v>
      </c>
      <c r="B920" s="23" t="s">
        <v>1495</v>
      </c>
      <c r="C920" t="s">
        <v>24</v>
      </c>
      <c r="D920" t="s">
        <v>54</v>
      </c>
      <c r="E920" t="s">
        <v>110</v>
      </c>
      <c r="F920" t="s">
        <v>27</v>
      </c>
      <c r="G920" t="s">
        <v>28</v>
      </c>
      <c r="H920" t="s">
        <v>29</v>
      </c>
      <c r="I920">
        <v>6</v>
      </c>
      <c r="J920" s="4">
        <v>280</v>
      </c>
      <c r="K920" s="6">
        <v>0.05</v>
      </c>
      <c r="L920" s="8">
        <v>1596</v>
      </c>
      <c r="M920" s="8">
        <v>900</v>
      </c>
      <c r="N920" s="8">
        <v>696</v>
      </c>
      <c r="O920" s="8">
        <f>SalesData[[#This Row],[Quantity]]*SalesData[[#This Row],[Unit Price]]*(1-SalesData[[#This Row],[Discount]])</f>
        <v>1596</v>
      </c>
      <c r="P920" s="8">
        <f>SalesData[[#This Row],[Sales_Check]]-SalesData[[#This Row],[Cost]]</f>
        <v>696</v>
      </c>
      <c r="Q920" s="13">
        <f>IFERROR(SalesData[[#This Row],[Profit]]/SalesData[[#This Row],[Sales]],0)</f>
        <v>0.43609022556390975</v>
      </c>
      <c r="R920" t="str">
        <f>TEXT(SalesData[[#This Row],[Order Date]],"mmm-yyyy")</f>
        <v>Aug-2026</v>
      </c>
      <c r="S920">
        <f>YEAR(SalesData[[#This Row],[Order Date]])</f>
        <v>2026</v>
      </c>
      <c r="T920" t="str">
        <f>IF(SalesData[[#This Row],[Profit Margin]]&gt;=30%,"High",IF(SalesData[[#This Row],[Profit Margin]]&gt;=15%,"Medium","Low"))</f>
        <v>High</v>
      </c>
    </row>
    <row r="921" spans="1:20" x14ac:dyDescent="0.35">
      <c r="A921" t="s">
        <v>1499</v>
      </c>
      <c r="B921" s="23" t="s">
        <v>1500</v>
      </c>
      <c r="C921" t="s">
        <v>254</v>
      </c>
      <c r="D921" t="s">
        <v>54</v>
      </c>
      <c r="E921" t="s">
        <v>55</v>
      </c>
      <c r="F921" t="s">
        <v>27</v>
      </c>
      <c r="G921" t="s">
        <v>28</v>
      </c>
      <c r="H921" t="s">
        <v>21</v>
      </c>
      <c r="I921">
        <v>3</v>
      </c>
      <c r="J921" s="4">
        <v>180</v>
      </c>
      <c r="K921" s="6">
        <v>0</v>
      </c>
      <c r="L921" s="8">
        <v>540</v>
      </c>
      <c r="M921" s="8">
        <v>270</v>
      </c>
      <c r="N921" s="8">
        <v>270</v>
      </c>
      <c r="O921" s="8">
        <f>SalesData[[#This Row],[Quantity]]*SalesData[[#This Row],[Unit Price]]*(1-SalesData[[#This Row],[Discount]])</f>
        <v>540</v>
      </c>
      <c r="P921" s="8">
        <f>SalesData[[#This Row],[Sales_Check]]-SalesData[[#This Row],[Cost]]</f>
        <v>270</v>
      </c>
      <c r="Q921" s="13">
        <f>IFERROR(SalesData[[#This Row],[Profit]]/SalesData[[#This Row],[Sales]],0)</f>
        <v>0.5</v>
      </c>
      <c r="R921" t="str">
        <f>TEXT(SalesData[[#This Row],[Order Date]],"mmm-yyyy")</f>
        <v>Aug-2026</v>
      </c>
      <c r="S921">
        <f>YEAR(SalesData[[#This Row],[Order Date]])</f>
        <v>2026</v>
      </c>
      <c r="T921" t="str">
        <f>IF(SalesData[[#This Row],[Profit Margin]]&gt;=30%,"High",IF(SalesData[[#This Row],[Profit Margin]]&gt;=15%,"Medium","Low"))</f>
        <v>High</v>
      </c>
    </row>
    <row r="922" spans="1:20" x14ac:dyDescent="0.35">
      <c r="A922" t="s">
        <v>1501</v>
      </c>
      <c r="B922" s="23" t="s">
        <v>1500</v>
      </c>
      <c r="C922" t="s">
        <v>119</v>
      </c>
      <c r="D922" t="s">
        <v>17</v>
      </c>
      <c r="E922" t="s">
        <v>124</v>
      </c>
      <c r="F922" t="s">
        <v>27</v>
      </c>
      <c r="G922" t="s">
        <v>28</v>
      </c>
      <c r="H922" t="s">
        <v>33</v>
      </c>
      <c r="I922">
        <v>8</v>
      </c>
      <c r="J922" s="4">
        <v>1200</v>
      </c>
      <c r="K922" s="6">
        <v>0.05</v>
      </c>
      <c r="L922" s="8">
        <v>9120</v>
      </c>
      <c r="M922" s="8">
        <v>5760</v>
      </c>
      <c r="N922" s="8">
        <v>3360</v>
      </c>
      <c r="O922" s="8">
        <f>SalesData[[#This Row],[Quantity]]*SalesData[[#This Row],[Unit Price]]*(1-SalesData[[#This Row],[Discount]])</f>
        <v>9120</v>
      </c>
      <c r="P922" s="8">
        <f>SalesData[[#This Row],[Sales_Check]]-SalesData[[#This Row],[Cost]]</f>
        <v>3360</v>
      </c>
      <c r="Q922" s="13">
        <f>IFERROR(SalesData[[#This Row],[Profit]]/SalesData[[#This Row],[Sales]],0)</f>
        <v>0.36842105263157893</v>
      </c>
      <c r="R922" t="str">
        <f>TEXT(SalesData[[#This Row],[Order Date]],"mmm-yyyy")</f>
        <v>Aug-2026</v>
      </c>
      <c r="S922">
        <f>YEAR(SalesData[[#This Row],[Order Date]])</f>
        <v>2026</v>
      </c>
      <c r="T922" t="str">
        <f>IF(SalesData[[#This Row],[Profit Margin]]&gt;=30%,"High",IF(SalesData[[#This Row],[Profit Margin]]&gt;=15%,"Medium","Low"))</f>
        <v>High</v>
      </c>
    </row>
    <row r="923" spans="1:20" x14ac:dyDescent="0.35">
      <c r="A923" t="s">
        <v>1502</v>
      </c>
      <c r="B923" s="23" t="s">
        <v>1500</v>
      </c>
      <c r="C923" t="s">
        <v>198</v>
      </c>
      <c r="D923" t="s">
        <v>17</v>
      </c>
      <c r="E923" t="s">
        <v>32</v>
      </c>
      <c r="F923" t="s">
        <v>37</v>
      </c>
      <c r="G923" t="s">
        <v>73</v>
      </c>
      <c r="H923" t="s">
        <v>21</v>
      </c>
      <c r="I923">
        <v>5</v>
      </c>
      <c r="J923" s="4">
        <v>1500</v>
      </c>
      <c r="K923" s="6">
        <v>0.15</v>
      </c>
      <c r="L923" s="8">
        <v>6375</v>
      </c>
      <c r="M923" s="8">
        <v>4500</v>
      </c>
      <c r="N923" s="8">
        <v>1875</v>
      </c>
      <c r="O923" s="8">
        <f>SalesData[[#This Row],[Quantity]]*SalesData[[#This Row],[Unit Price]]*(1-SalesData[[#This Row],[Discount]])</f>
        <v>6375</v>
      </c>
      <c r="P923" s="8">
        <f>SalesData[[#This Row],[Sales_Check]]-SalesData[[#This Row],[Cost]]</f>
        <v>1875</v>
      </c>
      <c r="Q923" s="13">
        <f>IFERROR(SalesData[[#This Row],[Profit]]/SalesData[[#This Row],[Sales]],0)</f>
        <v>0.29411764705882354</v>
      </c>
      <c r="R923" t="str">
        <f>TEXT(SalesData[[#This Row],[Order Date]],"mmm-yyyy")</f>
        <v>Aug-2026</v>
      </c>
      <c r="S923">
        <f>YEAR(SalesData[[#This Row],[Order Date]])</f>
        <v>2026</v>
      </c>
      <c r="T923" t="str">
        <f>IF(SalesData[[#This Row],[Profit Margin]]&gt;=30%,"High",IF(SalesData[[#This Row],[Profit Margin]]&gt;=15%,"Medium","Low"))</f>
        <v>Medium</v>
      </c>
    </row>
    <row r="924" spans="1:20" x14ac:dyDescent="0.35">
      <c r="A924" t="s">
        <v>1503</v>
      </c>
      <c r="B924" s="23" t="s">
        <v>1504</v>
      </c>
      <c r="C924" t="s">
        <v>375</v>
      </c>
      <c r="D924" t="s">
        <v>25</v>
      </c>
      <c r="E924" t="s">
        <v>36</v>
      </c>
      <c r="F924" t="s">
        <v>37</v>
      </c>
      <c r="G924" t="s">
        <v>73</v>
      </c>
      <c r="H924" t="s">
        <v>21</v>
      </c>
      <c r="I924">
        <v>6</v>
      </c>
      <c r="J924" s="4">
        <v>700</v>
      </c>
      <c r="K924" s="6">
        <v>0.05</v>
      </c>
      <c r="L924" s="8">
        <v>3990</v>
      </c>
      <c r="M924" s="8">
        <v>2400</v>
      </c>
      <c r="N924" s="8">
        <v>1590</v>
      </c>
      <c r="O924" s="8">
        <f>SalesData[[#This Row],[Quantity]]*SalesData[[#This Row],[Unit Price]]*(1-SalesData[[#This Row],[Discount]])</f>
        <v>3990</v>
      </c>
      <c r="P924" s="8">
        <f>SalesData[[#This Row],[Sales_Check]]-SalesData[[#This Row],[Cost]]</f>
        <v>1590</v>
      </c>
      <c r="Q924" s="13">
        <f>IFERROR(SalesData[[#This Row],[Profit]]/SalesData[[#This Row],[Sales]],0)</f>
        <v>0.39849624060150374</v>
      </c>
      <c r="R924" t="str">
        <f>TEXT(SalesData[[#This Row],[Order Date]],"mmm-yyyy")</f>
        <v>Aug-2026</v>
      </c>
      <c r="S924">
        <f>YEAR(SalesData[[#This Row],[Order Date]])</f>
        <v>2026</v>
      </c>
      <c r="T924" t="str">
        <f>IF(SalesData[[#This Row],[Profit Margin]]&gt;=30%,"High",IF(SalesData[[#This Row],[Profit Margin]]&gt;=15%,"Medium","Low"))</f>
        <v>High</v>
      </c>
    </row>
    <row r="925" spans="1:20" x14ac:dyDescent="0.35">
      <c r="A925" t="s">
        <v>1505</v>
      </c>
      <c r="B925" s="23" t="s">
        <v>1504</v>
      </c>
      <c r="C925" t="s">
        <v>119</v>
      </c>
      <c r="D925" t="s">
        <v>43</v>
      </c>
      <c r="E925" t="s">
        <v>44</v>
      </c>
      <c r="F925" t="s">
        <v>37</v>
      </c>
      <c r="G925" t="s">
        <v>73</v>
      </c>
      <c r="H925" t="s">
        <v>21</v>
      </c>
      <c r="I925">
        <v>6</v>
      </c>
      <c r="J925" s="4">
        <v>2200</v>
      </c>
      <c r="K925" s="6">
        <v>0.05</v>
      </c>
      <c r="L925" s="8">
        <v>12540</v>
      </c>
      <c r="M925" s="8">
        <v>8700</v>
      </c>
      <c r="N925" s="8">
        <v>3840</v>
      </c>
      <c r="O925" s="8">
        <f>SalesData[[#This Row],[Quantity]]*SalesData[[#This Row],[Unit Price]]*(1-SalesData[[#This Row],[Discount]])</f>
        <v>12540</v>
      </c>
      <c r="P925" s="8">
        <f>SalesData[[#This Row],[Sales_Check]]-SalesData[[#This Row],[Cost]]</f>
        <v>3840</v>
      </c>
      <c r="Q925" s="13">
        <f>IFERROR(SalesData[[#This Row],[Profit]]/SalesData[[#This Row],[Sales]],0)</f>
        <v>0.30622009569377989</v>
      </c>
      <c r="R925" t="str">
        <f>TEXT(SalesData[[#This Row],[Order Date]],"mmm-yyyy")</f>
        <v>Aug-2026</v>
      </c>
      <c r="S925">
        <f>YEAR(SalesData[[#This Row],[Order Date]])</f>
        <v>2026</v>
      </c>
      <c r="T925" t="str">
        <f>IF(SalesData[[#This Row],[Profit Margin]]&gt;=30%,"High",IF(SalesData[[#This Row],[Profit Margin]]&gt;=15%,"Medium","Low"))</f>
        <v>High</v>
      </c>
    </row>
    <row r="926" spans="1:20" x14ac:dyDescent="0.35">
      <c r="A926" t="s">
        <v>1506</v>
      </c>
      <c r="B926" s="23" t="s">
        <v>1504</v>
      </c>
      <c r="C926" t="s">
        <v>543</v>
      </c>
      <c r="D926" t="s">
        <v>43</v>
      </c>
      <c r="E926" t="s">
        <v>44</v>
      </c>
      <c r="F926" t="s">
        <v>27</v>
      </c>
      <c r="G926" t="s">
        <v>51</v>
      </c>
      <c r="H926" t="s">
        <v>47</v>
      </c>
      <c r="I926">
        <v>4</v>
      </c>
      <c r="J926" s="4">
        <v>2200</v>
      </c>
      <c r="K926" s="6">
        <v>0.1</v>
      </c>
      <c r="L926" s="8">
        <v>7920</v>
      </c>
      <c r="M926" s="8">
        <v>5800</v>
      </c>
      <c r="N926" s="8">
        <v>2120</v>
      </c>
      <c r="O926" s="8">
        <f>SalesData[[#This Row],[Quantity]]*SalesData[[#This Row],[Unit Price]]*(1-SalesData[[#This Row],[Discount]])</f>
        <v>7920</v>
      </c>
      <c r="P926" s="8">
        <f>SalesData[[#This Row],[Sales_Check]]-SalesData[[#This Row],[Cost]]</f>
        <v>2120</v>
      </c>
      <c r="Q926" s="13">
        <f>IFERROR(SalesData[[#This Row],[Profit]]/SalesData[[#This Row],[Sales]],0)</f>
        <v>0.26767676767676768</v>
      </c>
      <c r="R926" t="str">
        <f>TEXT(SalesData[[#This Row],[Order Date]],"mmm-yyyy")</f>
        <v>Aug-2026</v>
      </c>
      <c r="S926">
        <f>YEAR(SalesData[[#This Row],[Order Date]])</f>
        <v>2026</v>
      </c>
      <c r="T926" t="str">
        <f>IF(SalesData[[#This Row],[Profit Margin]]&gt;=30%,"High",IF(SalesData[[#This Row],[Profit Margin]]&gt;=15%,"Medium","Low"))</f>
        <v>Medium</v>
      </c>
    </row>
    <row r="927" spans="1:20" x14ac:dyDescent="0.35">
      <c r="A927" t="s">
        <v>1507</v>
      </c>
      <c r="B927" s="23" t="s">
        <v>1504</v>
      </c>
      <c r="C927" t="s">
        <v>161</v>
      </c>
      <c r="D927" t="s">
        <v>43</v>
      </c>
      <c r="E927" t="s">
        <v>250</v>
      </c>
      <c r="F927" t="s">
        <v>45</v>
      </c>
      <c r="G927" t="s">
        <v>104</v>
      </c>
      <c r="H927" t="s">
        <v>21</v>
      </c>
      <c r="I927">
        <v>9</v>
      </c>
      <c r="J927" s="4">
        <v>900</v>
      </c>
      <c r="K927" s="6">
        <v>0</v>
      </c>
      <c r="L927" s="8">
        <v>8100</v>
      </c>
      <c r="M927" s="8">
        <v>4680</v>
      </c>
      <c r="N927" s="8">
        <v>3420</v>
      </c>
      <c r="O927" s="8">
        <f>SalesData[[#This Row],[Quantity]]*SalesData[[#This Row],[Unit Price]]*(1-SalesData[[#This Row],[Discount]])</f>
        <v>8100</v>
      </c>
      <c r="P927" s="8">
        <f>SalesData[[#This Row],[Sales_Check]]-SalesData[[#This Row],[Cost]]</f>
        <v>3420</v>
      </c>
      <c r="Q927" s="13">
        <f>IFERROR(SalesData[[#This Row],[Profit]]/SalesData[[#This Row],[Sales]],0)</f>
        <v>0.42222222222222222</v>
      </c>
      <c r="R927" t="str">
        <f>TEXT(SalesData[[#This Row],[Order Date]],"mmm-yyyy")</f>
        <v>Aug-2026</v>
      </c>
      <c r="S927">
        <f>YEAR(SalesData[[#This Row],[Order Date]])</f>
        <v>2026</v>
      </c>
      <c r="T927" t="str">
        <f>IF(SalesData[[#This Row],[Profit Margin]]&gt;=30%,"High",IF(SalesData[[#This Row],[Profit Margin]]&gt;=15%,"Medium","Low"))</f>
        <v>High</v>
      </c>
    </row>
    <row r="928" spans="1:20" x14ac:dyDescent="0.35">
      <c r="A928" t="s">
        <v>1508</v>
      </c>
      <c r="B928" s="23" t="s">
        <v>1509</v>
      </c>
      <c r="C928" t="s">
        <v>24</v>
      </c>
      <c r="D928" t="s">
        <v>43</v>
      </c>
      <c r="E928" t="s">
        <v>169</v>
      </c>
      <c r="F928" t="s">
        <v>37</v>
      </c>
      <c r="G928" t="s">
        <v>73</v>
      </c>
      <c r="H928" t="s">
        <v>39</v>
      </c>
      <c r="I928">
        <v>2</v>
      </c>
      <c r="J928" s="4">
        <v>350</v>
      </c>
      <c r="K928" s="6">
        <v>0</v>
      </c>
      <c r="L928" s="8">
        <v>700</v>
      </c>
      <c r="M928" s="8">
        <v>340</v>
      </c>
      <c r="N928" s="8">
        <v>360</v>
      </c>
      <c r="O928" s="8">
        <f>SalesData[[#This Row],[Quantity]]*SalesData[[#This Row],[Unit Price]]*(1-SalesData[[#This Row],[Discount]])</f>
        <v>700</v>
      </c>
      <c r="P928" s="8">
        <f>SalesData[[#This Row],[Sales_Check]]-SalesData[[#This Row],[Cost]]</f>
        <v>360</v>
      </c>
      <c r="Q928" s="13">
        <f>IFERROR(SalesData[[#This Row],[Profit]]/SalesData[[#This Row],[Sales]],0)</f>
        <v>0.51428571428571423</v>
      </c>
      <c r="R928" t="str">
        <f>TEXT(SalesData[[#This Row],[Order Date]],"mmm-yyyy")</f>
        <v>Aug-2026</v>
      </c>
      <c r="S928">
        <f>YEAR(SalesData[[#This Row],[Order Date]])</f>
        <v>2026</v>
      </c>
      <c r="T928" t="str">
        <f>IF(SalesData[[#This Row],[Profit Margin]]&gt;=30%,"High",IF(SalesData[[#This Row],[Profit Margin]]&gt;=15%,"Medium","Low"))</f>
        <v>High</v>
      </c>
    </row>
    <row r="929" spans="1:20" x14ac:dyDescent="0.35">
      <c r="A929" t="s">
        <v>1510</v>
      </c>
      <c r="B929" s="23" t="s">
        <v>1509</v>
      </c>
      <c r="C929" t="s">
        <v>96</v>
      </c>
      <c r="D929" t="s">
        <v>54</v>
      </c>
      <c r="E929" t="s">
        <v>110</v>
      </c>
      <c r="F929" t="s">
        <v>19</v>
      </c>
      <c r="G929" t="s">
        <v>56</v>
      </c>
      <c r="H929" t="s">
        <v>29</v>
      </c>
      <c r="I929">
        <v>4</v>
      </c>
      <c r="J929" s="4">
        <v>280</v>
      </c>
      <c r="K929" s="6">
        <v>0.05</v>
      </c>
      <c r="L929" s="8">
        <v>1064</v>
      </c>
      <c r="M929" s="8">
        <v>600</v>
      </c>
      <c r="N929" s="8">
        <v>464</v>
      </c>
      <c r="O929" s="8">
        <f>SalesData[[#This Row],[Quantity]]*SalesData[[#This Row],[Unit Price]]*(1-SalesData[[#This Row],[Discount]])</f>
        <v>1064</v>
      </c>
      <c r="P929" s="8">
        <f>SalesData[[#This Row],[Sales_Check]]-SalesData[[#This Row],[Cost]]</f>
        <v>464</v>
      </c>
      <c r="Q929" s="13">
        <f>IFERROR(SalesData[[#This Row],[Profit]]/SalesData[[#This Row],[Sales]],0)</f>
        <v>0.43609022556390975</v>
      </c>
      <c r="R929" t="str">
        <f>TEXT(SalesData[[#This Row],[Order Date]],"mmm-yyyy")</f>
        <v>Aug-2026</v>
      </c>
      <c r="S929">
        <f>YEAR(SalesData[[#This Row],[Order Date]])</f>
        <v>2026</v>
      </c>
      <c r="T929" t="str">
        <f>IF(SalesData[[#This Row],[Profit Margin]]&gt;=30%,"High",IF(SalesData[[#This Row],[Profit Margin]]&gt;=15%,"Medium","Low"))</f>
        <v>High</v>
      </c>
    </row>
    <row r="930" spans="1:20" x14ac:dyDescent="0.35">
      <c r="A930" t="s">
        <v>1511</v>
      </c>
      <c r="B930" s="23" t="s">
        <v>1509</v>
      </c>
      <c r="C930" t="s">
        <v>163</v>
      </c>
      <c r="D930" t="s">
        <v>54</v>
      </c>
      <c r="E930" t="s">
        <v>107</v>
      </c>
      <c r="F930" t="s">
        <v>45</v>
      </c>
      <c r="G930" t="s">
        <v>70</v>
      </c>
      <c r="H930" t="s">
        <v>33</v>
      </c>
      <c r="I930">
        <v>6</v>
      </c>
      <c r="J930" s="4">
        <v>120</v>
      </c>
      <c r="K930" s="6">
        <v>0.05</v>
      </c>
      <c r="L930" s="8">
        <v>684</v>
      </c>
      <c r="M930" s="8">
        <v>330</v>
      </c>
      <c r="N930" s="8">
        <v>354</v>
      </c>
      <c r="O930" s="8">
        <f>SalesData[[#This Row],[Quantity]]*SalesData[[#This Row],[Unit Price]]*(1-SalesData[[#This Row],[Discount]])</f>
        <v>684</v>
      </c>
      <c r="P930" s="8">
        <f>SalesData[[#This Row],[Sales_Check]]-SalesData[[#This Row],[Cost]]</f>
        <v>354</v>
      </c>
      <c r="Q930" s="13">
        <f>IFERROR(SalesData[[#This Row],[Profit]]/SalesData[[#This Row],[Sales]],0)</f>
        <v>0.51754385964912286</v>
      </c>
      <c r="R930" t="str">
        <f>TEXT(SalesData[[#This Row],[Order Date]],"mmm-yyyy")</f>
        <v>Aug-2026</v>
      </c>
      <c r="S930">
        <f>YEAR(SalesData[[#This Row],[Order Date]])</f>
        <v>2026</v>
      </c>
      <c r="T930" t="str">
        <f>IF(SalesData[[#This Row],[Profit Margin]]&gt;=30%,"High",IF(SalesData[[#This Row],[Profit Margin]]&gt;=15%,"Medium","Low"))</f>
        <v>High</v>
      </c>
    </row>
    <row r="931" spans="1:20" x14ac:dyDescent="0.35">
      <c r="A931" t="s">
        <v>1512</v>
      </c>
      <c r="B931" s="23" t="s">
        <v>1509</v>
      </c>
      <c r="C931" t="s">
        <v>238</v>
      </c>
      <c r="D931" t="s">
        <v>25</v>
      </c>
      <c r="E931" t="s">
        <v>69</v>
      </c>
      <c r="F931" t="s">
        <v>27</v>
      </c>
      <c r="G931" t="s">
        <v>90</v>
      </c>
      <c r="H931" t="s">
        <v>39</v>
      </c>
      <c r="I931">
        <v>5</v>
      </c>
      <c r="J931" s="4">
        <v>350</v>
      </c>
      <c r="K931" s="6">
        <v>0.05</v>
      </c>
      <c r="L931" s="8">
        <v>1662.5</v>
      </c>
      <c r="M931" s="8">
        <v>900</v>
      </c>
      <c r="N931" s="8">
        <v>762.5</v>
      </c>
      <c r="O931" s="8">
        <f>SalesData[[#This Row],[Quantity]]*SalesData[[#This Row],[Unit Price]]*(1-SalesData[[#This Row],[Discount]])</f>
        <v>1662.5</v>
      </c>
      <c r="P931" s="8">
        <f>SalesData[[#This Row],[Sales_Check]]-SalesData[[#This Row],[Cost]]</f>
        <v>762.5</v>
      </c>
      <c r="Q931" s="13">
        <f>IFERROR(SalesData[[#This Row],[Profit]]/SalesData[[#This Row],[Sales]],0)</f>
        <v>0.45864661654135336</v>
      </c>
      <c r="R931" t="str">
        <f>TEXT(SalesData[[#This Row],[Order Date]],"mmm-yyyy")</f>
        <v>Aug-2026</v>
      </c>
      <c r="S931">
        <f>YEAR(SalesData[[#This Row],[Order Date]])</f>
        <v>2026</v>
      </c>
      <c r="T931" t="str">
        <f>IF(SalesData[[#This Row],[Profit Margin]]&gt;=30%,"High",IF(SalesData[[#This Row],[Profit Margin]]&gt;=15%,"Medium","Low"))</f>
        <v>High</v>
      </c>
    </row>
    <row r="932" spans="1:20" x14ac:dyDescent="0.35">
      <c r="A932" t="s">
        <v>1513</v>
      </c>
      <c r="B932" s="23" t="s">
        <v>1514</v>
      </c>
      <c r="C932" t="s">
        <v>485</v>
      </c>
      <c r="D932" t="s">
        <v>54</v>
      </c>
      <c r="E932" t="s">
        <v>116</v>
      </c>
      <c r="F932" t="s">
        <v>19</v>
      </c>
      <c r="G932" t="s">
        <v>20</v>
      </c>
      <c r="H932" t="s">
        <v>33</v>
      </c>
      <c r="I932">
        <v>4</v>
      </c>
      <c r="J932" s="4">
        <v>450</v>
      </c>
      <c r="K932" s="6">
        <v>0</v>
      </c>
      <c r="L932" s="8">
        <v>1800</v>
      </c>
      <c r="M932" s="8">
        <v>1000</v>
      </c>
      <c r="N932" s="8">
        <v>800</v>
      </c>
      <c r="O932" s="8">
        <f>SalesData[[#This Row],[Quantity]]*SalesData[[#This Row],[Unit Price]]*(1-SalesData[[#This Row],[Discount]])</f>
        <v>1800</v>
      </c>
      <c r="P932" s="8">
        <f>SalesData[[#This Row],[Sales_Check]]-SalesData[[#This Row],[Cost]]</f>
        <v>800</v>
      </c>
      <c r="Q932" s="13">
        <f>IFERROR(SalesData[[#This Row],[Profit]]/SalesData[[#This Row],[Sales]],0)</f>
        <v>0.44444444444444442</v>
      </c>
      <c r="R932" t="str">
        <f>TEXT(SalesData[[#This Row],[Order Date]],"mmm-yyyy")</f>
        <v>Aug-2026</v>
      </c>
      <c r="S932">
        <f>YEAR(SalesData[[#This Row],[Order Date]])</f>
        <v>2026</v>
      </c>
      <c r="T932" t="str">
        <f>IF(SalesData[[#This Row],[Profit Margin]]&gt;=30%,"High",IF(SalesData[[#This Row],[Profit Margin]]&gt;=15%,"Medium","Low"))</f>
        <v>High</v>
      </c>
    </row>
    <row r="933" spans="1:20" x14ac:dyDescent="0.35">
      <c r="A933" t="s">
        <v>1515</v>
      </c>
      <c r="B933" s="23" t="s">
        <v>1514</v>
      </c>
      <c r="C933" t="s">
        <v>142</v>
      </c>
      <c r="D933" t="s">
        <v>17</v>
      </c>
      <c r="E933" t="s">
        <v>124</v>
      </c>
      <c r="F933" t="s">
        <v>37</v>
      </c>
      <c r="G933" t="s">
        <v>38</v>
      </c>
      <c r="H933" t="s">
        <v>47</v>
      </c>
      <c r="I933">
        <v>2</v>
      </c>
      <c r="J933" s="4">
        <v>1200</v>
      </c>
      <c r="K933" s="6">
        <v>0</v>
      </c>
      <c r="L933" s="8">
        <v>2400</v>
      </c>
      <c r="M933" s="8">
        <v>1440</v>
      </c>
      <c r="N933" s="8">
        <v>960</v>
      </c>
      <c r="O933" s="8">
        <f>SalesData[[#This Row],[Quantity]]*SalesData[[#This Row],[Unit Price]]*(1-SalesData[[#This Row],[Discount]])</f>
        <v>2400</v>
      </c>
      <c r="P933" s="8">
        <f>SalesData[[#This Row],[Sales_Check]]-SalesData[[#This Row],[Cost]]</f>
        <v>960</v>
      </c>
      <c r="Q933" s="13">
        <f>IFERROR(SalesData[[#This Row],[Profit]]/SalesData[[#This Row],[Sales]],0)</f>
        <v>0.4</v>
      </c>
      <c r="R933" t="str">
        <f>TEXT(SalesData[[#This Row],[Order Date]],"mmm-yyyy")</f>
        <v>Aug-2026</v>
      </c>
      <c r="S933">
        <f>YEAR(SalesData[[#This Row],[Order Date]])</f>
        <v>2026</v>
      </c>
      <c r="T933" t="str">
        <f>IF(SalesData[[#This Row],[Profit Margin]]&gt;=30%,"High",IF(SalesData[[#This Row],[Profit Margin]]&gt;=15%,"Medium","Low"))</f>
        <v>High</v>
      </c>
    </row>
    <row r="934" spans="1:20" x14ac:dyDescent="0.35">
      <c r="A934" t="s">
        <v>1516</v>
      </c>
      <c r="B934" s="23" t="s">
        <v>1514</v>
      </c>
      <c r="C934" t="s">
        <v>109</v>
      </c>
      <c r="D934" t="s">
        <v>25</v>
      </c>
      <c r="E934" t="s">
        <v>69</v>
      </c>
      <c r="F934" t="s">
        <v>27</v>
      </c>
      <c r="G934" t="s">
        <v>85</v>
      </c>
      <c r="H934" t="s">
        <v>39</v>
      </c>
      <c r="I934">
        <v>4</v>
      </c>
      <c r="J934" s="4">
        <v>350</v>
      </c>
      <c r="K934" s="6">
        <v>0.15</v>
      </c>
      <c r="L934" s="8">
        <v>1190</v>
      </c>
      <c r="M934" s="8">
        <v>720</v>
      </c>
      <c r="N934" s="8">
        <v>470</v>
      </c>
      <c r="O934" s="8">
        <f>SalesData[[#This Row],[Quantity]]*SalesData[[#This Row],[Unit Price]]*(1-SalesData[[#This Row],[Discount]])</f>
        <v>1190</v>
      </c>
      <c r="P934" s="8">
        <f>SalesData[[#This Row],[Sales_Check]]-SalesData[[#This Row],[Cost]]</f>
        <v>470</v>
      </c>
      <c r="Q934" s="13">
        <f>IFERROR(SalesData[[#This Row],[Profit]]/SalesData[[#This Row],[Sales]],0)</f>
        <v>0.3949579831932773</v>
      </c>
      <c r="R934" t="str">
        <f>TEXT(SalesData[[#This Row],[Order Date]],"mmm-yyyy")</f>
        <v>Aug-2026</v>
      </c>
      <c r="S934">
        <f>YEAR(SalesData[[#This Row],[Order Date]])</f>
        <v>2026</v>
      </c>
      <c r="T934" t="str">
        <f>IF(SalesData[[#This Row],[Profit Margin]]&gt;=30%,"High",IF(SalesData[[#This Row],[Profit Margin]]&gt;=15%,"Medium","Low"))</f>
        <v>High</v>
      </c>
    </row>
    <row r="935" spans="1:20" x14ac:dyDescent="0.35">
      <c r="A935" t="s">
        <v>1517</v>
      </c>
      <c r="B935" s="23" t="s">
        <v>1514</v>
      </c>
      <c r="C935" t="s">
        <v>835</v>
      </c>
      <c r="D935" t="s">
        <v>25</v>
      </c>
      <c r="E935" t="s">
        <v>89</v>
      </c>
      <c r="F935" t="s">
        <v>37</v>
      </c>
      <c r="G935" t="s">
        <v>38</v>
      </c>
      <c r="H935" t="s">
        <v>47</v>
      </c>
      <c r="I935">
        <v>3</v>
      </c>
      <c r="J935" s="4">
        <v>550</v>
      </c>
      <c r="K935" s="6">
        <v>0.05</v>
      </c>
      <c r="L935" s="8">
        <v>1567.5</v>
      </c>
      <c r="M935" s="8">
        <v>900</v>
      </c>
      <c r="N935" s="8">
        <v>667.5</v>
      </c>
      <c r="O935" s="8">
        <f>SalesData[[#This Row],[Quantity]]*SalesData[[#This Row],[Unit Price]]*(1-SalesData[[#This Row],[Discount]])</f>
        <v>1567.5</v>
      </c>
      <c r="P935" s="8">
        <f>SalesData[[#This Row],[Sales_Check]]-SalesData[[#This Row],[Cost]]</f>
        <v>667.5</v>
      </c>
      <c r="Q935" s="13">
        <f>IFERROR(SalesData[[#This Row],[Profit]]/SalesData[[#This Row],[Sales]],0)</f>
        <v>0.42583732057416268</v>
      </c>
      <c r="R935" t="str">
        <f>TEXT(SalesData[[#This Row],[Order Date]],"mmm-yyyy")</f>
        <v>Aug-2026</v>
      </c>
      <c r="S935">
        <f>YEAR(SalesData[[#This Row],[Order Date]])</f>
        <v>2026</v>
      </c>
      <c r="T935" t="str">
        <f>IF(SalesData[[#This Row],[Profit Margin]]&gt;=30%,"High",IF(SalesData[[#This Row],[Profit Margin]]&gt;=15%,"Medium","Low"))</f>
        <v>High</v>
      </c>
    </row>
    <row r="936" spans="1:20" x14ac:dyDescent="0.35">
      <c r="A936" t="s">
        <v>1518</v>
      </c>
      <c r="B936" s="23" t="s">
        <v>1519</v>
      </c>
      <c r="C936" t="s">
        <v>261</v>
      </c>
      <c r="D936" t="s">
        <v>17</v>
      </c>
      <c r="E936" t="s">
        <v>50</v>
      </c>
      <c r="F936" t="s">
        <v>45</v>
      </c>
      <c r="G936" t="s">
        <v>104</v>
      </c>
      <c r="H936" t="s">
        <v>29</v>
      </c>
      <c r="I936">
        <v>2</v>
      </c>
      <c r="J936" s="4">
        <v>650</v>
      </c>
      <c r="K936" s="6">
        <v>0</v>
      </c>
      <c r="L936" s="8">
        <v>1300</v>
      </c>
      <c r="M936" s="8">
        <v>760</v>
      </c>
      <c r="N936" s="8">
        <v>540</v>
      </c>
      <c r="O936" s="8">
        <f>SalesData[[#This Row],[Quantity]]*SalesData[[#This Row],[Unit Price]]*(1-SalesData[[#This Row],[Discount]])</f>
        <v>1300</v>
      </c>
      <c r="P936" s="8">
        <f>SalesData[[#This Row],[Sales_Check]]-SalesData[[#This Row],[Cost]]</f>
        <v>540</v>
      </c>
      <c r="Q936" s="13">
        <f>IFERROR(SalesData[[#This Row],[Profit]]/SalesData[[#This Row],[Sales]],0)</f>
        <v>0.41538461538461541</v>
      </c>
      <c r="R936" t="str">
        <f>TEXT(SalesData[[#This Row],[Order Date]],"mmm-yyyy")</f>
        <v>Aug-2026</v>
      </c>
      <c r="S936">
        <f>YEAR(SalesData[[#This Row],[Order Date]])</f>
        <v>2026</v>
      </c>
      <c r="T936" t="str">
        <f>IF(SalesData[[#This Row],[Profit Margin]]&gt;=30%,"High",IF(SalesData[[#This Row],[Profit Margin]]&gt;=15%,"Medium","Low"))</f>
        <v>High</v>
      </c>
    </row>
    <row r="937" spans="1:20" x14ac:dyDescent="0.35">
      <c r="A937" t="s">
        <v>1520</v>
      </c>
      <c r="B937" s="23" t="s">
        <v>1521</v>
      </c>
      <c r="C937" t="s">
        <v>201</v>
      </c>
      <c r="D937" t="s">
        <v>54</v>
      </c>
      <c r="E937" t="s">
        <v>107</v>
      </c>
      <c r="F937" t="s">
        <v>27</v>
      </c>
      <c r="G937" t="s">
        <v>85</v>
      </c>
      <c r="H937" t="s">
        <v>33</v>
      </c>
      <c r="I937">
        <v>2</v>
      </c>
      <c r="J937" s="4">
        <v>120</v>
      </c>
      <c r="K937" s="6">
        <v>0</v>
      </c>
      <c r="L937" s="8">
        <v>240</v>
      </c>
      <c r="M937" s="8">
        <v>110</v>
      </c>
      <c r="N937" s="8">
        <v>130</v>
      </c>
      <c r="O937" s="8">
        <f>SalesData[[#This Row],[Quantity]]*SalesData[[#This Row],[Unit Price]]*(1-SalesData[[#This Row],[Discount]])</f>
        <v>240</v>
      </c>
      <c r="P937" s="8">
        <f>SalesData[[#This Row],[Sales_Check]]-SalesData[[#This Row],[Cost]]</f>
        <v>130</v>
      </c>
      <c r="Q937" s="13">
        <f>IFERROR(SalesData[[#This Row],[Profit]]/SalesData[[#This Row],[Sales]],0)</f>
        <v>0.54166666666666663</v>
      </c>
      <c r="R937" t="str">
        <f>TEXT(SalesData[[#This Row],[Order Date]],"mmm-yyyy")</f>
        <v>Aug-2026</v>
      </c>
      <c r="S937">
        <f>YEAR(SalesData[[#This Row],[Order Date]])</f>
        <v>2026</v>
      </c>
      <c r="T937" t="str">
        <f>IF(SalesData[[#This Row],[Profit Margin]]&gt;=30%,"High",IF(SalesData[[#This Row],[Profit Margin]]&gt;=15%,"Medium","Low"))</f>
        <v>High</v>
      </c>
    </row>
    <row r="938" spans="1:20" x14ac:dyDescent="0.35">
      <c r="A938" t="s">
        <v>1522</v>
      </c>
      <c r="B938" s="23" t="s">
        <v>1521</v>
      </c>
      <c r="C938" t="s">
        <v>187</v>
      </c>
      <c r="D938" t="s">
        <v>17</v>
      </c>
      <c r="E938" t="s">
        <v>32</v>
      </c>
      <c r="F938" t="s">
        <v>45</v>
      </c>
      <c r="G938" t="s">
        <v>104</v>
      </c>
      <c r="H938" t="s">
        <v>33</v>
      </c>
      <c r="I938">
        <v>5</v>
      </c>
      <c r="J938" s="4">
        <v>1500</v>
      </c>
      <c r="K938" s="6">
        <v>0.05</v>
      </c>
      <c r="L938" s="8">
        <v>7125</v>
      </c>
      <c r="M938" s="8">
        <v>4500</v>
      </c>
      <c r="N938" s="8">
        <v>2625</v>
      </c>
      <c r="O938" s="8">
        <f>SalesData[[#This Row],[Quantity]]*SalesData[[#This Row],[Unit Price]]*(1-SalesData[[#This Row],[Discount]])</f>
        <v>7125</v>
      </c>
      <c r="P938" s="8">
        <f>SalesData[[#This Row],[Sales_Check]]-SalesData[[#This Row],[Cost]]</f>
        <v>2625</v>
      </c>
      <c r="Q938" s="13">
        <f>IFERROR(SalesData[[#This Row],[Profit]]/SalesData[[#This Row],[Sales]],0)</f>
        <v>0.36842105263157893</v>
      </c>
      <c r="R938" t="str">
        <f>TEXT(SalesData[[#This Row],[Order Date]],"mmm-yyyy")</f>
        <v>Aug-2026</v>
      </c>
      <c r="S938">
        <f>YEAR(SalesData[[#This Row],[Order Date]])</f>
        <v>2026</v>
      </c>
      <c r="T938" t="str">
        <f>IF(SalesData[[#This Row],[Profit Margin]]&gt;=30%,"High",IF(SalesData[[#This Row],[Profit Margin]]&gt;=15%,"Medium","Low"))</f>
        <v>High</v>
      </c>
    </row>
    <row r="939" spans="1:20" x14ac:dyDescent="0.35">
      <c r="A939" t="s">
        <v>1523</v>
      </c>
      <c r="B939" s="23" t="s">
        <v>1521</v>
      </c>
      <c r="C939" t="s">
        <v>257</v>
      </c>
      <c r="D939" t="s">
        <v>25</v>
      </c>
      <c r="E939" t="s">
        <v>89</v>
      </c>
      <c r="F939" t="s">
        <v>45</v>
      </c>
      <c r="G939" t="s">
        <v>46</v>
      </c>
      <c r="H939" t="s">
        <v>33</v>
      </c>
      <c r="I939">
        <v>2</v>
      </c>
      <c r="J939" s="4">
        <v>550</v>
      </c>
      <c r="K939" s="6">
        <v>0</v>
      </c>
      <c r="L939" s="8">
        <v>1100</v>
      </c>
      <c r="M939" s="8">
        <v>600</v>
      </c>
      <c r="N939" s="8">
        <v>500</v>
      </c>
      <c r="O939" s="8">
        <f>SalesData[[#This Row],[Quantity]]*SalesData[[#This Row],[Unit Price]]*(1-SalesData[[#This Row],[Discount]])</f>
        <v>1100</v>
      </c>
      <c r="P939" s="8">
        <f>SalesData[[#This Row],[Sales_Check]]-SalesData[[#This Row],[Cost]]</f>
        <v>500</v>
      </c>
      <c r="Q939" s="13">
        <f>IFERROR(SalesData[[#This Row],[Profit]]/SalesData[[#This Row],[Sales]],0)</f>
        <v>0.45454545454545453</v>
      </c>
      <c r="R939" t="str">
        <f>TEXT(SalesData[[#This Row],[Order Date]],"mmm-yyyy")</f>
        <v>Aug-2026</v>
      </c>
      <c r="S939">
        <f>YEAR(SalesData[[#This Row],[Order Date]])</f>
        <v>2026</v>
      </c>
      <c r="T939" t="str">
        <f>IF(SalesData[[#This Row],[Profit Margin]]&gt;=30%,"High",IF(SalesData[[#This Row],[Profit Margin]]&gt;=15%,"Medium","Low"))</f>
        <v>High</v>
      </c>
    </row>
    <row r="940" spans="1:20" x14ac:dyDescent="0.35">
      <c r="A940" t="s">
        <v>1524</v>
      </c>
      <c r="B940" s="23" t="s">
        <v>1521</v>
      </c>
      <c r="C940" t="s">
        <v>662</v>
      </c>
      <c r="D940" t="s">
        <v>17</v>
      </c>
      <c r="E940" t="s">
        <v>50</v>
      </c>
      <c r="F940" t="s">
        <v>19</v>
      </c>
      <c r="G940" t="s">
        <v>20</v>
      </c>
      <c r="H940" t="s">
        <v>29</v>
      </c>
      <c r="I940">
        <v>3</v>
      </c>
      <c r="J940" s="4">
        <v>650</v>
      </c>
      <c r="K940" s="6">
        <v>0</v>
      </c>
      <c r="L940" s="8">
        <v>1950</v>
      </c>
      <c r="M940" s="8">
        <v>1140</v>
      </c>
      <c r="N940" s="8">
        <v>810</v>
      </c>
      <c r="O940" s="8">
        <f>SalesData[[#This Row],[Quantity]]*SalesData[[#This Row],[Unit Price]]*(1-SalesData[[#This Row],[Discount]])</f>
        <v>1950</v>
      </c>
      <c r="P940" s="8">
        <f>SalesData[[#This Row],[Sales_Check]]-SalesData[[#This Row],[Cost]]</f>
        <v>810</v>
      </c>
      <c r="Q940" s="13">
        <f>IFERROR(SalesData[[#This Row],[Profit]]/SalesData[[#This Row],[Sales]],0)</f>
        <v>0.41538461538461541</v>
      </c>
      <c r="R940" t="str">
        <f>TEXT(SalesData[[#This Row],[Order Date]],"mmm-yyyy")</f>
        <v>Aug-2026</v>
      </c>
      <c r="S940">
        <f>YEAR(SalesData[[#This Row],[Order Date]])</f>
        <v>2026</v>
      </c>
      <c r="T940" t="str">
        <f>IF(SalesData[[#This Row],[Profit Margin]]&gt;=30%,"High",IF(SalesData[[#This Row],[Profit Margin]]&gt;=15%,"Medium","Low"))</f>
        <v>High</v>
      </c>
    </row>
    <row r="941" spans="1:20" x14ac:dyDescent="0.35">
      <c r="A941" t="s">
        <v>1525</v>
      </c>
      <c r="B941" s="23" t="s">
        <v>1521</v>
      </c>
      <c r="C941" t="s">
        <v>88</v>
      </c>
      <c r="D941" t="s">
        <v>17</v>
      </c>
      <c r="E941" t="s">
        <v>18</v>
      </c>
      <c r="F941" t="s">
        <v>19</v>
      </c>
      <c r="G941" t="s">
        <v>56</v>
      </c>
      <c r="H941" t="s">
        <v>33</v>
      </c>
      <c r="I941">
        <v>5</v>
      </c>
      <c r="J941" s="4">
        <v>1800</v>
      </c>
      <c r="K941" s="6">
        <v>0.1</v>
      </c>
      <c r="L941" s="8">
        <v>8100</v>
      </c>
      <c r="M941" s="8">
        <v>5500</v>
      </c>
      <c r="N941" s="8">
        <v>2600</v>
      </c>
      <c r="O941" s="8">
        <f>SalesData[[#This Row],[Quantity]]*SalesData[[#This Row],[Unit Price]]*(1-SalesData[[#This Row],[Discount]])</f>
        <v>8100</v>
      </c>
      <c r="P941" s="8">
        <f>SalesData[[#This Row],[Sales_Check]]-SalesData[[#This Row],[Cost]]</f>
        <v>2600</v>
      </c>
      <c r="Q941" s="13">
        <f>IFERROR(SalesData[[#This Row],[Profit]]/SalesData[[#This Row],[Sales]],0)</f>
        <v>0.32098765432098764</v>
      </c>
      <c r="R941" t="str">
        <f>TEXT(SalesData[[#This Row],[Order Date]],"mmm-yyyy")</f>
        <v>Aug-2026</v>
      </c>
      <c r="S941">
        <f>YEAR(SalesData[[#This Row],[Order Date]])</f>
        <v>2026</v>
      </c>
      <c r="T941" t="str">
        <f>IF(SalesData[[#This Row],[Profit Margin]]&gt;=30%,"High",IF(SalesData[[#This Row],[Profit Margin]]&gt;=15%,"Medium","Low"))</f>
        <v>High</v>
      </c>
    </row>
    <row r="942" spans="1:20" x14ac:dyDescent="0.35">
      <c r="A942" t="s">
        <v>1526</v>
      </c>
      <c r="B942" s="23" t="s">
        <v>1521</v>
      </c>
      <c r="C942" t="s">
        <v>830</v>
      </c>
      <c r="D942" t="s">
        <v>25</v>
      </c>
      <c r="E942" t="s">
        <v>89</v>
      </c>
      <c r="F942" t="s">
        <v>27</v>
      </c>
      <c r="G942" t="s">
        <v>85</v>
      </c>
      <c r="H942" t="s">
        <v>47</v>
      </c>
      <c r="I942">
        <v>5</v>
      </c>
      <c r="J942" s="4">
        <v>550</v>
      </c>
      <c r="K942" s="6">
        <v>0.05</v>
      </c>
      <c r="L942" s="8">
        <v>2612.5</v>
      </c>
      <c r="M942" s="8">
        <v>1500</v>
      </c>
      <c r="N942" s="8">
        <v>1112.5</v>
      </c>
      <c r="O942" s="8">
        <f>SalesData[[#This Row],[Quantity]]*SalesData[[#This Row],[Unit Price]]*(1-SalesData[[#This Row],[Discount]])</f>
        <v>2612.5</v>
      </c>
      <c r="P942" s="8">
        <f>SalesData[[#This Row],[Sales_Check]]-SalesData[[#This Row],[Cost]]</f>
        <v>1112.5</v>
      </c>
      <c r="Q942" s="13">
        <f>IFERROR(SalesData[[#This Row],[Profit]]/SalesData[[#This Row],[Sales]],0)</f>
        <v>0.42583732057416268</v>
      </c>
      <c r="R942" t="str">
        <f>TEXT(SalesData[[#This Row],[Order Date]],"mmm-yyyy")</f>
        <v>Aug-2026</v>
      </c>
      <c r="S942">
        <f>YEAR(SalesData[[#This Row],[Order Date]])</f>
        <v>2026</v>
      </c>
      <c r="T942" t="str">
        <f>IF(SalesData[[#This Row],[Profit Margin]]&gt;=30%,"High",IF(SalesData[[#This Row],[Profit Margin]]&gt;=15%,"Medium","Low"))</f>
        <v>High</v>
      </c>
    </row>
    <row r="943" spans="1:20" x14ac:dyDescent="0.35">
      <c r="A943" t="s">
        <v>1527</v>
      </c>
      <c r="B943" s="23" t="s">
        <v>1528</v>
      </c>
      <c r="C943" t="s">
        <v>272</v>
      </c>
      <c r="D943" t="s">
        <v>54</v>
      </c>
      <c r="E943" t="s">
        <v>110</v>
      </c>
      <c r="F943" t="s">
        <v>19</v>
      </c>
      <c r="G943" t="s">
        <v>20</v>
      </c>
      <c r="H943" t="s">
        <v>47</v>
      </c>
      <c r="I943">
        <v>2</v>
      </c>
      <c r="J943" s="4">
        <v>280</v>
      </c>
      <c r="K943" s="6">
        <v>0</v>
      </c>
      <c r="L943" s="8">
        <v>560</v>
      </c>
      <c r="M943" s="8">
        <v>300</v>
      </c>
      <c r="N943" s="8">
        <v>260</v>
      </c>
      <c r="O943" s="8">
        <f>SalesData[[#This Row],[Quantity]]*SalesData[[#This Row],[Unit Price]]*(1-SalesData[[#This Row],[Discount]])</f>
        <v>560</v>
      </c>
      <c r="P943" s="8">
        <f>SalesData[[#This Row],[Sales_Check]]-SalesData[[#This Row],[Cost]]</f>
        <v>260</v>
      </c>
      <c r="Q943" s="13">
        <f>IFERROR(SalesData[[#This Row],[Profit]]/SalesData[[#This Row],[Sales]],0)</f>
        <v>0.4642857142857143</v>
      </c>
      <c r="R943" t="str">
        <f>TEXT(SalesData[[#This Row],[Order Date]],"mmm-yyyy")</f>
        <v>Aug-2026</v>
      </c>
      <c r="S943">
        <f>YEAR(SalesData[[#This Row],[Order Date]])</f>
        <v>2026</v>
      </c>
      <c r="T943" t="str">
        <f>IF(SalesData[[#This Row],[Profit Margin]]&gt;=30%,"High",IF(SalesData[[#This Row],[Profit Margin]]&gt;=15%,"Medium","Low"))</f>
        <v>High</v>
      </c>
    </row>
    <row r="944" spans="1:20" x14ac:dyDescent="0.35">
      <c r="A944" t="s">
        <v>1529</v>
      </c>
      <c r="B944" s="23" t="s">
        <v>1528</v>
      </c>
      <c r="C944" t="s">
        <v>244</v>
      </c>
      <c r="D944" t="s">
        <v>43</v>
      </c>
      <c r="E944" t="s">
        <v>169</v>
      </c>
      <c r="F944" t="s">
        <v>27</v>
      </c>
      <c r="G944" t="s">
        <v>85</v>
      </c>
      <c r="H944" t="s">
        <v>125</v>
      </c>
      <c r="I944">
        <v>10</v>
      </c>
      <c r="J944" s="4">
        <v>350</v>
      </c>
      <c r="K944" s="6">
        <v>0</v>
      </c>
      <c r="L944" s="8">
        <v>3500</v>
      </c>
      <c r="M944" s="8">
        <v>1700</v>
      </c>
      <c r="N944" s="8">
        <v>1800</v>
      </c>
      <c r="O944" s="8">
        <f>SalesData[[#This Row],[Quantity]]*SalesData[[#This Row],[Unit Price]]*(1-SalesData[[#This Row],[Discount]])</f>
        <v>3500</v>
      </c>
      <c r="P944" s="8">
        <f>SalesData[[#This Row],[Sales_Check]]-SalesData[[#This Row],[Cost]]</f>
        <v>1800</v>
      </c>
      <c r="Q944" s="13">
        <f>IFERROR(SalesData[[#This Row],[Profit]]/SalesData[[#This Row],[Sales]],0)</f>
        <v>0.51428571428571423</v>
      </c>
      <c r="R944" t="str">
        <f>TEXT(SalesData[[#This Row],[Order Date]],"mmm-yyyy")</f>
        <v>Aug-2026</v>
      </c>
      <c r="S944">
        <f>YEAR(SalesData[[#This Row],[Order Date]])</f>
        <v>2026</v>
      </c>
      <c r="T944" t="str">
        <f>IF(SalesData[[#This Row],[Profit Margin]]&gt;=30%,"High",IF(SalesData[[#This Row],[Profit Margin]]&gt;=15%,"Medium","Low"))</f>
        <v>High</v>
      </c>
    </row>
    <row r="945" spans="1:20" x14ac:dyDescent="0.35">
      <c r="A945" t="s">
        <v>1530</v>
      </c>
      <c r="B945" s="23" t="s">
        <v>1528</v>
      </c>
      <c r="C945" t="s">
        <v>736</v>
      </c>
      <c r="D945" t="s">
        <v>17</v>
      </c>
      <c r="E945" t="s">
        <v>65</v>
      </c>
      <c r="F945" t="s">
        <v>27</v>
      </c>
      <c r="G945" t="s">
        <v>28</v>
      </c>
      <c r="H945" t="s">
        <v>39</v>
      </c>
      <c r="I945">
        <v>8</v>
      </c>
      <c r="J945" s="4">
        <v>2200</v>
      </c>
      <c r="K945" s="6">
        <v>0.1</v>
      </c>
      <c r="L945" s="8">
        <v>15840</v>
      </c>
      <c r="M945" s="8">
        <v>11200</v>
      </c>
      <c r="N945" s="8">
        <v>4640</v>
      </c>
      <c r="O945" s="8">
        <f>SalesData[[#This Row],[Quantity]]*SalesData[[#This Row],[Unit Price]]*(1-SalesData[[#This Row],[Discount]])</f>
        <v>15840</v>
      </c>
      <c r="P945" s="8">
        <f>SalesData[[#This Row],[Sales_Check]]-SalesData[[#This Row],[Cost]]</f>
        <v>4640</v>
      </c>
      <c r="Q945" s="13">
        <f>IFERROR(SalesData[[#This Row],[Profit]]/SalesData[[#This Row],[Sales]],0)</f>
        <v>0.29292929292929293</v>
      </c>
      <c r="R945" t="str">
        <f>TEXT(SalesData[[#This Row],[Order Date]],"mmm-yyyy")</f>
        <v>Aug-2026</v>
      </c>
      <c r="S945">
        <f>YEAR(SalesData[[#This Row],[Order Date]])</f>
        <v>2026</v>
      </c>
      <c r="T945" t="str">
        <f>IF(SalesData[[#This Row],[Profit Margin]]&gt;=30%,"High",IF(SalesData[[#This Row],[Profit Margin]]&gt;=15%,"Medium","Low"))</f>
        <v>Medium</v>
      </c>
    </row>
    <row r="946" spans="1:20" x14ac:dyDescent="0.35">
      <c r="A946" t="s">
        <v>1531</v>
      </c>
      <c r="B946" s="23" t="s">
        <v>1532</v>
      </c>
      <c r="C946" t="s">
        <v>49</v>
      </c>
      <c r="D946" t="s">
        <v>54</v>
      </c>
      <c r="E946" t="s">
        <v>55</v>
      </c>
      <c r="F946" t="s">
        <v>37</v>
      </c>
      <c r="G946" t="s">
        <v>38</v>
      </c>
      <c r="H946" t="s">
        <v>21</v>
      </c>
      <c r="I946">
        <v>4</v>
      </c>
      <c r="J946" s="4">
        <v>180</v>
      </c>
      <c r="K946" s="6">
        <v>0.05</v>
      </c>
      <c r="L946" s="8">
        <v>684</v>
      </c>
      <c r="M946" s="8">
        <v>360</v>
      </c>
      <c r="N946" s="8">
        <v>324</v>
      </c>
      <c r="O946" s="8">
        <f>SalesData[[#This Row],[Quantity]]*SalesData[[#This Row],[Unit Price]]*(1-SalesData[[#This Row],[Discount]])</f>
        <v>684</v>
      </c>
      <c r="P946" s="8">
        <f>SalesData[[#This Row],[Sales_Check]]-SalesData[[#This Row],[Cost]]</f>
        <v>324</v>
      </c>
      <c r="Q946" s="13">
        <f>IFERROR(SalesData[[#This Row],[Profit]]/SalesData[[#This Row],[Sales]],0)</f>
        <v>0.47368421052631576</v>
      </c>
      <c r="R946" t="str">
        <f>TEXT(SalesData[[#This Row],[Order Date]],"mmm-yyyy")</f>
        <v>Aug-2026</v>
      </c>
      <c r="S946">
        <f>YEAR(SalesData[[#This Row],[Order Date]])</f>
        <v>2026</v>
      </c>
      <c r="T946" t="str">
        <f>IF(SalesData[[#This Row],[Profit Margin]]&gt;=30%,"High",IF(SalesData[[#This Row],[Profit Margin]]&gt;=15%,"Medium","Low"))</f>
        <v>High</v>
      </c>
    </row>
    <row r="947" spans="1:20" x14ac:dyDescent="0.35">
      <c r="A947" t="s">
        <v>1533</v>
      </c>
      <c r="B947" s="23" t="s">
        <v>1532</v>
      </c>
      <c r="C947" t="s">
        <v>93</v>
      </c>
      <c r="D947" t="s">
        <v>17</v>
      </c>
      <c r="E947" t="s">
        <v>32</v>
      </c>
      <c r="F947" t="s">
        <v>19</v>
      </c>
      <c r="G947" t="s">
        <v>215</v>
      </c>
      <c r="H947" t="s">
        <v>39</v>
      </c>
      <c r="I947">
        <v>3</v>
      </c>
      <c r="J947" s="4">
        <v>1500</v>
      </c>
      <c r="K947" s="6">
        <v>0</v>
      </c>
      <c r="L947" s="8">
        <v>4500</v>
      </c>
      <c r="M947" s="8">
        <v>2700</v>
      </c>
      <c r="N947" s="8">
        <v>1800</v>
      </c>
      <c r="O947" s="8">
        <f>SalesData[[#This Row],[Quantity]]*SalesData[[#This Row],[Unit Price]]*(1-SalesData[[#This Row],[Discount]])</f>
        <v>4500</v>
      </c>
      <c r="P947" s="8">
        <f>SalesData[[#This Row],[Sales_Check]]-SalesData[[#This Row],[Cost]]</f>
        <v>1800</v>
      </c>
      <c r="Q947" s="13">
        <f>IFERROR(SalesData[[#This Row],[Profit]]/SalesData[[#This Row],[Sales]],0)</f>
        <v>0.4</v>
      </c>
      <c r="R947" t="str">
        <f>TEXT(SalesData[[#This Row],[Order Date]],"mmm-yyyy")</f>
        <v>Aug-2026</v>
      </c>
      <c r="S947">
        <f>YEAR(SalesData[[#This Row],[Order Date]])</f>
        <v>2026</v>
      </c>
      <c r="T947" t="str">
        <f>IF(SalesData[[#This Row],[Profit Margin]]&gt;=30%,"High",IF(SalesData[[#This Row],[Profit Margin]]&gt;=15%,"Medium","Low"))</f>
        <v>High</v>
      </c>
    </row>
    <row r="948" spans="1:20" x14ac:dyDescent="0.35">
      <c r="A948" t="s">
        <v>1534</v>
      </c>
      <c r="B948" s="23" t="s">
        <v>1535</v>
      </c>
      <c r="C948" t="s">
        <v>407</v>
      </c>
      <c r="D948" t="s">
        <v>54</v>
      </c>
      <c r="E948" t="s">
        <v>55</v>
      </c>
      <c r="F948" t="s">
        <v>27</v>
      </c>
      <c r="G948" t="s">
        <v>51</v>
      </c>
      <c r="H948" t="s">
        <v>39</v>
      </c>
      <c r="I948">
        <v>6</v>
      </c>
      <c r="J948" s="4">
        <v>180</v>
      </c>
      <c r="K948" s="6">
        <v>0</v>
      </c>
      <c r="L948" s="8">
        <v>1080</v>
      </c>
      <c r="M948" s="8">
        <v>540</v>
      </c>
      <c r="N948" s="8">
        <v>540</v>
      </c>
      <c r="O948" s="8">
        <f>SalesData[[#This Row],[Quantity]]*SalesData[[#This Row],[Unit Price]]*(1-SalesData[[#This Row],[Discount]])</f>
        <v>1080</v>
      </c>
      <c r="P948" s="8">
        <f>SalesData[[#This Row],[Sales_Check]]-SalesData[[#This Row],[Cost]]</f>
        <v>540</v>
      </c>
      <c r="Q948" s="13">
        <f>IFERROR(SalesData[[#This Row],[Profit]]/SalesData[[#This Row],[Sales]],0)</f>
        <v>0.5</v>
      </c>
      <c r="R948" t="str">
        <f>TEXT(SalesData[[#This Row],[Order Date]],"mmm-yyyy")</f>
        <v>Aug-2026</v>
      </c>
      <c r="S948">
        <f>YEAR(SalesData[[#This Row],[Order Date]])</f>
        <v>2026</v>
      </c>
      <c r="T948" t="str">
        <f>IF(SalesData[[#This Row],[Profit Margin]]&gt;=30%,"High",IF(SalesData[[#This Row],[Profit Margin]]&gt;=15%,"Medium","Low"))</f>
        <v>High</v>
      </c>
    </row>
    <row r="949" spans="1:20" x14ac:dyDescent="0.35">
      <c r="A949" t="s">
        <v>1536</v>
      </c>
      <c r="B949" s="23" t="s">
        <v>1535</v>
      </c>
      <c r="C949" t="s">
        <v>802</v>
      </c>
      <c r="D949" t="s">
        <v>43</v>
      </c>
      <c r="E949" t="s">
        <v>143</v>
      </c>
      <c r="F949" t="s">
        <v>19</v>
      </c>
      <c r="G949" t="s">
        <v>20</v>
      </c>
      <c r="H949" t="s">
        <v>125</v>
      </c>
      <c r="I949">
        <v>10</v>
      </c>
      <c r="J949" s="4">
        <v>650</v>
      </c>
      <c r="K949" s="6">
        <v>0.1</v>
      </c>
      <c r="L949" s="8">
        <v>5850</v>
      </c>
      <c r="M949" s="8">
        <v>3500</v>
      </c>
      <c r="N949" s="8">
        <v>2350</v>
      </c>
      <c r="O949" s="8">
        <f>SalesData[[#This Row],[Quantity]]*SalesData[[#This Row],[Unit Price]]*(1-SalesData[[#This Row],[Discount]])</f>
        <v>5850</v>
      </c>
      <c r="P949" s="8">
        <f>SalesData[[#This Row],[Sales_Check]]-SalesData[[#This Row],[Cost]]</f>
        <v>2350</v>
      </c>
      <c r="Q949" s="13">
        <f>IFERROR(SalesData[[#This Row],[Profit]]/SalesData[[#This Row],[Sales]],0)</f>
        <v>0.40170940170940173</v>
      </c>
      <c r="R949" t="str">
        <f>TEXT(SalesData[[#This Row],[Order Date]],"mmm-yyyy")</f>
        <v>Aug-2026</v>
      </c>
      <c r="S949">
        <f>YEAR(SalesData[[#This Row],[Order Date]])</f>
        <v>2026</v>
      </c>
      <c r="T949" t="str">
        <f>IF(SalesData[[#This Row],[Profit Margin]]&gt;=30%,"High",IF(SalesData[[#This Row],[Profit Margin]]&gt;=15%,"Medium","Low"))</f>
        <v>High</v>
      </c>
    </row>
    <row r="950" spans="1:20" x14ac:dyDescent="0.35">
      <c r="A950" t="s">
        <v>1537</v>
      </c>
      <c r="B950" s="23" t="s">
        <v>1535</v>
      </c>
      <c r="C950" t="s">
        <v>637</v>
      </c>
      <c r="D950" t="s">
        <v>54</v>
      </c>
      <c r="E950" t="s">
        <v>107</v>
      </c>
      <c r="F950" t="s">
        <v>45</v>
      </c>
      <c r="G950" t="s">
        <v>104</v>
      </c>
      <c r="H950" t="s">
        <v>39</v>
      </c>
      <c r="I950">
        <v>2</v>
      </c>
      <c r="J950" s="4">
        <v>120</v>
      </c>
      <c r="K950" s="6">
        <v>0.15</v>
      </c>
      <c r="L950" s="8">
        <v>204</v>
      </c>
      <c r="M950" s="8">
        <v>110</v>
      </c>
      <c r="N950" s="8">
        <v>94</v>
      </c>
      <c r="O950" s="8">
        <f>SalesData[[#This Row],[Quantity]]*SalesData[[#This Row],[Unit Price]]*(1-SalesData[[#This Row],[Discount]])</f>
        <v>204</v>
      </c>
      <c r="P950" s="8">
        <f>SalesData[[#This Row],[Sales_Check]]-SalesData[[#This Row],[Cost]]</f>
        <v>94</v>
      </c>
      <c r="Q950" s="13">
        <f>IFERROR(SalesData[[#This Row],[Profit]]/SalesData[[#This Row],[Sales]],0)</f>
        <v>0.46078431372549017</v>
      </c>
      <c r="R950" t="str">
        <f>TEXT(SalesData[[#This Row],[Order Date]],"mmm-yyyy")</f>
        <v>Aug-2026</v>
      </c>
      <c r="S950">
        <f>YEAR(SalesData[[#This Row],[Order Date]])</f>
        <v>2026</v>
      </c>
      <c r="T950" t="str">
        <f>IF(SalesData[[#This Row],[Profit Margin]]&gt;=30%,"High",IF(SalesData[[#This Row],[Profit Margin]]&gt;=15%,"Medium","Low"))</f>
        <v>High</v>
      </c>
    </row>
    <row r="951" spans="1:20" x14ac:dyDescent="0.35">
      <c r="A951" t="s">
        <v>1538</v>
      </c>
      <c r="B951" s="23" t="s">
        <v>1539</v>
      </c>
      <c r="C951" t="s">
        <v>455</v>
      </c>
      <c r="D951" t="s">
        <v>17</v>
      </c>
      <c r="E951" t="s">
        <v>18</v>
      </c>
      <c r="F951" t="s">
        <v>37</v>
      </c>
      <c r="G951" t="s">
        <v>73</v>
      </c>
      <c r="H951" t="s">
        <v>33</v>
      </c>
      <c r="I951">
        <v>6</v>
      </c>
      <c r="J951" s="4">
        <v>1800</v>
      </c>
      <c r="K951" s="6">
        <v>0.1</v>
      </c>
      <c r="L951" s="8">
        <v>9720</v>
      </c>
      <c r="M951" s="8">
        <v>6600</v>
      </c>
      <c r="N951" s="8">
        <v>3120</v>
      </c>
      <c r="O951" s="8">
        <f>SalesData[[#This Row],[Quantity]]*SalesData[[#This Row],[Unit Price]]*(1-SalesData[[#This Row],[Discount]])</f>
        <v>9720</v>
      </c>
      <c r="P951" s="8">
        <f>SalesData[[#This Row],[Sales_Check]]-SalesData[[#This Row],[Cost]]</f>
        <v>3120</v>
      </c>
      <c r="Q951" s="13">
        <f>IFERROR(SalesData[[#This Row],[Profit]]/SalesData[[#This Row],[Sales]],0)</f>
        <v>0.32098765432098764</v>
      </c>
      <c r="R951" t="str">
        <f>TEXT(SalesData[[#This Row],[Order Date]],"mmm-yyyy")</f>
        <v>Aug-2026</v>
      </c>
      <c r="S951">
        <f>YEAR(SalesData[[#This Row],[Order Date]])</f>
        <v>2026</v>
      </c>
      <c r="T951" t="str">
        <f>IF(SalesData[[#This Row],[Profit Margin]]&gt;=30%,"High",IF(SalesData[[#This Row],[Profit Margin]]&gt;=15%,"Medium","Low"))</f>
        <v>High</v>
      </c>
    </row>
    <row r="952" spans="1:20" x14ac:dyDescent="0.35">
      <c r="A952" t="s">
        <v>1540</v>
      </c>
      <c r="B952" s="23" t="s">
        <v>1541</v>
      </c>
      <c r="C952" t="s">
        <v>637</v>
      </c>
      <c r="D952" t="s">
        <v>43</v>
      </c>
      <c r="E952" t="s">
        <v>62</v>
      </c>
      <c r="F952" t="s">
        <v>27</v>
      </c>
      <c r="G952" t="s">
        <v>51</v>
      </c>
      <c r="H952" t="s">
        <v>29</v>
      </c>
      <c r="I952">
        <v>7</v>
      </c>
      <c r="J952" s="4">
        <v>500</v>
      </c>
      <c r="K952" s="6">
        <v>0.1</v>
      </c>
      <c r="L952" s="8">
        <v>3150</v>
      </c>
      <c r="M952" s="8">
        <v>1960</v>
      </c>
      <c r="N952" s="8">
        <v>1190</v>
      </c>
      <c r="O952" s="8">
        <f>SalesData[[#This Row],[Quantity]]*SalesData[[#This Row],[Unit Price]]*(1-SalesData[[#This Row],[Discount]])</f>
        <v>3150</v>
      </c>
      <c r="P952" s="8">
        <f>SalesData[[#This Row],[Sales_Check]]-SalesData[[#This Row],[Cost]]</f>
        <v>1190</v>
      </c>
      <c r="Q952" s="13">
        <f>IFERROR(SalesData[[#This Row],[Profit]]/SalesData[[#This Row],[Sales]],0)</f>
        <v>0.37777777777777777</v>
      </c>
      <c r="R952" t="str">
        <f>TEXT(SalesData[[#This Row],[Order Date]],"mmm-yyyy")</f>
        <v>Aug-2026</v>
      </c>
      <c r="S952">
        <f>YEAR(SalesData[[#This Row],[Order Date]])</f>
        <v>2026</v>
      </c>
      <c r="T952" t="str">
        <f>IF(SalesData[[#This Row],[Profit Margin]]&gt;=30%,"High",IF(SalesData[[#This Row],[Profit Margin]]&gt;=15%,"Medium","Low"))</f>
        <v>High</v>
      </c>
    </row>
    <row r="953" spans="1:20" x14ac:dyDescent="0.35">
      <c r="A953" t="s">
        <v>1542</v>
      </c>
      <c r="B953" s="23" t="s">
        <v>1543</v>
      </c>
      <c r="C953" t="s">
        <v>180</v>
      </c>
      <c r="D953" t="s">
        <v>17</v>
      </c>
      <c r="E953" t="s">
        <v>65</v>
      </c>
      <c r="F953" t="s">
        <v>27</v>
      </c>
      <c r="G953" t="s">
        <v>51</v>
      </c>
      <c r="H953" t="s">
        <v>39</v>
      </c>
      <c r="I953">
        <v>8</v>
      </c>
      <c r="J953" s="4">
        <v>2200</v>
      </c>
      <c r="K953" s="6">
        <v>0</v>
      </c>
      <c r="L953" s="8">
        <v>17600</v>
      </c>
      <c r="M953" s="8">
        <v>11200</v>
      </c>
      <c r="N953" s="8">
        <v>6400</v>
      </c>
      <c r="O953" s="8">
        <f>SalesData[[#This Row],[Quantity]]*SalesData[[#This Row],[Unit Price]]*(1-SalesData[[#This Row],[Discount]])</f>
        <v>17600</v>
      </c>
      <c r="P953" s="8">
        <f>SalesData[[#This Row],[Sales_Check]]-SalesData[[#This Row],[Cost]]</f>
        <v>6400</v>
      </c>
      <c r="Q953" s="13">
        <f>IFERROR(SalesData[[#This Row],[Profit]]/SalesData[[#This Row],[Sales]],0)</f>
        <v>0.36363636363636365</v>
      </c>
      <c r="R953" t="str">
        <f>TEXT(SalesData[[#This Row],[Order Date]],"mmm-yyyy")</f>
        <v>Aug-2026</v>
      </c>
      <c r="S953">
        <f>YEAR(SalesData[[#This Row],[Order Date]])</f>
        <v>2026</v>
      </c>
      <c r="T953" t="str">
        <f>IF(SalesData[[#This Row],[Profit Margin]]&gt;=30%,"High",IF(SalesData[[#This Row],[Profit Margin]]&gt;=15%,"Medium","Low"))</f>
        <v>High</v>
      </c>
    </row>
    <row r="954" spans="1:20" x14ac:dyDescent="0.35">
      <c r="A954" t="s">
        <v>1544</v>
      </c>
      <c r="B954" s="23" t="s">
        <v>1543</v>
      </c>
      <c r="C954" t="s">
        <v>254</v>
      </c>
      <c r="D954" t="s">
        <v>17</v>
      </c>
      <c r="E954" t="s">
        <v>18</v>
      </c>
      <c r="F954" t="s">
        <v>45</v>
      </c>
      <c r="G954" t="s">
        <v>104</v>
      </c>
      <c r="H954" t="s">
        <v>33</v>
      </c>
      <c r="I954">
        <v>5</v>
      </c>
      <c r="J954" s="4">
        <v>1800</v>
      </c>
      <c r="K954" s="6">
        <v>0.05</v>
      </c>
      <c r="L954" s="8">
        <v>8550</v>
      </c>
      <c r="M954" s="8">
        <v>5500</v>
      </c>
      <c r="N954" s="8">
        <v>3050</v>
      </c>
      <c r="O954" s="8">
        <f>SalesData[[#This Row],[Quantity]]*SalesData[[#This Row],[Unit Price]]*(1-SalesData[[#This Row],[Discount]])</f>
        <v>8550</v>
      </c>
      <c r="P954" s="8">
        <f>SalesData[[#This Row],[Sales_Check]]-SalesData[[#This Row],[Cost]]</f>
        <v>3050</v>
      </c>
      <c r="Q954" s="13">
        <f>IFERROR(SalesData[[#This Row],[Profit]]/SalesData[[#This Row],[Sales]],0)</f>
        <v>0.35672514619883039</v>
      </c>
      <c r="R954" t="str">
        <f>TEXT(SalesData[[#This Row],[Order Date]],"mmm-yyyy")</f>
        <v>Aug-2026</v>
      </c>
      <c r="S954">
        <f>YEAR(SalesData[[#This Row],[Order Date]])</f>
        <v>2026</v>
      </c>
      <c r="T954" t="str">
        <f>IF(SalesData[[#This Row],[Profit Margin]]&gt;=30%,"High",IF(SalesData[[#This Row],[Profit Margin]]&gt;=15%,"Medium","Low"))</f>
        <v>High</v>
      </c>
    </row>
    <row r="955" spans="1:20" x14ac:dyDescent="0.35">
      <c r="A955" t="s">
        <v>1545</v>
      </c>
      <c r="B955" s="23" t="s">
        <v>1546</v>
      </c>
      <c r="C955" t="s">
        <v>232</v>
      </c>
      <c r="D955" t="s">
        <v>17</v>
      </c>
      <c r="E955" t="s">
        <v>18</v>
      </c>
      <c r="F955" t="s">
        <v>19</v>
      </c>
      <c r="G955" t="s">
        <v>113</v>
      </c>
      <c r="H955" t="s">
        <v>21</v>
      </c>
      <c r="I955">
        <v>6</v>
      </c>
      <c r="J955" s="4">
        <v>1800</v>
      </c>
      <c r="K955" s="6">
        <v>0</v>
      </c>
      <c r="L955" s="8">
        <v>10800</v>
      </c>
      <c r="M955" s="8">
        <v>6600</v>
      </c>
      <c r="N955" s="8">
        <v>4200</v>
      </c>
      <c r="O955" s="8">
        <f>SalesData[[#This Row],[Quantity]]*SalesData[[#This Row],[Unit Price]]*(1-SalesData[[#This Row],[Discount]])</f>
        <v>10800</v>
      </c>
      <c r="P955" s="8">
        <f>SalesData[[#This Row],[Sales_Check]]-SalesData[[#This Row],[Cost]]</f>
        <v>4200</v>
      </c>
      <c r="Q955" s="13">
        <f>IFERROR(SalesData[[#This Row],[Profit]]/SalesData[[#This Row],[Sales]],0)</f>
        <v>0.3888888888888889</v>
      </c>
      <c r="R955" t="str">
        <f>TEXT(SalesData[[#This Row],[Order Date]],"mmm-yyyy")</f>
        <v>Aug-2026</v>
      </c>
      <c r="S955">
        <f>YEAR(SalesData[[#This Row],[Order Date]])</f>
        <v>2026</v>
      </c>
      <c r="T955" t="str">
        <f>IF(SalesData[[#This Row],[Profit Margin]]&gt;=30%,"High",IF(SalesData[[#This Row],[Profit Margin]]&gt;=15%,"Medium","Low"))</f>
        <v>High</v>
      </c>
    </row>
    <row r="956" spans="1:20" x14ac:dyDescent="0.35">
      <c r="A956" t="s">
        <v>1547</v>
      </c>
      <c r="B956" s="23" t="s">
        <v>1546</v>
      </c>
      <c r="C956" t="s">
        <v>72</v>
      </c>
      <c r="D956" t="s">
        <v>43</v>
      </c>
      <c r="E956" t="s">
        <v>250</v>
      </c>
      <c r="F956" t="s">
        <v>37</v>
      </c>
      <c r="G956" t="s">
        <v>73</v>
      </c>
      <c r="H956" t="s">
        <v>21</v>
      </c>
      <c r="I956">
        <v>4</v>
      </c>
      <c r="J956" s="4">
        <v>900</v>
      </c>
      <c r="K956" s="6">
        <v>0</v>
      </c>
      <c r="L956" s="8">
        <v>3600</v>
      </c>
      <c r="M956" s="8">
        <v>2080</v>
      </c>
      <c r="N956" s="8">
        <v>1520</v>
      </c>
      <c r="O956" s="8">
        <f>SalesData[[#This Row],[Quantity]]*SalesData[[#This Row],[Unit Price]]*(1-SalesData[[#This Row],[Discount]])</f>
        <v>3600</v>
      </c>
      <c r="P956" s="8">
        <f>SalesData[[#This Row],[Sales_Check]]-SalesData[[#This Row],[Cost]]</f>
        <v>1520</v>
      </c>
      <c r="Q956" s="13">
        <f>IFERROR(SalesData[[#This Row],[Profit]]/SalesData[[#This Row],[Sales]],0)</f>
        <v>0.42222222222222222</v>
      </c>
      <c r="R956" t="str">
        <f>TEXT(SalesData[[#This Row],[Order Date]],"mmm-yyyy")</f>
        <v>Aug-2026</v>
      </c>
      <c r="S956">
        <f>YEAR(SalesData[[#This Row],[Order Date]])</f>
        <v>2026</v>
      </c>
      <c r="T956" t="str">
        <f>IF(SalesData[[#This Row],[Profit Margin]]&gt;=30%,"High",IF(SalesData[[#This Row],[Profit Margin]]&gt;=15%,"Medium","Low"))</f>
        <v>High</v>
      </c>
    </row>
    <row r="957" spans="1:20" x14ac:dyDescent="0.35">
      <c r="A957" t="s">
        <v>1548</v>
      </c>
      <c r="B957" s="23" t="s">
        <v>1546</v>
      </c>
      <c r="C957" t="s">
        <v>236</v>
      </c>
      <c r="D957" t="s">
        <v>43</v>
      </c>
      <c r="E957" t="s">
        <v>44</v>
      </c>
      <c r="F957" t="s">
        <v>19</v>
      </c>
      <c r="G957" t="s">
        <v>56</v>
      </c>
      <c r="H957" t="s">
        <v>29</v>
      </c>
      <c r="I957">
        <v>5</v>
      </c>
      <c r="J957" s="4">
        <v>2200</v>
      </c>
      <c r="K957" s="6">
        <v>0.05</v>
      </c>
      <c r="L957" s="8">
        <v>10450</v>
      </c>
      <c r="M957" s="8">
        <v>7250</v>
      </c>
      <c r="N957" s="8">
        <v>3200</v>
      </c>
      <c r="O957" s="8">
        <f>SalesData[[#This Row],[Quantity]]*SalesData[[#This Row],[Unit Price]]*(1-SalesData[[#This Row],[Discount]])</f>
        <v>10450</v>
      </c>
      <c r="P957" s="8">
        <f>SalesData[[#This Row],[Sales_Check]]-SalesData[[#This Row],[Cost]]</f>
        <v>3200</v>
      </c>
      <c r="Q957" s="13">
        <f>IFERROR(SalesData[[#This Row],[Profit]]/SalesData[[#This Row],[Sales]],0)</f>
        <v>0.30622009569377989</v>
      </c>
      <c r="R957" t="str">
        <f>TEXT(SalesData[[#This Row],[Order Date]],"mmm-yyyy")</f>
        <v>Aug-2026</v>
      </c>
      <c r="S957">
        <f>YEAR(SalesData[[#This Row],[Order Date]])</f>
        <v>2026</v>
      </c>
      <c r="T957" t="str">
        <f>IF(SalesData[[#This Row],[Profit Margin]]&gt;=30%,"High",IF(SalesData[[#This Row],[Profit Margin]]&gt;=15%,"Medium","Low"))</f>
        <v>High</v>
      </c>
    </row>
    <row r="958" spans="1:20" x14ac:dyDescent="0.35">
      <c r="A958" t="s">
        <v>1549</v>
      </c>
      <c r="B958" s="23" t="s">
        <v>1550</v>
      </c>
      <c r="C958" t="s">
        <v>455</v>
      </c>
      <c r="D958" t="s">
        <v>54</v>
      </c>
      <c r="E958" t="s">
        <v>110</v>
      </c>
      <c r="F958" t="s">
        <v>19</v>
      </c>
      <c r="G958" t="s">
        <v>20</v>
      </c>
      <c r="H958" t="s">
        <v>39</v>
      </c>
      <c r="I958">
        <v>3</v>
      </c>
      <c r="J958" s="4">
        <v>280</v>
      </c>
      <c r="K958" s="6">
        <v>0</v>
      </c>
      <c r="L958" s="8">
        <v>840</v>
      </c>
      <c r="M958" s="8">
        <v>450</v>
      </c>
      <c r="N958" s="8">
        <v>390</v>
      </c>
      <c r="O958" s="8">
        <f>SalesData[[#This Row],[Quantity]]*SalesData[[#This Row],[Unit Price]]*(1-SalesData[[#This Row],[Discount]])</f>
        <v>840</v>
      </c>
      <c r="P958" s="8">
        <f>SalesData[[#This Row],[Sales_Check]]-SalesData[[#This Row],[Cost]]</f>
        <v>390</v>
      </c>
      <c r="Q958" s="13">
        <f>IFERROR(SalesData[[#This Row],[Profit]]/SalesData[[#This Row],[Sales]],0)</f>
        <v>0.4642857142857143</v>
      </c>
      <c r="R958" t="str">
        <f>TEXT(SalesData[[#This Row],[Order Date]],"mmm-yyyy")</f>
        <v>Aug-2026</v>
      </c>
      <c r="S958">
        <f>YEAR(SalesData[[#This Row],[Order Date]])</f>
        <v>2026</v>
      </c>
      <c r="T958" t="str">
        <f>IF(SalesData[[#This Row],[Profit Margin]]&gt;=30%,"High",IF(SalesData[[#This Row],[Profit Margin]]&gt;=15%,"Medium","Low"))</f>
        <v>High</v>
      </c>
    </row>
    <row r="959" spans="1:20" x14ac:dyDescent="0.35">
      <c r="A959" t="s">
        <v>1551</v>
      </c>
      <c r="B959" s="23" t="s">
        <v>1550</v>
      </c>
      <c r="C959" t="s">
        <v>639</v>
      </c>
      <c r="D959" t="s">
        <v>54</v>
      </c>
      <c r="E959" t="s">
        <v>110</v>
      </c>
      <c r="F959" t="s">
        <v>19</v>
      </c>
      <c r="G959" t="s">
        <v>215</v>
      </c>
      <c r="H959" t="s">
        <v>125</v>
      </c>
      <c r="I959">
        <v>3</v>
      </c>
      <c r="J959" s="4">
        <v>280</v>
      </c>
      <c r="K959" s="6">
        <v>0</v>
      </c>
      <c r="L959" s="8">
        <v>840</v>
      </c>
      <c r="M959" s="8">
        <v>450</v>
      </c>
      <c r="N959" s="8">
        <v>390</v>
      </c>
      <c r="O959" s="8">
        <f>SalesData[[#This Row],[Quantity]]*SalesData[[#This Row],[Unit Price]]*(1-SalesData[[#This Row],[Discount]])</f>
        <v>840</v>
      </c>
      <c r="P959" s="8">
        <f>SalesData[[#This Row],[Sales_Check]]-SalesData[[#This Row],[Cost]]</f>
        <v>390</v>
      </c>
      <c r="Q959" s="13">
        <f>IFERROR(SalesData[[#This Row],[Profit]]/SalesData[[#This Row],[Sales]],0)</f>
        <v>0.4642857142857143</v>
      </c>
      <c r="R959" t="str">
        <f>TEXT(SalesData[[#This Row],[Order Date]],"mmm-yyyy")</f>
        <v>Aug-2026</v>
      </c>
      <c r="S959">
        <f>YEAR(SalesData[[#This Row],[Order Date]])</f>
        <v>2026</v>
      </c>
      <c r="T959" t="str">
        <f>IF(SalesData[[#This Row],[Profit Margin]]&gt;=30%,"High",IF(SalesData[[#This Row],[Profit Margin]]&gt;=15%,"Medium","Low"))</f>
        <v>High</v>
      </c>
    </row>
    <row r="960" spans="1:20" x14ac:dyDescent="0.35">
      <c r="A960" t="s">
        <v>1552</v>
      </c>
      <c r="B960" s="23" t="s">
        <v>1553</v>
      </c>
      <c r="C960" t="s">
        <v>741</v>
      </c>
      <c r="D960" t="s">
        <v>43</v>
      </c>
      <c r="E960" t="s">
        <v>62</v>
      </c>
      <c r="F960" t="s">
        <v>45</v>
      </c>
      <c r="G960" t="s">
        <v>70</v>
      </c>
      <c r="H960" t="s">
        <v>21</v>
      </c>
      <c r="I960">
        <v>9</v>
      </c>
      <c r="J960" s="4">
        <v>500</v>
      </c>
      <c r="K960" s="6">
        <v>0</v>
      </c>
      <c r="L960" s="8">
        <v>4500</v>
      </c>
      <c r="M960" s="8">
        <v>2520</v>
      </c>
      <c r="N960" s="8">
        <v>1980</v>
      </c>
      <c r="O960" s="8">
        <f>SalesData[[#This Row],[Quantity]]*SalesData[[#This Row],[Unit Price]]*(1-SalesData[[#This Row],[Discount]])</f>
        <v>4500</v>
      </c>
      <c r="P960" s="8">
        <f>SalesData[[#This Row],[Sales_Check]]-SalesData[[#This Row],[Cost]]</f>
        <v>1980</v>
      </c>
      <c r="Q960" s="13">
        <f>IFERROR(SalesData[[#This Row],[Profit]]/SalesData[[#This Row],[Sales]],0)</f>
        <v>0.44</v>
      </c>
      <c r="R960" t="str">
        <f>TEXT(SalesData[[#This Row],[Order Date]],"mmm-yyyy")</f>
        <v>Aug-2026</v>
      </c>
      <c r="S960">
        <f>YEAR(SalesData[[#This Row],[Order Date]])</f>
        <v>2026</v>
      </c>
      <c r="T960" t="str">
        <f>IF(SalesData[[#This Row],[Profit Margin]]&gt;=30%,"High",IF(SalesData[[#This Row],[Profit Margin]]&gt;=15%,"Medium","Low"))</f>
        <v>High</v>
      </c>
    </row>
    <row r="961" spans="1:20" x14ac:dyDescent="0.35">
      <c r="A961" t="s">
        <v>1554</v>
      </c>
      <c r="B961" s="23" t="s">
        <v>1553</v>
      </c>
      <c r="C961" t="s">
        <v>121</v>
      </c>
      <c r="D961" t="s">
        <v>17</v>
      </c>
      <c r="E961" t="s">
        <v>65</v>
      </c>
      <c r="F961" t="s">
        <v>19</v>
      </c>
      <c r="G961" t="s">
        <v>56</v>
      </c>
      <c r="H961" t="s">
        <v>21</v>
      </c>
      <c r="I961">
        <v>1</v>
      </c>
      <c r="J961" s="4">
        <v>2200</v>
      </c>
      <c r="K961" s="6">
        <v>0</v>
      </c>
      <c r="L961" s="8">
        <v>2200</v>
      </c>
      <c r="M961" s="8">
        <v>1400</v>
      </c>
      <c r="N961" s="8">
        <v>800</v>
      </c>
      <c r="O961" s="8">
        <f>SalesData[[#This Row],[Quantity]]*SalesData[[#This Row],[Unit Price]]*(1-SalesData[[#This Row],[Discount]])</f>
        <v>2200</v>
      </c>
      <c r="P961" s="8">
        <f>SalesData[[#This Row],[Sales_Check]]-SalesData[[#This Row],[Cost]]</f>
        <v>800</v>
      </c>
      <c r="Q961" s="13">
        <f>IFERROR(SalesData[[#This Row],[Profit]]/SalesData[[#This Row],[Sales]],0)</f>
        <v>0.36363636363636365</v>
      </c>
      <c r="R961" t="str">
        <f>TEXT(SalesData[[#This Row],[Order Date]],"mmm-yyyy")</f>
        <v>Aug-2026</v>
      </c>
      <c r="S961">
        <f>YEAR(SalesData[[#This Row],[Order Date]])</f>
        <v>2026</v>
      </c>
      <c r="T961" t="str">
        <f>IF(SalesData[[#This Row],[Profit Margin]]&gt;=30%,"High",IF(SalesData[[#This Row],[Profit Margin]]&gt;=15%,"Medium","Low"))</f>
        <v>High</v>
      </c>
    </row>
    <row r="962" spans="1:20" x14ac:dyDescent="0.35">
      <c r="A962" t="s">
        <v>1555</v>
      </c>
      <c r="B962" s="23" t="s">
        <v>1556</v>
      </c>
      <c r="C962" t="s">
        <v>64</v>
      </c>
      <c r="D962" t="s">
        <v>43</v>
      </c>
      <c r="E962" t="s">
        <v>250</v>
      </c>
      <c r="F962" t="s">
        <v>37</v>
      </c>
      <c r="G962" t="s">
        <v>38</v>
      </c>
      <c r="H962" t="s">
        <v>39</v>
      </c>
      <c r="I962">
        <v>9</v>
      </c>
      <c r="J962" s="4">
        <v>900</v>
      </c>
      <c r="K962" s="6">
        <v>0.1</v>
      </c>
      <c r="L962" s="8">
        <v>7290</v>
      </c>
      <c r="M962" s="8">
        <v>4680</v>
      </c>
      <c r="N962" s="8">
        <v>2610</v>
      </c>
      <c r="O962" s="8">
        <f>SalesData[[#This Row],[Quantity]]*SalesData[[#This Row],[Unit Price]]*(1-SalesData[[#This Row],[Discount]])</f>
        <v>7290</v>
      </c>
      <c r="P962" s="8">
        <f>SalesData[[#This Row],[Sales_Check]]-SalesData[[#This Row],[Cost]]</f>
        <v>2610</v>
      </c>
      <c r="Q962" s="13">
        <f>IFERROR(SalesData[[#This Row],[Profit]]/SalesData[[#This Row],[Sales]],0)</f>
        <v>0.35802469135802467</v>
      </c>
      <c r="R962" t="str">
        <f>TEXT(SalesData[[#This Row],[Order Date]],"mmm-yyyy")</f>
        <v>Aug-2026</v>
      </c>
      <c r="S962">
        <f>YEAR(SalesData[[#This Row],[Order Date]])</f>
        <v>2026</v>
      </c>
      <c r="T962" t="str">
        <f>IF(SalesData[[#This Row],[Profit Margin]]&gt;=30%,"High",IF(SalesData[[#This Row],[Profit Margin]]&gt;=15%,"Medium","Low"))</f>
        <v>High</v>
      </c>
    </row>
    <row r="963" spans="1:20" x14ac:dyDescent="0.35">
      <c r="A963" t="s">
        <v>1557</v>
      </c>
      <c r="B963" s="23" t="s">
        <v>1556</v>
      </c>
      <c r="C963" t="s">
        <v>766</v>
      </c>
      <c r="D963" t="s">
        <v>17</v>
      </c>
      <c r="E963" t="s">
        <v>18</v>
      </c>
      <c r="F963" t="s">
        <v>37</v>
      </c>
      <c r="G963" t="s">
        <v>73</v>
      </c>
      <c r="H963" t="s">
        <v>29</v>
      </c>
      <c r="I963">
        <v>7</v>
      </c>
      <c r="J963" s="4">
        <v>1800</v>
      </c>
      <c r="K963" s="6">
        <v>0</v>
      </c>
      <c r="L963" s="8">
        <v>12600</v>
      </c>
      <c r="M963" s="8">
        <v>7700</v>
      </c>
      <c r="N963" s="8">
        <v>4900</v>
      </c>
      <c r="O963" s="8">
        <f>SalesData[[#This Row],[Quantity]]*SalesData[[#This Row],[Unit Price]]*(1-SalesData[[#This Row],[Discount]])</f>
        <v>12600</v>
      </c>
      <c r="P963" s="8">
        <f>SalesData[[#This Row],[Sales_Check]]-SalesData[[#This Row],[Cost]]</f>
        <v>4900</v>
      </c>
      <c r="Q963" s="13">
        <f>IFERROR(SalesData[[#This Row],[Profit]]/SalesData[[#This Row],[Sales]],0)</f>
        <v>0.3888888888888889</v>
      </c>
      <c r="R963" t="str">
        <f>TEXT(SalesData[[#This Row],[Order Date]],"mmm-yyyy")</f>
        <v>Aug-2026</v>
      </c>
      <c r="S963">
        <f>YEAR(SalesData[[#This Row],[Order Date]])</f>
        <v>2026</v>
      </c>
      <c r="T963" t="str">
        <f>IF(SalesData[[#This Row],[Profit Margin]]&gt;=30%,"High",IF(SalesData[[#This Row],[Profit Margin]]&gt;=15%,"Medium","Low"))</f>
        <v>High</v>
      </c>
    </row>
    <row r="964" spans="1:20" x14ac:dyDescent="0.35">
      <c r="A964" t="s">
        <v>1558</v>
      </c>
      <c r="B964" s="23" t="s">
        <v>1556</v>
      </c>
      <c r="C964" t="s">
        <v>1013</v>
      </c>
      <c r="D964" t="s">
        <v>25</v>
      </c>
      <c r="E964" t="s">
        <v>80</v>
      </c>
      <c r="F964" t="s">
        <v>27</v>
      </c>
      <c r="G964" t="s">
        <v>51</v>
      </c>
      <c r="H964" t="s">
        <v>21</v>
      </c>
      <c r="I964">
        <v>6</v>
      </c>
      <c r="J964" s="4">
        <v>950</v>
      </c>
      <c r="K964" s="6">
        <v>0</v>
      </c>
      <c r="L964" s="8">
        <v>5700</v>
      </c>
      <c r="M964" s="8">
        <v>3360</v>
      </c>
      <c r="N964" s="8">
        <v>2340</v>
      </c>
      <c r="O964" s="8">
        <f>SalesData[[#This Row],[Quantity]]*SalesData[[#This Row],[Unit Price]]*(1-SalesData[[#This Row],[Discount]])</f>
        <v>5700</v>
      </c>
      <c r="P964" s="8">
        <f>SalesData[[#This Row],[Sales_Check]]-SalesData[[#This Row],[Cost]]</f>
        <v>2340</v>
      </c>
      <c r="Q964" s="13">
        <f>IFERROR(SalesData[[#This Row],[Profit]]/SalesData[[#This Row],[Sales]],0)</f>
        <v>0.41052631578947368</v>
      </c>
      <c r="R964" t="str">
        <f>TEXT(SalesData[[#This Row],[Order Date]],"mmm-yyyy")</f>
        <v>Aug-2026</v>
      </c>
      <c r="S964">
        <f>YEAR(SalesData[[#This Row],[Order Date]])</f>
        <v>2026</v>
      </c>
      <c r="T964" t="str">
        <f>IF(SalesData[[#This Row],[Profit Margin]]&gt;=30%,"High",IF(SalesData[[#This Row],[Profit Margin]]&gt;=15%,"Medium","Low"))</f>
        <v>High</v>
      </c>
    </row>
    <row r="965" spans="1:20" x14ac:dyDescent="0.35">
      <c r="A965" t="s">
        <v>1559</v>
      </c>
      <c r="B965" s="23" t="s">
        <v>1556</v>
      </c>
      <c r="C965" t="s">
        <v>99</v>
      </c>
      <c r="D965" t="s">
        <v>43</v>
      </c>
      <c r="E965" t="s">
        <v>169</v>
      </c>
      <c r="F965" t="s">
        <v>45</v>
      </c>
      <c r="G965" t="s">
        <v>70</v>
      </c>
      <c r="H965" t="s">
        <v>33</v>
      </c>
      <c r="I965">
        <v>6</v>
      </c>
      <c r="J965" s="4">
        <v>350</v>
      </c>
      <c r="K965" s="6">
        <v>0.05</v>
      </c>
      <c r="L965" s="8">
        <v>1995</v>
      </c>
      <c r="M965" s="8">
        <v>1020</v>
      </c>
      <c r="N965" s="8">
        <v>975</v>
      </c>
      <c r="O965" s="8">
        <f>SalesData[[#This Row],[Quantity]]*SalesData[[#This Row],[Unit Price]]*(1-SalesData[[#This Row],[Discount]])</f>
        <v>1995</v>
      </c>
      <c r="P965" s="8">
        <f>SalesData[[#This Row],[Sales_Check]]-SalesData[[#This Row],[Cost]]</f>
        <v>975</v>
      </c>
      <c r="Q965" s="13">
        <f>IFERROR(SalesData[[#This Row],[Profit]]/SalesData[[#This Row],[Sales]],0)</f>
        <v>0.48872180451127817</v>
      </c>
      <c r="R965" t="str">
        <f>TEXT(SalesData[[#This Row],[Order Date]],"mmm-yyyy")</f>
        <v>Aug-2026</v>
      </c>
      <c r="S965">
        <f>YEAR(SalesData[[#This Row],[Order Date]])</f>
        <v>2026</v>
      </c>
      <c r="T965" t="str">
        <f>IF(SalesData[[#This Row],[Profit Margin]]&gt;=30%,"High",IF(SalesData[[#This Row],[Profit Margin]]&gt;=15%,"Medium","Low"))</f>
        <v>High</v>
      </c>
    </row>
    <row r="966" spans="1:20" x14ac:dyDescent="0.35">
      <c r="A966" t="s">
        <v>1560</v>
      </c>
      <c r="B966" s="23" t="s">
        <v>1556</v>
      </c>
      <c r="C966" t="s">
        <v>367</v>
      </c>
      <c r="D966" t="s">
        <v>54</v>
      </c>
      <c r="E966" t="s">
        <v>110</v>
      </c>
      <c r="F966" t="s">
        <v>19</v>
      </c>
      <c r="G966" t="s">
        <v>20</v>
      </c>
      <c r="H966" t="s">
        <v>39</v>
      </c>
      <c r="I966">
        <v>2</v>
      </c>
      <c r="J966" s="4">
        <v>280</v>
      </c>
      <c r="K966" s="6">
        <v>0</v>
      </c>
      <c r="L966" s="8">
        <v>560</v>
      </c>
      <c r="M966" s="8">
        <v>300</v>
      </c>
      <c r="N966" s="8">
        <v>260</v>
      </c>
      <c r="O966" s="8">
        <f>SalesData[[#This Row],[Quantity]]*SalesData[[#This Row],[Unit Price]]*(1-SalesData[[#This Row],[Discount]])</f>
        <v>560</v>
      </c>
      <c r="P966" s="8">
        <f>SalesData[[#This Row],[Sales_Check]]-SalesData[[#This Row],[Cost]]</f>
        <v>260</v>
      </c>
      <c r="Q966" s="13">
        <f>IFERROR(SalesData[[#This Row],[Profit]]/SalesData[[#This Row],[Sales]],0)</f>
        <v>0.4642857142857143</v>
      </c>
      <c r="R966" t="str">
        <f>TEXT(SalesData[[#This Row],[Order Date]],"mmm-yyyy")</f>
        <v>Aug-2026</v>
      </c>
      <c r="S966">
        <f>YEAR(SalesData[[#This Row],[Order Date]])</f>
        <v>2026</v>
      </c>
      <c r="T966" t="str">
        <f>IF(SalesData[[#This Row],[Profit Margin]]&gt;=30%,"High",IF(SalesData[[#This Row],[Profit Margin]]&gt;=15%,"Medium","Low"))</f>
        <v>High</v>
      </c>
    </row>
    <row r="967" spans="1:20" x14ac:dyDescent="0.35">
      <c r="A967" t="s">
        <v>1561</v>
      </c>
      <c r="B967" s="23" t="s">
        <v>1562</v>
      </c>
      <c r="C967" t="s">
        <v>437</v>
      </c>
      <c r="D967" t="s">
        <v>17</v>
      </c>
      <c r="E967" t="s">
        <v>65</v>
      </c>
      <c r="F967" t="s">
        <v>19</v>
      </c>
      <c r="G967" t="s">
        <v>215</v>
      </c>
      <c r="H967" t="s">
        <v>47</v>
      </c>
      <c r="I967">
        <v>1</v>
      </c>
      <c r="J967" s="4">
        <v>2200</v>
      </c>
      <c r="K967" s="6">
        <v>0</v>
      </c>
      <c r="L967" s="8">
        <v>2200</v>
      </c>
      <c r="M967" s="8">
        <v>1400</v>
      </c>
      <c r="N967" s="8">
        <v>800</v>
      </c>
      <c r="O967" s="8">
        <f>SalesData[[#This Row],[Quantity]]*SalesData[[#This Row],[Unit Price]]*(1-SalesData[[#This Row],[Discount]])</f>
        <v>2200</v>
      </c>
      <c r="P967" s="8">
        <f>SalesData[[#This Row],[Sales_Check]]-SalesData[[#This Row],[Cost]]</f>
        <v>800</v>
      </c>
      <c r="Q967" s="13">
        <f>IFERROR(SalesData[[#This Row],[Profit]]/SalesData[[#This Row],[Sales]],0)</f>
        <v>0.36363636363636365</v>
      </c>
      <c r="R967" t="str">
        <f>TEXT(SalesData[[#This Row],[Order Date]],"mmm-yyyy")</f>
        <v>Aug-2026</v>
      </c>
      <c r="S967">
        <f>YEAR(SalesData[[#This Row],[Order Date]])</f>
        <v>2026</v>
      </c>
      <c r="T967" t="str">
        <f>IF(SalesData[[#This Row],[Profit Margin]]&gt;=30%,"High",IF(SalesData[[#This Row],[Profit Margin]]&gt;=15%,"Medium","Low"))</f>
        <v>High</v>
      </c>
    </row>
    <row r="968" spans="1:20" x14ac:dyDescent="0.35">
      <c r="A968" t="s">
        <v>1563</v>
      </c>
      <c r="B968" s="23" t="s">
        <v>1562</v>
      </c>
      <c r="C968" t="s">
        <v>196</v>
      </c>
      <c r="D968" t="s">
        <v>25</v>
      </c>
      <c r="E968" t="s">
        <v>89</v>
      </c>
      <c r="F968" t="s">
        <v>27</v>
      </c>
      <c r="G968" t="s">
        <v>51</v>
      </c>
      <c r="H968" t="s">
        <v>125</v>
      </c>
      <c r="I968">
        <v>9</v>
      </c>
      <c r="J968" s="4">
        <v>550</v>
      </c>
      <c r="K968" s="6">
        <v>0.05</v>
      </c>
      <c r="L968" s="8">
        <v>4702.5</v>
      </c>
      <c r="M968" s="8">
        <v>2700</v>
      </c>
      <c r="N968" s="8">
        <v>2002.5</v>
      </c>
      <c r="O968" s="8">
        <f>SalesData[[#This Row],[Quantity]]*SalesData[[#This Row],[Unit Price]]*(1-SalesData[[#This Row],[Discount]])</f>
        <v>4702.5</v>
      </c>
      <c r="P968" s="8">
        <f>SalesData[[#This Row],[Sales_Check]]-SalesData[[#This Row],[Cost]]</f>
        <v>2002.5</v>
      </c>
      <c r="Q968" s="13">
        <f>IFERROR(SalesData[[#This Row],[Profit]]/SalesData[[#This Row],[Sales]],0)</f>
        <v>0.42583732057416268</v>
      </c>
      <c r="R968" t="str">
        <f>TEXT(SalesData[[#This Row],[Order Date]],"mmm-yyyy")</f>
        <v>Aug-2026</v>
      </c>
      <c r="S968">
        <f>YEAR(SalesData[[#This Row],[Order Date]])</f>
        <v>2026</v>
      </c>
      <c r="T968" t="str">
        <f>IF(SalesData[[#This Row],[Profit Margin]]&gt;=30%,"High",IF(SalesData[[#This Row],[Profit Margin]]&gt;=15%,"Medium","Low"))</f>
        <v>High</v>
      </c>
    </row>
    <row r="969" spans="1:20" x14ac:dyDescent="0.35">
      <c r="A969" t="s">
        <v>1564</v>
      </c>
      <c r="B969" s="23" t="s">
        <v>1562</v>
      </c>
      <c r="C969" t="s">
        <v>82</v>
      </c>
      <c r="D969" t="s">
        <v>54</v>
      </c>
      <c r="E969" t="s">
        <v>107</v>
      </c>
      <c r="F969" t="s">
        <v>45</v>
      </c>
      <c r="G969" t="s">
        <v>70</v>
      </c>
      <c r="H969" t="s">
        <v>47</v>
      </c>
      <c r="I969">
        <v>1</v>
      </c>
      <c r="J969" s="4">
        <v>120</v>
      </c>
      <c r="K969" s="6">
        <v>0</v>
      </c>
      <c r="L969" s="8">
        <v>120</v>
      </c>
      <c r="M969" s="8">
        <v>55</v>
      </c>
      <c r="N969" s="8">
        <v>65</v>
      </c>
      <c r="O969" s="8">
        <f>SalesData[[#This Row],[Quantity]]*SalesData[[#This Row],[Unit Price]]*(1-SalesData[[#This Row],[Discount]])</f>
        <v>120</v>
      </c>
      <c r="P969" s="8">
        <f>SalesData[[#This Row],[Sales_Check]]-SalesData[[#This Row],[Cost]]</f>
        <v>65</v>
      </c>
      <c r="Q969" s="13">
        <f>IFERROR(SalesData[[#This Row],[Profit]]/SalesData[[#This Row],[Sales]],0)</f>
        <v>0.54166666666666663</v>
      </c>
      <c r="R969" t="str">
        <f>TEXT(SalesData[[#This Row],[Order Date]],"mmm-yyyy")</f>
        <v>Aug-2026</v>
      </c>
      <c r="S969">
        <f>YEAR(SalesData[[#This Row],[Order Date]])</f>
        <v>2026</v>
      </c>
      <c r="T969" t="str">
        <f>IF(SalesData[[#This Row],[Profit Margin]]&gt;=30%,"High",IF(SalesData[[#This Row],[Profit Margin]]&gt;=15%,"Medium","Low"))</f>
        <v>High</v>
      </c>
    </row>
    <row r="970" spans="1:20" x14ac:dyDescent="0.35">
      <c r="A970" t="s">
        <v>1565</v>
      </c>
      <c r="B970" s="23" t="s">
        <v>1566</v>
      </c>
      <c r="C970" t="s">
        <v>229</v>
      </c>
      <c r="D970" t="s">
        <v>17</v>
      </c>
      <c r="E970" t="s">
        <v>32</v>
      </c>
      <c r="F970" t="s">
        <v>37</v>
      </c>
      <c r="G970" t="s">
        <v>73</v>
      </c>
      <c r="H970" t="s">
        <v>33</v>
      </c>
      <c r="I970">
        <v>3</v>
      </c>
      <c r="J970" s="4">
        <v>1500</v>
      </c>
      <c r="K970" s="6">
        <v>0</v>
      </c>
      <c r="L970" s="8">
        <v>4500</v>
      </c>
      <c r="M970" s="8">
        <v>2700</v>
      </c>
      <c r="N970" s="8">
        <v>1800</v>
      </c>
      <c r="O970" s="8">
        <f>SalesData[[#This Row],[Quantity]]*SalesData[[#This Row],[Unit Price]]*(1-SalesData[[#This Row],[Discount]])</f>
        <v>4500</v>
      </c>
      <c r="P970" s="8">
        <f>SalesData[[#This Row],[Sales_Check]]-SalesData[[#This Row],[Cost]]</f>
        <v>1800</v>
      </c>
      <c r="Q970" s="13">
        <f>IFERROR(SalesData[[#This Row],[Profit]]/SalesData[[#This Row],[Sales]],0)</f>
        <v>0.4</v>
      </c>
      <c r="R970" t="str">
        <f>TEXT(SalesData[[#This Row],[Order Date]],"mmm-yyyy")</f>
        <v>Aug-2026</v>
      </c>
      <c r="S970">
        <f>YEAR(SalesData[[#This Row],[Order Date]])</f>
        <v>2026</v>
      </c>
      <c r="T970" t="str">
        <f>IF(SalesData[[#This Row],[Profit Margin]]&gt;=30%,"High",IF(SalesData[[#This Row],[Profit Margin]]&gt;=15%,"Medium","Low"))</f>
        <v>High</v>
      </c>
    </row>
    <row r="971" spans="1:20" x14ac:dyDescent="0.35">
      <c r="A971" t="s">
        <v>1567</v>
      </c>
      <c r="B971" s="23" t="s">
        <v>1566</v>
      </c>
      <c r="C971" t="s">
        <v>1221</v>
      </c>
      <c r="D971" t="s">
        <v>43</v>
      </c>
      <c r="E971" t="s">
        <v>169</v>
      </c>
      <c r="F971" t="s">
        <v>27</v>
      </c>
      <c r="G971" t="s">
        <v>90</v>
      </c>
      <c r="H971" t="s">
        <v>39</v>
      </c>
      <c r="I971">
        <v>8</v>
      </c>
      <c r="J971" s="4">
        <v>350</v>
      </c>
      <c r="K971" s="6">
        <v>0</v>
      </c>
      <c r="L971" s="8">
        <v>2800</v>
      </c>
      <c r="M971" s="8">
        <v>1360</v>
      </c>
      <c r="N971" s="8">
        <v>1440</v>
      </c>
      <c r="O971" s="8">
        <f>SalesData[[#This Row],[Quantity]]*SalesData[[#This Row],[Unit Price]]*(1-SalesData[[#This Row],[Discount]])</f>
        <v>2800</v>
      </c>
      <c r="P971" s="8">
        <f>SalesData[[#This Row],[Sales_Check]]-SalesData[[#This Row],[Cost]]</f>
        <v>1440</v>
      </c>
      <c r="Q971" s="13">
        <f>IFERROR(SalesData[[#This Row],[Profit]]/SalesData[[#This Row],[Sales]],0)</f>
        <v>0.51428571428571423</v>
      </c>
      <c r="R971" t="str">
        <f>TEXT(SalesData[[#This Row],[Order Date]],"mmm-yyyy")</f>
        <v>Aug-2026</v>
      </c>
      <c r="S971">
        <f>YEAR(SalesData[[#This Row],[Order Date]])</f>
        <v>2026</v>
      </c>
      <c r="T971" t="str">
        <f>IF(SalesData[[#This Row],[Profit Margin]]&gt;=30%,"High",IF(SalesData[[#This Row],[Profit Margin]]&gt;=15%,"Medium","Low"))</f>
        <v>High</v>
      </c>
    </row>
    <row r="972" spans="1:20" x14ac:dyDescent="0.35">
      <c r="A972" t="s">
        <v>1568</v>
      </c>
      <c r="B972" s="23" t="s">
        <v>1566</v>
      </c>
      <c r="C972" t="s">
        <v>198</v>
      </c>
      <c r="D972" t="s">
        <v>17</v>
      </c>
      <c r="E972" t="s">
        <v>32</v>
      </c>
      <c r="F972" t="s">
        <v>19</v>
      </c>
      <c r="G972" t="s">
        <v>113</v>
      </c>
      <c r="H972" t="s">
        <v>125</v>
      </c>
      <c r="I972">
        <v>8</v>
      </c>
      <c r="J972" s="4">
        <v>1500</v>
      </c>
      <c r="K972" s="6">
        <v>0</v>
      </c>
      <c r="L972" s="8">
        <v>12000</v>
      </c>
      <c r="M972" s="8">
        <v>7200</v>
      </c>
      <c r="N972" s="8">
        <v>4800</v>
      </c>
      <c r="O972" s="8">
        <f>SalesData[[#This Row],[Quantity]]*SalesData[[#This Row],[Unit Price]]*(1-SalesData[[#This Row],[Discount]])</f>
        <v>12000</v>
      </c>
      <c r="P972" s="8">
        <f>SalesData[[#This Row],[Sales_Check]]-SalesData[[#This Row],[Cost]]</f>
        <v>4800</v>
      </c>
      <c r="Q972" s="13">
        <f>IFERROR(SalesData[[#This Row],[Profit]]/SalesData[[#This Row],[Sales]],0)</f>
        <v>0.4</v>
      </c>
      <c r="R972" t="str">
        <f>TEXT(SalesData[[#This Row],[Order Date]],"mmm-yyyy")</f>
        <v>Aug-2026</v>
      </c>
      <c r="S972">
        <f>YEAR(SalesData[[#This Row],[Order Date]])</f>
        <v>2026</v>
      </c>
      <c r="T972" t="str">
        <f>IF(SalesData[[#This Row],[Profit Margin]]&gt;=30%,"High",IF(SalesData[[#This Row],[Profit Margin]]&gt;=15%,"Medium","Low"))</f>
        <v>High</v>
      </c>
    </row>
    <row r="973" spans="1:20" x14ac:dyDescent="0.35">
      <c r="A973" t="s">
        <v>1569</v>
      </c>
      <c r="B973" s="23" t="s">
        <v>1566</v>
      </c>
      <c r="C973" t="s">
        <v>723</v>
      </c>
      <c r="D973" t="s">
        <v>43</v>
      </c>
      <c r="E973" t="s">
        <v>44</v>
      </c>
      <c r="F973" t="s">
        <v>37</v>
      </c>
      <c r="G973" t="s">
        <v>97</v>
      </c>
      <c r="H973" t="s">
        <v>39</v>
      </c>
      <c r="I973">
        <v>8</v>
      </c>
      <c r="J973" s="4">
        <v>2200</v>
      </c>
      <c r="K973" s="6">
        <v>0.15</v>
      </c>
      <c r="L973" s="8">
        <v>14960</v>
      </c>
      <c r="M973" s="8">
        <v>11600</v>
      </c>
      <c r="N973" s="8">
        <v>3360</v>
      </c>
      <c r="O973" s="8">
        <f>SalesData[[#This Row],[Quantity]]*SalesData[[#This Row],[Unit Price]]*(1-SalesData[[#This Row],[Discount]])</f>
        <v>14960</v>
      </c>
      <c r="P973" s="8">
        <f>SalesData[[#This Row],[Sales_Check]]-SalesData[[#This Row],[Cost]]</f>
        <v>3360</v>
      </c>
      <c r="Q973" s="13">
        <f>IFERROR(SalesData[[#This Row],[Profit]]/SalesData[[#This Row],[Sales]],0)</f>
        <v>0.22459893048128343</v>
      </c>
      <c r="R973" t="str">
        <f>TEXT(SalesData[[#This Row],[Order Date]],"mmm-yyyy")</f>
        <v>Aug-2026</v>
      </c>
      <c r="S973">
        <f>YEAR(SalesData[[#This Row],[Order Date]])</f>
        <v>2026</v>
      </c>
      <c r="T973" t="str">
        <f>IF(SalesData[[#This Row],[Profit Margin]]&gt;=30%,"High",IF(SalesData[[#This Row],[Profit Margin]]&gt;=15%,"Medium","Low"))</f>
        <v>Medium</v>
      </c>
    </row>
    <row r="974" spans="1:20" x14ac:dyDescent="0.35">
      <c r="A974" t="s">
        <v>1570</v>
      </c>
      <c r="B974" s="23" t="s">
        <v>1571</v>
      </c>
      <c r="C974" t="s">
        <v>119</v>
      </c>
      <c r="D974" t="s">
        <v>43</v>
      </c>
      <c r="E974" t="s">
        <v>169</v>
      </c>
      <c r="F974" t="s">
        <v>45</v>
      </c>
      <c r="G974" t="s">
        <v>104</v>
      </c>
      <c r="H974" t="s">
        <v>33</v>
      </c>
      <c r="I974">
        <v>6</v>
      </c>
      <c r="J974" s="4">
        <v>350</v>
      </c>
      <c r="K974" s="6">
        <v>0</v>
      </c>
      <c r="L974" s="8">
        <v>2100</v>
      </c>
      <c r="M974" s="8">
        <v>1020</v>
      </c>
      <c r="N974" s="8">
        <v>1080</v>
      </c>
      <c r="O974" s="8">
        <f>SalesData[[#This Row],[Quantity]]*SalesData[[#This Row],[Unit Price]]*(1-SalesData[[#This Row],[Discount]])</f>
        <v>2100</v>
      </c>
      <c r="P974" s="8">
        <f>SalesData[[#This Row],[Sales_Check]]-SalesData[[#This Row],[Cost]]</f>
        <v>1080</v>
      </c>
      <c r="Q974" s="13">
        <f>IFERROR(SalesData[[#This Row],[Profit]]/SalesData[[#This Row],[Sales]],0)</f>
        <v>0.51428571428571423</v>
      </c>
      <c r="R974" t="str">
        <f>TEXT(SalesData[[#This Row],[Order Date]],"mmm-yyyy")</f>
        <v>Aug-2026</v>
      </c>
      <c r="S974">
        <f>YEAR(SalesData[[#This Row],[Order Date]])</f>
        <v>2026</v>
      </c>
      <c r="T974" t="str">
        <f>IF(SalesData[[#This Row],[Profit Margin]]&gt;=30%,"High",IF(SalesData[[#This Row],[Profit Margin]]&gt;=15%,"Medium","Low"))</f>
        <v>High</v>
      </c>
    </row>
    <row r="975" spans="1:20" x14ac:dyDescent="0.35">
      <c r="A975" t="s">
        <v>1572</v>
      </c>
      <c r="B975" s="23" t="s">
        <v>1571</v>
      </c>
      <c r="C975" t="s">
        <v>325</v>
      </c>
      <c r="D975" t="s">
        <v>17</v>
      </c>
      <c r="E975" t="s">
        <v>50</v>
      </c>
      <c r="F975" t="s">
        <v>37</v>
      </c>
      <c r="G975" t="s">
        <v>73</v>
      </c>
      <c r="H975" t="s">
        <v>39</v>
      </c>
      <c r="I975">
        <v>5</v>
      </c>
      <c r="J975" s="4">
        <v>650</v>
      </c>
      <c r="K975" s="6">
        <v>0.15</v>
      </c>
      <c r="L975" s="8">
        <v>2762.5</v>
      </c>
      <c r="M975" s="8">
        <v>1900</v>
      </c>
      <c r="N975" s="8">
        <v>862.5</v>
      </c>
      <c r="O975" s="8">
        <f>SalesData[[#This Row],[Quantity]]*SalesData[[#This Row],[Unit Price]]*(1-SalesData[[#This Row],[Discount]])</f>
        <v>2762.5</v>
      </c>
      <c r="P975" s="8">
        <f>SalesData[[#This Row],[Sales_Check]]-SalesData[[#This Row],[Cost]]</f>
        <v>862.5</v>
      </c>
      <c r="Q975" s="13">
        <f>IFERROR(SalesData[[#This Row],[Profit]]/SalesData[[#This Row],[Sales]],0)</f>
        <v>0.31221719457013575</v>
      </c>
      <c r="R975" t="str">
        <f>TEXT(SalesData[[#This Row],[Order Date]],"mmm-yyyy")</f>
        <v>Aug-2026</v>
      </c>
      <c r="S975">
        <f>YEAR(SalesData[[#This Row],[Order Date]])</f>
        <v>2026</v>
      </c>
      <c r="T975" t="str">
        <f>IF(SalesData[[#This Row],[Profit Margin]]&gt;=30%,"High",IF(SalesData[[#This Row],[Profit Margin]]&gt;=15%,"Medium","Low"))</f>
        <v>High</v>
      </c>
    </row>
    <row r="976" spans="1:20" x14ac:dyDescent="0.35">
      <c r="A976" t="s">
        <v>1573</v>
      </c>
      <c r="B976" s="23" t="s">
        <v>1571</v>
      </c>
      <c r="C976" t="s">
        <v>723</v>
      </c>
      <c r="D976" t="s">
        <v>54</v>
      </c>
      <c r="E976" t="s">
        <v>55</v>
      </c>
      <c r="F976" t="s">
        <v>37</v>
      </c>
      <c r="G976" t="s">
        <v>73</v>
      </c>
      <c r="H976" t="s">
        <v>29</v>
      </c>
      <c r="I976">
        <v>9</v>
      </c>
      <c r="J976" s="4">
        <v>180</v>
      </c>
      <c r="K976" s="6">
        <v>0.05</v>
      </c>
      <c r="L976" s="8">
        <v>1539</v>
      </c>
      <c r="M976" s="8">
        <v>810</v>
      </c>
      <c r="N976" s="8">
        <v>729</v>
      </c>
      <c r="O976" s="8">
        <f>SalesData[[#This Row],[Quantity]]*SalesData[[#This Row],[Unit Price]]*(1-SalesData[[#This Row],[Discount]])</f>
        <v>1539</v>
      </c>
      <c r="P976" s="8">
        <f>SalesData[[#This Row],[Sales_Check]]-SalesData[[#This Row],[Cost]]</f>
        <v>729</v>
      </c>
      <c r="Q976" s="13">
        <f>IFERROR(SalesData[[#This Row],[Profit]]/SalesData[[#This Row],[Sales]],0)</f>
        <v>0.47368421052631576</v>
      </c>
      <c r="R976" t="str">
        <f>TEXT(SalesData[[#This Row],[Order Date]],"mmm-yyyy")</f>
        <v>Aug-2026</v>
      </c>
      <c r="S976">
        <f>YEAR(SalesData[[#This Row],[Order Date]])</f>
        <v>2026</v>
      </c>
      <c r="T976" t="str">
        <f>IF(SalesData[[#This Row],[Profit Margin]]&gt;=30%,"High",IF(SalesData[[#This Row],[Profit Margin]]&gt;=15%,"Medium","Low"))</f>
        <v>High</v>
      </c>
    </row>
    <row r="977" spans="1:20" x14ac:dyDescent="0.35">
      <c r="A977" t="s">
        <v>1574</v>
      </c>
      <c r="B977" s="23" t="s">
        <v>1571</v>
      </c>
      <c r="C977" t="s">
        <v>313</v>
      </c>
      <c r="D977" t="s">
        <v>43</v>
      </c>
      <c r="E977" t="s">
        <v>169</v>
      </c>
      <c r="F977" t="s">
        <v>45</v>
      </c>
      <c r="G977" t="s">
        <v>70</v>
      </c>
      <c r="H977" t="s">
        <v>39</v>
      </c>
      <c r="I977">
        <v>5</v>
      </c>
      <c r="J977" s="4">
        <v>350</v>
      </c>
      <c r="K977" s="6">
        <v>0.05</v>
      </c>
      <c r="L977" s="8">
        <v>1662.5</v>
      </c>
      <c r="M977" s="8">
        <v>850</v>
      </c>
      <c r="N977" s="8">
        <v>812.5</v>
      </c>
      <c r="O977" s="8">
        <f>SalesData[[#This Row],[Quantity]]*SalesData[[#This Row],[Unit Price]]*(1-SalesData[[#This Row],[Discount]])</f>
        <v>1662.5</v>
      </c>
      <c r="P977" s="8">
        <f>SalesData[[#This Row],[Sales_Check]]-SalesData[[#This Row],[Cost]]</f>
        <v>812.5</v>
      </c>
      <c r="Q977" s="13">
        <f>IFERROR(SalesData[[#This Row],[Profit]]/SalesData[[#This Row],[Sales]],0)</f>
        <v>0.48872180451127817</v>
      </c>
      <c r="R977" t="str">
        <f>TEXT(SalesData[[#This Row],[Order Date]],"mmm-yyyy")</f>
        <v>Aug-2026</v>
      </c>
      <c r="S977">
        <f>YEAR(SalesData[[#This Row],[Order Date]])</f>
        <v>2026</v>
      </c>
      <c r="T977" t="str">
        <f>IF(SalesData[[#This Row],[Profit Margin]]&gt;=30%,"High",IF(SalesData[[#This Row],[Profit Margin]]&gt;=15%,"Medium","Low"))</f>
        <v>High</v>
      </c>
    </row>
    <row r="978" spans="1:20" x14ac:dyDescent="0.35">
      <c r="A978" t="s">
        <v>1575</v>
      </c>
      <c r="B978" s="23" t="s">
        <v>1571</v>
      </c>
      <c r="C978" t="s">
        <v>355</v>
      </c>
      <c r="D978" t="s">
        <v>17</v>
      </c>
      <c r="E978" t="s">
        <v>18</v>
      </c>
      <c r="F978" t="s">
        <v>45</v>
      </c>
      <c r="G978" t="s">
        <v>122</v>
      </c>
      <c r="H978" t="s">
        <v>33</v>
      </c>
      <c r="I978">
        <v>3</v>
      </c>
      <c r="J978" s="4">
        <v>1800</v>
      </c>
      <c r="K978" s="6">
        <v>0.05</v>
      </c>
      <c r="L978" s="8">
        <v>5130</v>
      </c>
      <c r="M978" s="8">
        <v>3300</v>
      </c>
      <c r="N978" s="8">
        <v>1830</v>
      </c>
      <c r="O978" s="8">
        <f>SalesData[[#This Row],[Quantity]]*SalesData[[#This Row],[Unit Price]]*(1-SalesData[[#This Row],[Discount]])</f>
        <v>5130</v>
      </c>
      <c r="P978" s="8">
        <f>SalesData[[#This Row],[Sales_Check]]-SalesData[[#This Row],[Cost]]</f>
        <v>1830</v>
      </c>
      <c r="Q978" s="13">
        <f>IFERROR(SalesData[[#This Row],[Profit]]/SalesData[[#This Row],[Sales]],0)</f>
        <v>0.35672514619883039</v>
      </c>
      <c r="R978" t="str">
        <f>TEXT(SalesData[[#This Row],[Order Date]],"mmm-yyyy")</f>
        <v>Aug-2026</v>
      </c>
      <c r="S978">
        <f>YEAR(SalesData[[#This Row],[Order Date]])</f>
        <v>2026</v>
      </c>
      <c r="T978" t="str">
        <f>IF(SalesData[[#This Row],[Profit Margin]]&gt;=30%,"High",IF(SalesData[[#This Row],[Profit Margin]]&gt;=15%,"Medium","Low"))</f>
        <v>High</v>
      </c>
    </row>
    <row r="979" spans="1:20" x14ac:dyDescent="0.35">
      <c r="A979" t="s">
        <v>1576</v>
      </c>
      <c r="B979" s="23" t="s">
        <v>1571</v>
      </c>
      <c r="C979" t="s">
        <v>830</v>
      </c>
      <c r="D979" t="s">
        <v>17</v>
      </c>
      <c r="E979" t="s">
        <v>124</v>
      </c>
      <c r="F979" t="s">
        <v>37</v>
      </c>
      <c r="G979" t="s">
        <v>140</v>
      </c>
      <c r="H979" t="s">
        <v>33</v>
      </c>
      <c r="I979">
        <v>2</v>
      </c>
      <c r="J979" s="4">
        <v>1200</v>
      </c>
      <c r="K979" s="6">
        <v>0</v>
      </c>
      <c r="L979" s="8">
        <v>2400</v>
      </c>
      <c r="M979" s="8">
        <v>1440</v>
      </c>
      <c r="N979" s="8">
        <v>960</v>
      </c>
      <c r="O979" s="8">
        <f>SalesData[[#This Row],[Quantity]]*SalesData[[#This Row],[Unit Price]]*(1-SalesData[[#This Row],[Discount]])</f>
        <v>2400</v>
      </c>
      <c r="P979" s="8">
        <f>SalesData[[#This Row],[Sales_Check]]-SalesData[[#This Row],[Cost]]</f>
        <v>960</v>
      </c>
      <c r="Q979" s="13">
        <f>IFERROR(SalesData[[#This Row],[Profit]]/SalesData[[#This Row],[Sales]],0)</f>
        <v>0.4</v>
      </c>
      <c r="R979" t="str">
        <f>TEXT(SalesData[[#This Row],[Order Date]],"mmm-yyyy")</f>
        <v>Aug-2026</v>
      </c>
      <c r="S979">
        <f>YEAR(SalesData[[#This Row],[Order Date]])</f>
        <v>2026</v>
      </c>
      <c r="T979" t="str">
        <f>IF(SalesData[[#This Row],[Profit Margin]]&gt;=30%,"High",IF(SalesData[[#This Row],[Profit Margin]]&gt;=15%,"Medium","Low"))</f>
        <v>High</v>
      </c>
    </row>
    <row r="980" spans="1:20" x14ac:dyDescent="0.35">
      <c r="A980" t="s">
        <v>1577</v>
      </c>
      <c r="B980" s="23" t="s">
        <v>1578</v>
      </c>
      <c r="C980" t="s">
        <v>541</v>
      </c>
      <c r="D980" t="s">
        <v>54</v>
      </c>
      <c r="E980" t="s">
        <v>107</v>
      </c>
      <c r="F980" t="s">
        <v>37</v>
      </c>
      <c r="G980" t="s">
        <v>73</v>
      </c>
      <c r="H980" t="s">
        <v>33</v>
      </c>
      <c r="I980">
        <v>6</v>
      </c>
      <c r="J980" s="4">
        <v>120</v>
      </c>
      <c r="K980" s="6">
        <v>0.05</v>
      </c>
      <c r="L980" s="8">
        <v>684</v>
      </c>
      <c r="M980" s="8">
        <v>330</v>
      </c>
      <c r="N980" s="8">
        <v>354</v>
      </c>
      <c r="O980" s="8">
        <f>SalesData[[#This Row],[Quantity]]*SalesData[[#This Row],[Unit Price]]*(1-SalesData[[#This Row],[Discount]])</f>
        <v>684</v>
      </c>
      <c r="P980" s="8">
        <f>SalesData[[#This Row],[Sales_Check]]-SalesData[[#This Row],[Cost]]</f>
        <v>354</v>
      </c>
      <c r="Q980" s="13">
        <f>IFERROR(SalesData[[#This Row],[Profit]]/SalesData[[#This Row],[Sales]],0)</f>
        <v>0.51754385964912286</v>
      </c>
      <c r="R980" t="str">
        <f>TEXT(SalesData[[#This Row],[Order Date]],"mmm-yyyy")</f>
        <v>Aug-2026</v>
      </c>
      <c r="S980">
        <f>YEAR(SalesData[[#This Row],[Order Date]])</f>
        <v>2026</v>
      </c>
      <c r="T980" t="str">
        <f>IF(SalesData[[#This Row],[Profit Margin]]&gt;=30%,"High",IF(SalesData[[#This Row],[Profit Margin]]&gt;=15%,"Medium","Low"))</f>
        <v>High</v>
      </c>
    </row>
    <row r="981" spans="1:20" x14ac:dyDescent="0.35">
      <c r="A981" t="s">
        <v>1579</v>
      </c>
      <c r="B981" s="23" t="s">
        <v>1578</v>
      </c>
      <c r="C981" t="s">
        <v>309</v>
      </c>
      <c r="D981" t="s">
        <v>25</v>
      </c>
      <c r="E981" t="s">
        <v>26</v>
      </c>
      <c r="F981" t="s">
        <v>19</v>
      </c>
      <c r="G981" t="s">
        <v>20</v>
      </c>
      <c r="H981" t="s">
        <v>21</v>
      </c>
      <c r="I981">
        <v>1</v>
      </c>
      <c r="J981" s="4">
        <v>600</v>
      </c>
      <c r="K981" s="6">
        <v>0.05</v>
      </c>
      <c r="L981" s="8">
        <v>570</v>
      </c>
      <c r="M981" s="8">
        <v>330</v>
      </c>
      <c r="N981" s="8">
        <v>240</v>
      </c>
      <c r="O981" s="8">
        <f>SalesData[[#This Row],[Quantity]]*SalesData[[#This Row],[Unit Price]]*(1-SalesData[[#This Row],[Discount]])</f>
        <v>570</v>
      </c>
      <c r="P981" s="8">
        <f>SalesData[[#This Row],[Sales_Check]]-SalesData[[#This Row],[Cost]]</f>
        <v>240</v>
      </c>
      <c r="Q981" s="13">
        <f>IFERROR(SalesData[[#This Row],[Profit]]/SalesData[[#This Row],[Sales]],0)</f>
        <v>0.42105263157894735</v>
      </c>
      <c r="R981" t="str">
        <f>TEXT(SalesData[[#This Row],[Order Date]],"mmm-yyyy")</f>
        <v>Aug-2026</v>
      </c>
      <c r="S981">
        <f>YEAR(SalesData[[#This Row],[Order Date]])</f>
        <v>2026</v>
      </c>
      <c r="T981" t="str">
        <f>IF(SalesData[[#This Row],[Profit Margin]]&gt;=30%,"High",IF(SalesData[[#This Row],[Profit Margin]]&gt;=15%,"Medium","Low"))</f>
        <v>High</v>
      </c>
    </row>
    <row r="982" spans="1:20" x14ac:dyDescent="0.35">
      <c r="A982" t="s">
        <v>1580</v>
      </c>
      <c r="B982" s="23" t="s">
        <v>1578</v>
      </c>
      <c r="C982" t="s">
        <v>185</v>
      </c>
      <c r="D982" t="s">
        <v>17</v>
      </c>
      <c r="E982" t="s">
        <v>18</v>
      </c>
      <c r="F982" t="s">
        <v>19</v>
      </c>
      <c r="G982" t="s">
        <v>56</v>
      </c>
      <c r="H982" t="s">
        <v>33</v>
      </c>
      <c r="I982">
        <v>9</v>
      </c>
      <c r="J982" s="4">
        <v>1800</v>
      </c>
      <c r="K982" s="6">
        <v>0</v>
      </c>
      <c r="L982" s="8">
        <v>16200</v>
      </c>
      <c r="M982" s="8">
        <v>9900</v>
      </c>
      <c r="N982" s="8">
        <v>6300</v>
      </c>
      <c r="O982" s="8">
        <f>SalesData[[#This Row],[Quantity]]*SalesData[[#This Row],[Unit Price]]*(1-SalesData[[#This Row],[Discount]])</f>
        <v>16200</v>
      </c>
      <c r="P982" s="8">
        <f>SalesData[[#This Row],[Sales_Check]]-SalesData[[#This Row],[Cost]]</f>
        <v>6300</v>
      </c>
      <c r="Q982" s="13">
        <f>IFERROR(SalesData[[#This Row],[Profit]]/SalesData[[#This Row],[Sales]],0)</f>
        <v>0.3888888888888889</v>
      </c>
      <c r="R982" t="str">
        <f>TEXT(SalesData[[#This Row],[Order Date]],"mmm-yyyy")</f>
        <v>Aug-2026</v>
      </c>
      <c r="S982">
        <f>YEAR(SalesData[[#This Row],[Order Date]])</f>
        <v>2026</v>
      </c>
      <c r="T982" t="str">
        <f>IF(SalesData[[#This Row],[Profit Margin]]&gt;=30%,"High",IF(SalesData[[#This Row],[Profit Margin]]&gt;=15%,"Medium","Low"))</f>
        <v>High</v>
      </c>
    </row>
    <row r="983" spans="1:20" x14ac:dyDescent="0.35">
      <c r="A983" t="s">
        <v>1581</v>
      </c>
      <c r="B983" s="23" t="s">
        <v>1578</v>
      </c>
      <c r="C983" t="s">
        <v>809</v>
      </c>
      <c r="D983" t="s">
        <v>43</v>
      </c>
      <c r="E983" t="s">
        <v>250</v>
      </c>
      <c r="F983" t="s">
        <v>27</v>
      </c>
      <c r="G983" t="s">
        <v>51</v>
      </c>
      <c r="H983" t="s">
        <v>29</v>
      </c>
      <c r="I983">
        <v>8</v>
      </c>
      <c r="J983" s="4">
        <v>900</v>
      </c>
      <c r="K983" s="6">
        <v>0</v>
      </c>
      <c r="L983" s="8">
        <v>7200</v>
      </c>
      <c r="M983" s="8">
        <v>4160</v>
      </c>
      <c r="N983" s="8">
        <v>3040</v>
      </c>
      <c r="O983" s="8">
        <f>SalesData[[#This Row],[Quantity]]*SalesData[[#This Row],[Unit Price]]*(1-SalesData[[#This Row],[Discount]])</f>
        <v>7200</v>
      </c>
      <c r="P983" s="8">
        <f>SalesData[[#This Row],[Sales_Check]]-SalesData[[#This Row],[Cost]]</f>
        <v>3040</v>
      </c>
      <c r="Q983" s="13">
        <f>IFERROR(SalesData[[#This Row],[Profit]]/SalesData[[#This Row],[Sales]],0)</f>
        <v>0.42222222222222222</v>
      </c>
      <c r="R983" t="str">
        <f>TEXT(SalesData[[#This Row],[Order Date]],"mmm-yyyy")</f>
        <v>Aug-2026</v>
      </c>
      <c r="S983">
        <f>YEAR(SalesData[[#This Row],[Order Date]])</f>
        <v>2026</v>
      </c>
      <c r="T983" t="str">
        <f>IF(SalesData[[#This Row],[Profit Margin]]&gt;=30%,"High",IF(SalesData[[#This Row],[Profit Margin]]&gt;=15%,"Medium","Low"))</f>
        <v>High</v>
      </c>
    </row>
    <row r="984" spans="1:20" x14ac:dyDescent="0.35">
      <c r="A984" t="s">
        <v>1582</v>
      </c>
      <c r="B984" s="23" t="s">
        <v>1578</v>
      </c>
      <c r="C984" t="s">
        <v>446</v>
      </c>
      <c r="D984" t="s">
        <v>25</v>
      </c>
      <c r="E984" t="s">
        <v>26</v>
      </c>
      <c r="F984" t="s">
        <v>27</v>
      </c>
      <c r="G984" t="s">
        <v>90</v>
      </c>
      <c r="H984" t="s">
        <v>125</v>
      </c>
      <c r="I984">
        <v>10</v>
      </c>
      <c r="J984" s="4">
        <v>600</v>
      </c>
      <c r="K984" s="6">
        <v>0.1</v>
      </c>
      <c r="L984" s="8">
        <v>5400</v>
      </c>
      <c r="M984" s="8">
        <v>3300</v>
      </c>
      <c r="N984" s="8">
        <v>2100</v>
      </c>
      <c r="O984" s="8">
        <f>SalesData[[#This Row],[Quantity]]*SalesData[[#This Row],[Unit Price]]*(1-SalesData[[#This Row],[Discount]])</f>
        <v>5400</v>
      </c>
      <c r="P984" s="8">
        <f>SalesData[[#This Row],[Sales_Check]]-SalesData[[#This Row],[Cost]]</f>
        <v>2100</v>
      </c>
      <c r="Q984" s="13">
        <f>IFERROR(SalesData[[#This Row],[Profit]]/SalesData[[#This Row],[Sales]],0)</f>
        <v>0.3888888888888889</v>
      </c>
      <c r="R984" t="str">
        <f>TEXT(SalesData[[#This Row],[Order Date]],"mmm-yyyy")</f>
        <v>Aug-2026</v>
      </c>
      <c r="S984">
        <f>YEAR(SalesData[[#This Row],[Order Date]])</f>
        <v>2026</v>
      </c>
      <c r="T984" t="str">
        <f>IF(SalesData[[#This Row],[Profit Margin]]&gt;=30%,"High",IF(SalesData[[#This Row],[Profit Margin]]&gt;=15%,"Medium","Low"))</f>
        <v>High</v>
      </c>
    </row>
    <row r="985" spans="1:20" x14ac:dyDescent="0.35">
      <c r="A985" t="s">
        <v>1583</v>
      </c>
      <c r="B985" s="23" t="s">
        <v>1584</v>
      </c>
      <c r="C985" t="s">
        <v>127</v>
      </c>
      <c r="D985" t="s">
        <v>25</v>
      </c>
      <c r="E985" t="s">
        <v>26</v>
      </c>
      <c r="F985" t="s">
        <v>37</v>
      </c>
      <c r="G985" t="s">
        <v>38</v>
      </c>
      <c r="H985" t="s">
        <v>47</v>
      </c>
      <c r="I985">
        <v>7</v>
      </c>
      <c r="J985" s="4">
        <v>600</v>
      </c>
      <c r="K985" s="6">
        <v>0.1</v>
      </c>
      <c r="L985" s="8">
        <v>3780</v>
      </c>
      <c r="M985" s="8">
        <v>2310</v>
      </c>
      <c r="N985" s="8">
        <v>1470</v>
      </c>
      <c r="O985" s="8">
        <f>SalesData[[#This Row],[Quantity]]*SalesData[[#This Row],[Unit Price]]*(1-SalesData[[#This Row],[Discount]])</f>
        <v>3780</v>
      </c>
      <c r="P985" s="8">
        <f>SalesData[[#This Row],[Sales_Check]]-SalesData[[#This Row],[Cost]]</f>
        <v>1470</v>
      </c>
      <c r="Q985" s="13">
        <f>IFERROR(SalesData[[#This Row],[Profit]]/SalesData[[#This Row],[Sales]],0)</f>
        <v>0.3888888888888889</v>
      </c>
      <c r="R985" t="str">
        <f>TEXT(SalesData[[#This Row],[Order Date]],"mmm-yyyy")</f>
        <v>Aug-2026</v>
      </c>
      <c r="S985">
        <f>YEAR(SalesData[[#This Row],[Order Date]])</f>
        <v>2026</v>
      </c>
      <c r="T985" t="str">
        <f>IF(SalesData[[#This Row],[Profit Margin]]&gt;=30%,"High",IF(SalesData[[#This Row],[Profit Margin]]&gt;=15%,"Medium","Low"))</f>
        <v>High</v>
      </c>
    </row>
    <row r="986" spans="1:20" x14ac:dyDescent="0.35">
      <c r="A986" t="s">
        <v>1585</v>
      </c>
      <c r="B986" s="23" t="s">
        <v>1584</v>
      </c>
      <c r="C986" t="s">
        <v>313</v>
      </c>
      <c r="D986" t="s">
        <v>25</v>
      </c>
      <c r="E986" t="s">
        <v>69</v>
      </c>
      <c r="F986" t="s">
        <v>19</v>
      </c>
      <c r="G986" t="s">
        <v>20</v>
      </c>
      <c r="H986" t="s">
        <v>39</v>
      </c>
      <c r="I986">
        <v>5</v>
      </c>
      <c r="J986" s="4">
        <v>350</v>
      </c>
      <c r="K986" s="6">
        <v>0.15</v>
      </c>
      <c r="L986" s="8">
        <v>1487.5</v>
      </c>
      <c r="M986" s="8">
        <v>900</v>
      </c>
      <c r="N986" s="8">
        <v>587.5</v>
      </c>
      <c r="O986" s="8">
        <f>SalesData[[#This Row],[Quantity]]*SalesData[[#This Row],[Unit Price]]*(1-SalesData[[#This Row],[Discount]])</f>
        <v>1487.5</v>
      </c>
      <c r="P986" s="8">
        <f>SalesData[[#This Row],[Sales_Check]]-SalesData[[#This Row],[Cost]]</f>
        <v>587.5</v>
      </c>
      <c r="Q986" s="13">
        <f>IFERROR(SalesData[[#This Row],[Profit]]/SalesData[[#This Row],[Sales]],0)</f>
        <v>0.3949579831932773</v>
      </c>
      <c r="R986" t="str">
        <f>TEXT(SalesData[[#This Row],[Order Date]],"mmm-yyyy")</f>
        <v>Aug-2026</v>
      </c>
      <c r="S986">
        <f>YEAR(SalesData[[#This Row],[Order Date]])</f>
        <v>2026</v>
      </c>
      <c r="T986" t="str">
        <f>IF(SalesData[[#This Row],[Profit Margin]]&gt;=30%,"High",IF(SalesData[[#This Row],[Profit Margin]]&gt;=15%,"Medium","Low"))</f>
        <v>High</v>
      </c>
    </row>
    <row r="987" spans="1:20" x14ac:dyDescent="0.35">
      <c r="A987" t="s">
        <v>1586</v>
      </c>
      <c r="B987" s="23" t="s">
        <v>1587</v>
      </c>
      <c r="C987" t="s">
        <v>53</v>
      </c>
      <c r="D987" t="s">
        <v>54</v>
      </c>
      <c r="E987" t="s">
        <v>110</v>
      </c>
      <c r="F987" t="s">
        <v>45</v>
      </c>
      <c r="G987" t="s">
        <v>122</v>
      </c>
      <c r="H987" t="s">
        <v>33</v>
      </c>
      <c r="I987">
        <v>7</v>
      </c>
      <c r="J987" s="4">
        <v>280</v>
      </c>
      <c r="K987" s="6">
        <v>0</v>
      </c>
      <c r="L987" s="8">
        <v>1960</v>
      </c>
      <c r="M987" s="8">
        <v>1050</v>
      </c>
      <c r="N987" s="8">
        <v>910</v>
      </c>
      <c r="O987" s="8">
        <f>SalesData[[#This Row],[Quantity]]*SalesData[[#This Row],[Unit Price]]*(1-SalesData[[#This Row],[Discount]])</f>
        <v>1960</v>
      </c>
      <c r="P987" s="8">
        <f>SalesData[[#This Row],[Sales_Check]]-SalesData[[#This Row],[Cost]]</f>
        <v>910</v>
      </c>
      <c r="Q987" s="13">
        <f>IFERROR(SalesData[[#This Row],[Profit]]/SalesData[[#This Row],[Sales]],0)</f>
        <v>0.4642857142857143</v>
      </c>
      <c r="R987" t="str">
        <f>TEXT(SalesData[[#This Row],[Order Date]],"mmm-yyyy")</f>
        <v>Aug-2026</v>
      </c>
      <c r="S987">
        <f>YEAR(SalesData[[#This Row],[Order Date]])</f>
        <v>2026</v>
      </c>
      <c r="T987" t="str">
        <f>IF(SalesData[[#This Row],[Profit Margin]]&gt;=30%,"High",IF(SalesData[[#This Row],[Profit Margin]]&gt;=15%,"Medium","Low"))</f>
        <v>High</v>
      </c>
    </row>
    <row r="988" spans="1:20" x14ac:dyDescent="0.35">
      <c r="A988" t="s">
        <v>1588</v>
      </c>
      <c r="B988" s="23" t="s">
        <v>1587</v>
      </c>
      <c r="C988" t="s">
        <v>318</v>
      </c>
      <c r="D988" t="s">
        <v>25</v>
      </c>
      <c r="E988" t="s">
        <v>69</v>
      </c>
      <c r="F988" t="s">
        <v>27</v>
      </c>
      <c r="G988" t="s">
        <v>28</v>
      </c>
      <c r="H988" t="s">
        <v>47</v>
      </c>
      <c r="I988">
        <v>1</v>
      </c>
      <c r="J988" s="4">
        <v>350</v>
      </c>
      <c r="K988" s="6">
        <v>0.15</v>
      </c>
      <c r="L988" s="8">
        <v>297.5</v>
      </c>
      <c r="M988" s="8">
        <v>180</v>
      </c>
      <c r="N988" s="8">
        <v>117.5</v>
      </c>
      <c r="O988" s="8">
        <f>SalesData[[#This Row],[Quantity]]*SalesData[[#This Row],[Unit Price]]*(1-SalesData[[#This Row],[Discount]])</f>
        <v>297.5</v>
      </c>
      <c r="P988" s="8">
        <f>SalesData[[#This Row],[Sales_Check]]-SalesData[[#This Row],[Cost]]</f>
        <v>117.5</v>
      </c>
      <c r="Q988" s="13">
        <f>IFERROR(SalesData[[#This Row],[Profit]]/SalesData[[#This Row],[Sales]],0)</f>
        <v>0.3949579831932773</v>
      </c>
      <c r="R988" t="str">
        <f>TEXT(SalesData[[#This Row],[Order Date]],"mmm-yyyy")</f>
        <v>Aug-2026</v>
      </c>
      <c r="S988">
        <f>YEAR(SalesData[[#This Row],[Order Date]])</f>
        <v>2026</v>
      </c>
      <c r="T988" t="str">
        <f>IF(SalesData[[#This Row],[Profit Margin]]&gt;=30%,"High",IF(SalesData[[#This Row],[Profit Margin]]&gt;=15%,"Medium","Low"))</f>
        <v>High</v>
      </c>
    </row>
    <row r="989" spans="1:20" x14ac:dyDescent="0.35">
      <c r="A989" t="s">
        <v>1589</v>
      </c>
      <c r="B989" s="23" t="s">
        <v>1587</v>
      </c>
      <c r="C989" t="s">
        <v>566</v>
      </c>
      <c r="D989" t="s">
        <v>25</v>
      </c>
      <c r="E989" t="s">
        <v>69</v>
      </c>
      <c r="F989" t="s">
        <v>27</v>
      </c>
      <c r="G989" t="s">
        <v>51</v>
      </c>
      <c r="H989" t="s">
        <v>47</v>
      </c>
      <c r="I989">
        <v>8</v>
      </c>
      <c r="J989" s="4">
        <v>350</v>
      </c>
      <c r="K989" s="6">
        <v>0</v>
      </c>
      <c r="L989" s="8">
        <v>2800</v>
      </c>
      <c r="M989" s="8">
        <v>1440</v>
      </c>
      <c r="N989" s="8">
        <v>1360</v>
      </c>
      <c r="O989" s="8">
        <f>SalesData[[#This Row],[Quantity]]*SalesData[[#This Row],[Unit Price]]*(1-SalesData[[#This Row],[Discount]])</f>
        <v>2800</v>
      </c>
      <c r="P989" s="8">
        <f>SalesData[[#This Row],[Sales_Check]]-SalesData[[#This Row],[Cost]]</f>
        <v>1360</v>
      </c>
      <c r="Q989" s="13">
        <f>IFERROR(SalesData[[#This Row],[Profit]]/SalesData[[#This Row],[Sales]],0)</f>
        <v>0.48571428571428571</v>
      </c>
      <c r="R989" t="str">
        <f>TEXT(SalesData[[#This Row],[Order Date]],"mmm-yyyy")</f>
        <v>Aug-2026</v>
      </c>
      <c r="S989">
        <f>YEAR(SalesData[[#This Row],[Order Date]])</f>
        <v>2026</v>
      </c>
      <c r="T989" t="str">
        <f>IF(SalesData[[#This Row],[Profit Margin]]&gt;=30%,"High",IF(SalesData[[#This Row],[Profit Margin]]&gt;=15%,"Medium","Low"))</f>
        <v>High</v>
      </c>
    </row>
    <row r="990" spans="1:20" x14ac:dyDescent="0.35">
      <c r="A990" t="s">
        <v>1590</v>
      </c>
      <c r="B990" s="23" t="s">
        <v>1591</v>
      </c>
      <c r="C990" t="s">
        <v>1189</v>
      </c>
      <c r="D990" t="s">
        <v>54</v>
      </c>
      <c r="E990" t="s">
        <v>107</v>
      </c>
      <c r="F990" t="s">
        <v>45</v>
      </c>
      <c r="G990" t="s">
        <v>70</v>
      </c>
      <c r="H990" t="s">
        <v>39</v>
      </c>
      <c r="I990">
        <v>2</v>
      </c>
      <c r="J990" s="4">
        <v>120</v>
      </c>
      <c r="K990" s="6">
        <v>0</v>
      </c>
      <c r="L990" s="8">
        <v>240</v>
      </c>
      <c r="M990" s="8">
        <v>110</v>
      </c>
      <c r="N990" s="8">
        <v>130</v>
      </c>
      <c r="O990" s="8">
        <f>SalesData[[#This Row],[Quantity]]*SalesData[[#This Row],[Unit Price]]*(1-SalesData[[#This Row],[Discount]])</f>
        <v>240</v>
      </c>
      <c r="P990" s="8">
        <f>SalesData[[#This Row],[Sales_Check]]-SalesData[[#This Row],[Cost]]</f>
        <v>130</v>
      </c>
      <c r="Q990" s="13">
        <f>IFERROR(SalesData[[#This Row],[Profit]]/SalesData[[#This Row],[Sales]],0)</f>
        <v>0.54166666666666663</v>
      </c>
      <c r="R990" t="str">
        <f>TEXT(SalesData[[#This Row],[Order Date]],"mmm-yyyy")</f>
        <v>Aug-2026</v>
      </c>
      <c r="S990">
        <f>YEAR(SalesData[[#This Row],[Order Date]])</f>
        <v>2026</v>
      </c>
      <c r="T990" t="str">
        <f>IF(SalesData[[#This Row],[Profit Margin]]&gt;=30%,"High",IF(SalesData[[#This Row],[Profit Margin]]&gt;=15%,"Medium","Low"))</f>
        <v>High</v>
      </c>
    </row>
    <row r="991" spans="1:20" x14ac:dyDescent="0.35">
      <c r="A991" t="s">
        <v>1592</v>
      </c>
      <c r="B991" s="23" t="s">
        <v>1591</v>
      </c>
      <c r="C991" t="s">
        <v>106</v>
      </c>
      <c r="D991" t="s">
        <v>25</v>
      </c>
      <c r="E991" t="s">
        <v>89</v>
      </c>
      <c r="F991" t="s">
        <v>37</v>
      </c>
      <c r="G991" t="s">
        <v>73</v>
      </c>
      <c r="H991" t="s">
        <v>29</v>
      </c>
      <c r="I991">
        <v>9</v>
      </c>
      <c r="J991" s="4">
        <v>550</v>
      </c>
      <c r="K991" s="6">
        <v>0</v>
      </c>
      <c r="L991" s="8">
        <v>4950</v>
      </c>
      <c r="M991" s="8">
        <v>2700</v>
      </c>
      <c r="N991" s="8">
        <v>2250</v>
      </c>
      <c r="O991" s="8">
        <f>SalesData[[#This Row],[Quantity]]*SalesData[[#This Row],[Unit Price]]*(1-SalesData[[#This Row],[Discount]])</f>
        <v>4950</v>
      </c>
      <c r="P991" s="8">
        <f>SalesData[[#This Row],[Sales_Check]]-SalesData[[#This Row],[Cost]]</f>
        <v>2250</v>
      </c>
      <c r="Q991" s="13">
        <f>IFERROR(SalesData[[#This Row],[Profit]]/SalesData[[#This Row],[Sales]],0)</f>
        <v>0.45454545454545453</v>
      </c>
      <c r="R991" t="str">
        <f>TEXT(SalesData[[#This Row],[Order Date]],"mmm-yyyy")</f>
        <v>Aug-2026</v>
      </c>
      <c r="S991">
        <f>YEAR(SalesData[[#This Row],[Order Date]])</f>
        <v>2026</v>
      </c>
      <c r="T991" t="str">
        <f>IF(SalesData[[#This Row],[Profit Margin]]&gt;=30%,"High",IF(SalesData[[#This Row],[Profit Margin]]&gt;=15%,"Medium","Low"))</f>
        <v>High</v>
      </c>
    </row>
    <row r="992" spans="1:20" x14ac:dyDescent="0.35">
      <c r="A992" t="s">
        <v>1593</v>
      </c>
      <c r="B992" s="23" t="s">
        <v>1591</v>
      </c>
      <c r="C992" t="s">
        <v>93</v>
      </c>
      <c r="D992" t="s">
        <v>25</v>
      </c>
      <c r="E992" t="s">
        <v>69</v>
      </c>
      <c r="F992" t="s">
        <v>37</v>
      </c>
      <c r="G992" t="s">
        <v>140</v>
      </c>
      <c r="H992" t="s">
        <v>125</v>
      </c>
      <c r="I992">
        <v>1</v>
      </c>
      <c r="J992" s="4">
        <v>350</v>
      </c>
      <c r="K992" s="6">
        <v>0.1</v>
      </c>
      <c r="L992" s="8">
        <v>315</v>
      </c>
      <c r="M992" s="8">
        <v>180</v>
      </c>
      <c r="N992" s="8">
        <v>135</v>
      </c>
      <c r="O992" s="8">
        <f>SalesData[[#This Row],[Quantity]]*SalesData[[#This Row],[Unit Price]]*(1-SalesData[[#This Row],[Discount]])</f>
        <v>315</v>
      </c>
      <c r="P992" s="8">
        <f>SalesData[[#This Row],[Sales_Check]]-SalesData[[#This Row],[Cost]]</f>
        <v>135</v>
      </c>
      <c r="Q992" s="13">
        <f>IFERROR(SalesData[[#This Row],[Profit]]/SalesData[[#This Row],[Sales]],0)</f>
        <v>0.42857142857142855</v>
      </c>
      <c r="R992" t="str">
        <f>TEXT(SalesData[[#This Row],[Order Date]],"mmm-yyyy")</f>
        <v>Aug-2026</v>
      </c>
      <c r="S992">
        <f>YEAR(SalesData[[#This Row],[Order Date]])</f>
        <v>2026</v>
      </c>
      <c r="T992" t="str">
        <f>IF(SalesData[[#This Row],[Profit Margin]]&gt;=30%,"High",IF(SalesData[[#This Row],[Profit Margin]]&gt;=15%,"Medium","Low"))</f>
        <v>High</v>
      </c>
    </row>
    <row r="993" spans="1:20" x14ac:dyDescent="0.35">
      <c r="A993" t="s">
        <v>1594</v>
      </c>
      <c r="B993" s="23" t="s">
        <v>1591</v>
      </c>
      <c r="C993" t="s">
        <v>1181</v>
      </c>
      <c r="D993" t="s">
        <v>17</v>
      </c>
      <c r="E993" t="s">
        <v>32</v>
      </c>
      <c r="F993" t="s">
        <v>19</v>
      </c>
      <c r="G993" t="s">
        <v>113</v>
      </c>
      <c r="H993" t="s">
        <v>125</v>
      </c>
      <c r="I993">
        <v>5</v>
      </c>
      <c r="J993" s="4">
        <v>1500</v>
      </c>
      <c r="K993" s="6">
        <v>0.15</v>
      </c>
      <c r="L993" s="8">
        <v>6375</v>
      </c>
      <c r="M993" s="8">
        <v>4500</v>
      </c>
      <c r="N993" s="8">
        <v>1875</v>
      </c>
      <c r="O993" s="8">
        <f>SalesData[[#This Row],[Quantity]]*SalesData[[#This Row],[Unit Price]]*(1-SalesData[[#This Row],[Discount]])</f>
        <v>6375</v>
      </c>
      <c r="P993" s="8">
        <f>SalesData[[#This Row],[Sales_Check]]-SalesData[[#This Row],[Cost]]</f>
        <v>1875</v>
      </c>
      <c r="Q993" s="13">
        <f>IFERROR(SalesData[[#This Row],[Profit]]/SalesData[[#This Row],[Sales]],0)</f>
        <v>0.29411764705882354</v>
      </c>
      <c r="R993" t="str">
        <f>TEXT(SalesData[[#This Row],[Order Date]],"mmm-yyyy")</f>
        <v>Aug-2026</v>
      </c>
      <c r="S993">
        <f>YEAR(SalesData[[#This Row],[Order Date]])</f>
        <v>2026</v>
      </c>
      <c r="T993" t="str">
        <f>IF(SalesData[[#This Row],[Profit Margin]]&gt;=30%,"High",IF(SalesData[[#This Row],[Profit Margin]]&gt;=15%,"Medium","Low"))</f>
        <v>Medium</v>
      </c>
    </row>
    <row r="994" spans="1:20" x14ac:dyDescent="0.35">
      <c r="A994" t="s">
        <v>1595</v>
      </c>
      <c r="B994" s="23" t="s">
        <v>1596</v>
      </c>
      <c r="C994" t="s">
        <v>290</v>
      </c>
      <c r="D994" t="s">
        <v>43</v>
      </c>
      <c r="E994" t="s">
        <v>143</v>
      </c>
      <c r="F994" t="s">
        <v>19</v>
      </c>
      <c r="G994" t="s">
        <v>20</v>
      </c>
      <c r="H994" t="s">
        <v>29</v>
      </c>
      <c r="I994">
        <v>1</v>
      </c>
      <c r="J994" s="4">
        <v>650</v>
      </c>
      <c r="K994" s="6">
        <v>0.05</v>
      </c>
      <c r="L994" s="8">
        <v>617.5</v>
      </c>
      <c r="M994" s="8">
        <v>350</v>
      </c>
      <c r="N994" s="8">
        <v>267.5</v>
      </c>
      <c r="O994" s="8">
        <f>SalesData[[#This Row],[Quantity]]*SalesData[[#This Row],[Unit Price]]*(1-SalesData[[#This Row],[Discount]])</f>
        <v>617.5</v>
      </c>
      <c r="P994" s="8">
        <f>SalesData[[#This Row],[Sales_Check]]-SalesData[[#This Row],[Cost]]</f>
        <v>267.5</v>
      </c>
      <c r="Q994" s="13">
        <f>IFERROR(SalesData[[#This Row],[Profit]]/SalesData[[#This Row],[Sales]],0)</f>
        <v>0.4331983805668016</v>
      </c>
      <c r="R994" t="str">
        <f>TEXT(SalesData[[#This Row],[Order Date]],"mmm-yyyy")</f>
        <v>Aug-2026</v>
      </c>
      <c r="S994">
        <f>YEAR(SalesData[[#This Row],[Order Date]])</f>
        <v>2026</v>
      </c>
      <c r="T994" t="str">
        <f>IF(SalesData[[#This Row],[Profit Margin]]&gt;=30%,"High",IF(SalesData[[#This Row],[Profit Margin]]&gt;=15%,"Medium","Low"))</f>
        <v>High</v>
      </c>
    </row>
    <row r="995" spans="1:20" x14ac:dyDescent="0.35">
      <c r="A995" t="s">
        <v>1597</v>
      </c>
      <c r="B995" s="23" t="s">
        <v>1596</v>
      </c>
      <c r="C995" t="s">
        <v>59</v>
      </c>
      <c r="D995" t="s">
        <v>43</v>
      </c>
      <c r="E995" t="s">
        <v>44</v>
      </c>
      <c r="F995" t="s">
        <v>45</v>
      </c>
      <c r="G995" t="s">
        <v>46</v>
      </c>
      <c r="H995" t="s">
        <v>47</v>
      </c>
      <c r="I995">
        <v>6</v>
      </c>
      <c r="J995" s="4">
        <v>2200</v>
      </c>
      <c r="K995" s="6">
        <v>0.05</v>
      </c>
      <c r="L995" s="8">
        <v>12540</v>
      </c>
      <c r="M995" s="8">
        <v>8700</v>
      </c>
      <c r="N995" s="8">
        <v>3840</v>
      </c>
      <c r="O995" s="8">
        <f>SalesData[[#This Row],[Quantity]]*SalesData[[#This Row],[Unit Price]]*(1-SalesData[[#This Row],[Discount]])</f>
        <v>12540</v>
      </c>
      <c r="P995" s="8">
        <f>SalesData[[#This Row],[Sales_Check]]-SalesData[[#This Row],[Cost]]</f>
        <v>3840</v>
      </c>
      <c r="Q995" s="13">
        <f>IFERROR(SalesData[[#This Row],[Profit]]/SalesData[[#This Row],[Sales]],0)</f>
        <v>0.30622009569377989</v>
      </c>
      <c r="R995" t="str">
        <f>TEXT(SalesData[[#This Row],[Order Date]],"mmm-yyyy")</f>
        <v>Aug-2026</v>
      </c>
      <c r="S995">
        <f>YEAR(SalesData[[#This Row],[Order Date]])</f>
        <v>2026</v>
      </c>
      <c r="T995" t="str">
        <f>IF(SalesData[[#This Row],[Profit Margin]]&gt;=30%,"High",IF(SalesData[[#This Row],[Profit Margin]]&gt;=15%,"Medium","Low"))</f>
        <v>High</v>
      </c>
    </row>
    <row r="996" spans="1:20" x14ac:dyDescent="0.35">
      <c r="A996" t="s">
        <v>1598</v>
      </c>
      <c r="B996" s="23" t="s">
        <v>1596</v>
      </c>
      <c r="C996" t="s">
        <v>431</v>
      </c>
      <c r="D996" t="s">
        <v>17</v>
      </c>
      <c r="E996" t="s">
        <v>32</v>
      </c>
      <c r="F996" t="s">
        <v>37</v>
      </c>
      <c r="G996" t="s">
        <v>38</v>
      </c>
      <c r="H996" t="s">
        <v>47</v>
      </c>
      <c r="I996">
        <v>5</v>
      </c>
      <c r="J996" s="4">
        <v>1500</v>
      </c>
      <c r="K996" s="6">
        <v>0.15</v>
      </c>
      <c r="L996" s="8">
        <v>6375</v>
      </c>
      <c r="M996" s="8">
        <v>4500</v>
      </c>
      <c r="N996" s="8">
        <v>1875</v>
      </c>
      <c r="O996" s="8">
        <f>SalesData[[#This Row],[Quantity]]*SalesData[[#This Row],[Unit Price]]*(1-SalesData[[#This Row],[Discount]])</f>
        <v>6375</v>
      </c>
      <c r="P996" s="8">
        <f>SalesData[[#This Row],[Sales_Check]]-SalesData[[#This Row],[Cost]]</f>
        <v>1875</v>
      </c>
      <c r="Q996" s="13">
        <f>IFERROR(SalesData[[#This Row],[Profit]]/SalesData[[#This Row],[Sales]],0)</f>
        <v>0.29411764705882354</v>
      </c>
      <c r="R996" t="str">
        <f>TEXT(SalesData[[#This Row],[Order Date]],"mmm-yyyy")</f>
        <v>Aug-2026</v>
      </c>
      <c r="S996">
        <f>YEAR(SalesData[[#This Row],[Order Date]])</f>
        <v>2026</v>
      </c>
      <c r="T996" t="str">
        <f>IF(SalesData[[#This Row],[Profit Margin]]&gt;=30%,"High",IF(SalesData[[#This Row],[Profit Margin]]&gt;=15%,"Medium","Low"))</f>
        <v>Medium</v>
      </c>
    </row>
    <row r="997" spans="1:20" x14ac:dyDescent="0.35">
      <c r="A997" t="s">
        <v>1599</v>
      </c>
      <c r="B997" s="23" t="s">
        <v>1596</v>
      </c>
      <c r="C997" t="s">
        <v>211</v>
      </c>
      <c r="D997" t="s">
        <v>54</v>
      </c>
      <c r="E997" t="s">
        <v>116</v>
      </c>
      <c r="F997" t="s">
        <v>45</v>
      </c>
      <c r="G997" t="s">
        <v>104</v>
      </c>
      <c r="H997" t="s">
        <v>125</v>
      </c>
      <c r="I997">
        <v>9</v>
      </c>
      <c r="J997" s="4">
        <v>450</v>
      </c>
      <c r="K997" s="6">
        <v>0</v>
      </c>
      <c r="L997" s="8">
        <v>4050</v>
      </c>
      <c r="M997" s="8">
        <v>2250</v>
      </c>
      <c r="N997" s="8">
        <v>1800</v>
      </c>
      <c r="O997" s="8">
        <f>SalesData[[#This Row],[Quantity]]*SalesData[[#This Row],[Unit Price]]*(1-SalesData[[#This Row],[Discount]])</f>
        <v>4050</v>
      </c>
      <c r="P997" s="8">
        <f>SalesData[[#This Row],[Sales_Check]]-SalesData[[#This Row],[Cost]]</f>
        <v>1800</v>
      </c>
      <c r="Q997" s="13">
        <f>IFERROR(SalesData[[#This Row],[Profit]]/SalesData[[#This Row],[Sales]],0)</f>
        <v>0.44444444444444442</v>
      </c>
      <c r="R997" t="str">
        <f>TEXT(SalesData[[#This Row],[Order Date]],"mmm-yyyy")</f>
        <v>Aug-2026</v>
      </c>
      <c r="S997">
        <f>YEAR(SalesData[[#This Row],[Order Date]])</f>
        <v>2026</v>
      </c>
      <c r="T997" t="str">
        <f>IF(SalesData[[#This Row],[Profit Margin]]&gt;=30%,"High",IF(SalesData[[#This Row],[Profit Margin]]&gt;=15%,"Medium","Low"))</f>
        <v>High</v>
      </c>
    </row>
    <row r="998" spans="1:20" x14ac:dyDescent="0.35">
      <c r="A998" t="s">
        <v>1600</v>
      </c>
      <c r="B998" s="23" t="s">
        <v>1596</v>
      </c>
      <c r="C998" t="s">
        <v>683</v>
      </c>
      <c r="D998" t="s">
        <v>43</v>
      </c>
      <c r="E998" t="s">
        <v>169</v>
      </c>
      <c r="F998" t="s">
        <v>45</v>
      </c>
      <c r="G998" t="s">
        <v>122</v>
      </c>
      <c r="H998" t="s">
        <v>33</v>
      </c>
      <c r="I998">
        <v>2</v>
      </c>
      <c r="J998" s="4">
        <v>350</v>
      </c>
      <c r="K998" s="6">
        <v>0</v>
      </c>
      <c r="L998" s="8">
        <v>700</v>
      </c>
      <c r="M998" s="8">
        <v>340</v>
      </c>
      <c r="N998" s="8">
        <v>360</v>
      </c>
      <c r="O998" s="8">
        <f>SalesData[[#This Row],[Quantity]]*SalesData[[#This Row],[Unit Price]]*(1-SalesData[[#This Row],[Discount]])</f>
        <v>700</v>
      </c>
      <c r="P998" s="8">
        <f>SalesData[[#This Row],[Sales_Check]]-SalesData[[#This Row],[Cost]]</f>
        <v>360</v>
      </c>
      <c r="Q998" s="13">
        <f>IFERROR(SalesData[[#This Row],[Profit]]/SalesData[[#This Row],[Sales]],0)</f>
        <v>0.51428571428571423</v>
      </c>
      <c r="R998" t="str">
        <f>TEXT(SalesData[[#This Row],[Order Date]],"mmm-yyyy")</f>
        <v>Aug-2026</v>
      </c>
      <c r="S998">
        <f>YEAR(SalesData[[#This Row],[Order Date]])</f>
        <v>2026</v>
      </c>
      <c r="T998" t="str">
        <f>IF(SalesData[[#This Row],[Profit Margin]]&gt;=30%,"High",IF(SalesData[[#This Row],[Profit Margin]]&gt;=15%,"Medium","Low"))</f>
        <v>High</v>
      </c>
    </row>
    <row r="999" spans="1:20" x14ac:dyDescent="0.35">
      <c r="A999" t="s">
        <v>1601</v>
      </c>
      <c r="B999" s="23" t="s">
        <v>1596</v>
      </c>
      <c r="C999" t="s">
        <v>575</v>
      </c>
      <c r="D999" t="s">
        <v>25</v>
      </c>
      <c r="E999" t="s">
        <v>89</v>
      </c>
      <c r="F999" t="s">
        <v>19</v>
      </c>
      <c r="G999" t="s">
        <v>56</v>
      </c>
      <c r="H999" t="s">
        <v>21</v>
      </c>
      <c r="I999">
        <v>3</v>
      </c>
      <c r="J999" s="4">
        <v>550</v>
      </c>
      <c r="K999" s="6">
        <v>0.05</v>
      </c>
      <c r="L999" s="8">
        <v>1567.5</v>
      </c>
      <c r="M999" s="8">
        <v>900</v>
      </c>
      <c r="N999" s="8">
        <v>667.5</v>
      </c>
      <c r="O999" s="8">
        <f>SalesData[[#This Row],[Quantity]]*SalesData[[#This Row],[Unit Price]]*(1-SalesData[[#This Row],[Discount]])</f>
        <v>1567.5</v>
      </c>
      <c r="P999" s="8">
        <f>SalesData[[#This Row],[Sales_Check]]-SalesData[[#This Row],[Cost]]</f>
        <v>667.5</v>
      </c>
      <c r="Q999" s="13">
        <f>IFERROR(SalesData[[#This Row],[Profit]]/SalesData[[#This Row],[Sales]],0)</f>
        <v>0.42583732057416268</v>
      </c>
      <c r="R999" t="str">
        <f>TEXT(SalesData[[#This Row],[Order Date]],"mmm-yyyy")</f>
        <v>Aug-2026</v>
      </c>
      <c r="S999">
        <f>YEAR(SalesData[[#This Row],[Order Date]])</f>
        <v>2026</v>
      </c>
      <c r="T999" t="str">
        <f>IF(SalesData[[#This Row],[Profit Margin]]&gt;=30%,"High",IF(SalesData[[#This Row],[Profit Margin]]&gt;=15%,"Medium","Low"))</f>
        <v>High</v>
      </c>
    </row>
    <row r="1000" spans="1:20" x14ac:dyDescent="0.35">
      <c r="A1000" t="s">
        <v>1602</v>
      </c>
      <c r="B1000" s="23" t="s">
        <v>1596</v>
      </c>
      <c r="C1000" t="s">
        <v>196</v>
      </c>
      <c r="D1000" t="s">
        <v>54</v>
      </c>
      <c r="E1000" t="s">
        <v>110</v>
      </c>
      <c r="F1000" t="s">
        <v>45</v>
      </c>
      <c r="G1000" t="s">
        <v>46</v>
      </c>
      <c r="H1000" t="s">
        <v>47</v>
      </c>
      <c r="I1000">
        <v>4</v>
      </c>
      <c r="J1000" s="4">
        <v>280</v>
      </c>
      <c r="K1000" s="6">
        <v>0</v>
      </c>
      <c r="L1000" s="8">
        <v>1120</v>
      </c>
      <c r="M1000" s="8">
        <v>600</v>
      </c>
      <c r="N1000" s="8">
        <v>520</v>
      </c>
      <c r="O1000" s="8">
        <f>SalesData[[#This Row],[Quantity]]*SalesData[[#This Row],[Unit Price]]*(1-SalesData[[#This Row],[Discount]])</f>
        <v>1120</v>
      </c>
      <c r="P1000" s="8">
        <f>SalesData[[#This Row],[Sales_Check]]-SalesData[[#This Row],[Cost]]</f>
        <v>520</v>
      </c>
      <c r="Q1000" s="13">
        <f>IFERROR(SalesData[[#This Row],[Profit]]/SalesData[[#This Row],[Sales]],0)</f>
        <v>0.4642857142857143</v>
      </c>
      <c r="R1000" t="str">
        <f>TEXT(SalesData[[#This Row],[Order Date]],"mmm-yyyy")</f>
        <v>Aug-2026</v>
      </c>
      <c r="S1000">
        <f>YEAR(SalesData[[#This Row],[Order Date]])</f>
        <v>2026</v>
      </c>
      <c r="T1000" t="str">
        <f>IF(SalesData[[#This Row],[Profit Margin]]&gt;=30%,"High",IF(SalesData[[#This Row],[Profit Margin]]&gt;=15%,"Medium","Low"))</f>
        <v>High</v>
      </c>
    </row>
    <row r="1001" spans="1:20" x14ac:dyDescent="0.35">
      <c r="A1001" t="s">
        <v>1603</v>
      </c>
      <c r="B1001" s="23" t="s">
        <v>1604</v>
      </c>
      <c r="C1001" t="s">
        <v>741</v>
      </c>
      <c r="D1001" t="s">
        <v>25</v>
      </c>
      <c r="E1001" t="s">
        <v>89</v>
      </c>
      <c r="F1001" t="s">
        <v>45</v>
      </c>
      <c r="G1001" t="s">
        <v>70</v>
      </c>
      <c r="H1001" t="s">
        <v>39</v>
      </c>
      <c r="I1001">
        <v>4</v>
      </c>
      <c r="J1001" s="4">
        <v>550</v>
      </c>
      <c r="K1001" s="6">
        <v>0.05</v>
      </c>
      <c r="L1001" s="8">
        <v>2090</v>
      </c>
      <c r="M1001" s="8">
        <v>1200</v>
      </c>
      <c r="N1001" s="8">
        <v>890</v>
      </c>
      <c r="O1001" s="8">
        <f>SalesData[[#This Row],[Quantity]]*SalesData[[#This Row],[Unit Price]]*(1-SalesData[[#This Row],[Discount]])</f>
        <v>2090</v>
      </c>
      <c r="P1001" s="8">
        <f>SalesData[[#This Row],[Sales_Check]]-SalesData[[#This Row],[Cost]]</f>
        <v>890</v>
      </c>
      <c r="Q1001" s="13">
        <f>IFERROR(SalesData[[#This Row],[Profit]]/SalesData[[#This Row],[Sales]],0)</f>
        <v>0.42583732057416268</v>
      </c>
      <c r="R1001" t="str">
        <f>TEXT(SalesData[[#This Row],[Order Date]],"mmm-yyyy")</f>
        <v>Aug-2026</v>
      </c>
      <c r="S1001">
        <f>YEAR(SalesData[[#This Row],[Order Date]])</f>
        <v>2026</v>
      </c>
      <c r="T1001" t="str">
        <f>IF(SalesData[[#This Row],[Profit Margin]]&gt;=30%,"High",IF(SalesData[[#This Row],[Profit Margin]]&gt;=15%,"Medium","Low"))</f>
        <v>High</v>
      </c>
    </row>
  </sheetData>
  <sheetProtection algorithmName="SHA-512" hashValue="NakMpRUIdBmH3bRh9ArgA68om4NfqCOsq7o7SsyLqkSHDgtu1wKaiWej5yvL0meq4wrrQrDLLrKKdkSqJ8earw==" saltValue="zFQqBoIo6kF6JMh4U086zg==" spinCount="100000" sheet="1" objects="1" scenarios="1" sort="0" autoFilter="0"/>
  <conditionalFormatting sqref="A1">
    <cfRule type="duplicateValues" dxfId="1" priority="2"/>
  </conditionalFormatting>
  <conditionalFormatting sqref="A1:A1048576">
    <cfRule type="duplicateValues" dxfId="0" priority="1"/>
  </conditionalFormatting>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0"/>
  <sheetViews>
    <sheetView topLeftCell="A19" workbookViewId="0">
      <selection activeCell="G29" sqref="G29"/>
    </sheetView>
  </sheetViews>
  <sheetFormatPr defaultRowHeight="14.5" x14ac:dyDescent="0.35"/>
  <cols>
    <col min="1" max="1" width="10.7265625" customWidth="1"/>
    <col min="2" max="2" width="11.26953125" customWidth="1"/>
    <col min="3" max="3" width="11.81640625" bestFit="1" customWidth="1"/>
    <col min="4" max="4" width="16.26953125" bestFit="1" customWidth="1"/>
    <col min="6" max="6" width="13.08984375" customWidth="1"/>
    <col min="7" max="7" width="11.26953125" customWidth="1"/>
    <col min="8" max="8" width="11.81640625" bestFit="1" customWidth="1"/>
    <col min="9" max="9" width="14.54296875" bestFit="1" customWidth="1"/>
    <col min="11" max="11" width="14.26953125" customWidth="1"/>
    <col min="12" max="12" width="11.26953125" bestFit="1" customWidth="1"/>
    <col min="13" max="13" width="14.54296875" bestFit="1" customWidth="1"/>
    <col min="14" max="14" width="11.26953125" customWidth="1"/>
    <col min="15" max="15" width="11.81640625" customWidth="1"/>
    <col min="16" max="16" width="15.81640625" bestFit="1" customWidth="1"/>
  </cols>
  <sheetData>
    <row r="1" spans="1:16" x14ac:dyDescent="0.35">
      <c r="A1" s="17" t="s">
        <v>1613</v>
      </c>
      <c r="B1" s="15" t="s">
        <v>1614</v>
      </c>
    </row>
    <row r="2" spans="1:16" x14ac:dyDescent="0.35">
      <c r="A2" s="16" t="s">
        <v>1615</v>
      </c>
      <c r="B2" s="19">
        <f>SUM(SalesData[Sales])</f>
        <v>4370388</v>
      </c>
      <c r="K2" s="20" t="s">
        <v>3</v>
      </c>
      <c r="L2" t="s">
        <v>1623</v>
      </c>
      <c r="N2" t="s">
        <v>1623</v>
      </c>
      <c r="O2" t="s">
        <v>1624</v>
      </c>
      <c r="P2" t="s">
        <v>1631</v>
      </c>
    </row>
    <row r="3" spans="1:16" x14ac:dyDescent="0.35">
      <c r="A3" s="16" t="s">
        <v>1616</v>
      </c>
      <c r="B3" s="19">
        <f>SUM(SalesData[Cost])</f>
        <v>2708150</v>
      </c>
      <c r="K3" s="21" t="s">
        <v>17</v>
      </c>
      <c r="L3" s="22">
        <v>2304025</v>
      </c>
      <c r="N3" s="22">
        <v>4370388</v>
      </c>
      <c r="O3" s="22">
        <v>1662238</v>
      </c>
      <c r="P3" s="22">
        <v>1000</v>
      </c>
    </row>
    <row r="4" spans="1:16" x14ac:dyDescent="0.35">
      <c r="A4" s="16" t="s">
        <v>1617</v>
      </c>
      <c r="B4" s="19">
        <f>SUM(SalesData[Profit])</f>
        <v>1662238</v>
      </c>
      <c r="K4" s="21" t="s">
        <v>43</v>
      </c>
      <c r="L4" s="22">
        <v>912997.5</v>
      </c>
    </row>
    <row r="5" spans="1:16" ht="29" x14ac:dyDescent="0.35">
      <c r="A5" s="16" t="s">
        <v>1618</v>
      </c>
      <c r="B5" s="14">
        <f>COUNTA(SalesData[Order ID])</f>
        <v>1000</v>
      </c>
      <c r="K5" s="21" t="s">
        <v>25</v>
      </c>
      <c r="L5" s="22">
        <v>870282.5</v>
      </c>
    </row>
    <row r="6" spans="1:16" ht="29" x14ac:dyDescent="0.35">
      <c r="A6" s="16" t="s">
        <v>1619</v>
      </c>
      <c r="B6" s="14">
        <f>SUM(SalesData[Quantity])</f>
        <v>5406</v>
      </c>
      <c r="K6" s="21" t="s">
        <v>54</v>
      </c>
      <c r="L6" s="22">
        <v>283083</v>
      </c>
    </row>
    <row r="7" spans="1:16" ht="43.5" x14ac:dyDescent="0.35">
      <c r="A7" s="16" t="s">
        <v>1620</v>
      </c>
      <c r="B7" s="19">
        <f>SUM(SalesData[Sales])/COUNTA(SalesData[Order ID])</f>
        <v>4370.3879999999999</v>
      </c>
      <c r="K7" s="21" t="s">
        <v>1622</v>
      </c>
      <c r="L7" s="22">
        <v>4370388</v>
      </c>
    </row>
    <row r="8" spans="1:16" ht="29" x14ac:dyDescent="0.35">
      <c r="A8" s="16" t="s">
        <v>1609</v>
      </c>
      <c r="B8" s="18">
        <f>SUM(SalesData[Profit])/SUM(SalesData[Sales])</f>
        <v>0.38034105896318587</v>
      </c>
    </row>
    <row r="10" spans="1:16" x14ac:dyDescent="0.35">
      <c r="A10" s="20" t="s">
        <v>3</v>
      </c>
      <c r="B10" t="s">
        <v>1623</v>
      </c>
      <c r="F10" s="20" t="s">
        <v>7</v>
      </c>
      <c r="G10" t="s">
        <v>1623</v>
      </c>
      <c r="H10" t="s">
        <v>1624</v>
      </c>
    </row>
    <row r="11" spans="1:16" x14ac:dyDescent="0.35">
      <c r="A11" s="21" t="s">
        <v>17</v>
      </c>
      <c r="B11" s="22">
        <v>2304025</v>
      </c>
      <c r="F11" s="21" t="s">
        <v>47</v>
      </c>
      <c r="G11" s="22">
        <v>734360</v>
      </c>
      <c r="H11" s="22">
        <v>274455</v>
      </c>
    </row>
    <row r="12" spans="1:16" x14ac:dyDescent="0.35">
      <c r="A12" s="21" t="s">
        <v>43</v>
      </c>
      <c r="B12" s="22">
        <v>912997.5</v>
      </c>
      <c r="F12" s="21" t="s">
        <v>29</v>
      </c>
      <c r="G12" s="22">
        <v>677238</v>
      </c>
      <c r="H12" s="22">
        <v>265573</v>
      </c>
    </row>
    <row r="13" spans="1:16" x14ac:dyDescent="0.35">
      <c r="A13" s="21" t="s">
        <v>25</v>
      </c>
      <c r="B13" s="22">
        <v>870282.5</v>
      </c>
      <c r="F13" s="21" t="s">
        <v>33</v>
      </c>
      <c r="G13" s="22">
        <v>858821</v>
      </c>
      <c r="H13" s="22">
        <v>319301</v>
      </c>
    </row>
    <row r="14" spans="1:16" x14ac:dyDescent="0.35">
      <c r="A14" s="21" t="s">
        <v>54</v>
      </c>
      <c r="B14" s="22">
        <v>283083</v>
      </c>
      <c r="F14" s="21" t="s">
        <v>39</v>
      </c>
      <c r="G14" s="22">
        <v>705549.5</v>
      </c>
      <c r="H14" s="22">
        <v>269409.5</v>
      </c>
    </row>
    <row r="15" spans="1:16" x14ac:dyDescent="0.35">
      <c r="A15" s="21" t="s">
        <v>1622</v>
      </c>
      <c r="B15" s="22">
        <v>4370388</v>
      </c>
      <c r="F15" s="21" t="s">
        <v>21</v>
      </c>
      <c r="G15" s="22">
        <v>671750.5</v>
      </c>
      <c r="H15" s="22">
        <v>260480.5</v>
      </c>
    </row>
    <row r="16" spans="1:16" x14ac:dyDescent="0.35">
      <c r="F16" s="21" t="s">
        <v>125</v>
      </c>
      <c r="G16" s="22">
        <v>722669</v>
      </c>
      <c r="H16" s="22">
        <v>273019</v>
      </c>
    </row>
    <row r="17" spans="1:8" x14ac:dyDescent="0.35">
      <c r="A17" s="20" t="s">
        <v>5</v>
      </c>
      <c r="B17" t="s">
        <v>1623</v>
      </c>
      <c r="F17" s="21" t="s">
        <v>1622</v>
      </c>
      <c r="G17" s="22">
        <v>4370388</v>
      </c>
      <c r="H17" s="22">
        <v>1662238</v>
      </c>
    </row>
    <row r="18" spans="1:8" x14ac:dyDescent="0.35">
      <c r="A18" s="21" t="s">
        <v>45</v>
      </c>
      <c r="B18" s="22">
        <v>1239183</v>
      </c>
    </row>
    <row r="19" spans="1:8" x14ac:dyDescent="0.35">
      <c r="A19" s="21" t="s">
        <v>37</v>
      </c>
      <c r="B19" s="22">
        <v>1184217</v>
      </c>
      <c r="F19" s="20" t="s">
        <v>4</v>
      </c>
      <c r="G19" t="s">
        <v>1623</v>
      </c>
    </row>
    <row r="20" spans="1:8" x14ac:dyDescent="0.35">
      <c r="A20" s="21" t="s">
        <v>27</v>
      </c>
      <c r="B20" s="22">
        <v>1086164</v>
      </c>
      <c r="F20" s="21" t="s">
        <v>65</v>
      </c>
      <c r="G20" s="22">
        <v>717640</v>
      </c>
    </row>
    <row r="21" spans="1:8" x14ac:dyDescent="0.35">
      <c r="A21" s="21" t="s">
        <v>19</v>
      </c>
      <c r="B21" s="22">
        <v>860824</v>
      </c>
      <c r="F21" s="21" t="s">
        <v>18</v>
      </c>
      <c r="G21" s="22">
        <v>586170</v>
      </c>
    </row>
    <row r="22" spans="1:8" x14ac:dyDescent="0.35">
      <c r="A22" s="21" t="s">
        <v>1622</v>
      </c>
      <c r="B22" s="22">
        <v>4370388</v>
      </c>
      <c r="F22" s="21" t="s">
        <v>32</v>
      </c>
      <c r="G22" s="22">
        <v>490200</v>
      </c>
    </row>
    <row r="23" spans="1:8" x14ac:dyDescent="0.35">
      <c r="F23" s="21" t="s">
        <v>44</v>
      </c>
      <c r="G23" s="22">
        <v>382910</v>
      </c>
    </row>
    <row r="24" spans="1:8" x14ac:dyDescent="0.35">
      <c r="A24" s="20" t="s">
        <v>1621</v>
      </c>
      <c r="B24" t="s">
        <v>1623</v>
      </c>
      <c r="C24" t="s">
        <v>1624</v>
      </c>
      <c r="F24" s="21" t="s">
        <v>124</v>
      </c>
      <c r="G24" s="22">
        <v>346800</v>
      </c>
    </row>
    <row r="25" spans="1:8" x14ac:dyDescent="0.35">
      <c r="A25" s="21">
        <v>2025</v>
      </c>
      <c r="B25" s="22">
        <v>1594197</v>
      </c>
      <c r="C25" s="22">
        <v>603652</v>
      </c>
      <c r="F25" s="21" t="s">
        <v>36</v>
      </c>
      <c r="G25" s="22">
        <v>247800</v>
      </c>
    </row>
    <row r="26" spans="1:8" x14ac:dyDescent="0.35">
      <c r="A26" s="21">
        <v>2026</v>
      </c>
      <c r="B26" s="22">
        <v>2776191</v>
      </c>
      <c r="C26" s="22">
        <v>1058586</v>
      </c>
      <c r="F26" s="21" t="s">
        <v>250</v>
      </c>
      <c r="G26" s="22">
        <v>201195</v>
      </c>
    </row>
    <row r="27" spans="1:8" x14ac:dyDescent="0.35">
      <c r="A27" s="21" t="s">
        <v>1622</v>
      </c>
      <c r="B27" s="22">
        <v>4370388</v>
      </c>
      <c r="C27" s="22">
        <v>1662238</v>
      </c>
      <c r="F27" s="21" t="s">
        <v>80</v>
      </c>
      <c r="G27" s="22">
        <v>195795</v>
      </c>
    </row>
    <row r="28" spans="1:8" x14ac:dyDescent="0.35">
      <c r="F28" s="21" t="s">
        <v>89</v>
      </c>
      <c r="G28" s="22">
        <v>173497.5</v>
      </c>
    </row>
    <row r="29" spans="1:8" x14ac:dyDescent="0.35">
      <c r="F29" s="21" t="s">
        <v>50</v>
      </c>
      <c r="G29" s="22">
        <v>163215</v>
      </c>
    </row>
    <row r="30" spans="1:8" x14ac:dyDescent="0.35">
      <c r="F30" s="21" t="s">
        <v>1622</v>
      </c>
      <c r="G30" s="22">
        <v>3505222.5</v>
      </c>
    </row>
  </sheetData>
  <sheetProtection algorithmName="SHA-512" hashValue="sOAAV/8YLvwLDc8Ge7uoG1tNI/3ei9KkuSHqTSf1bQX+hw9+ntDfjUq9I6raEquAb6MwT3+h9muydMaoZhUPfg==" saltValue="v4No3uJHz9akrC5CiGUjHA==" spinCount="100000" sheet="1"/>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72"/>
  <sheetViews>
    <sheetView showGridLines="0" topLeftCell="A2" zoomScale="90" zoomScaleNormal="90" workbookViewId="0">
      <selection activeCell="J60" sqref="J60"/>
    </sheetView>
  </sheetViews>
  <sheetFormatPr defaultRowHeight="14.5" x14ac:dyDescent="0.35"/>
  <cols>
    <col min="2" max="2" width="25.81640625" bestFit="1" customWidth="1"/>
    <col min="3" max="3" width="1.81640625" customWidth="1"/>
    <col min="4" max="4" width="25.81640625" bestFit="1" customWidth="1"/>
    <col min="5" max="5" width="1.7265625" customWidth="1"/>
    <col min="6" max="6" width="26.36328125" customWidth="1"/>
    <col min="7" max="7" width="1.6328125" customWidth="1"/>
    <col min="8" max="8" width="25.7265625" customWidth="1"/>
    <col min="9" max="9" width="19.90625" customWidth="1"/>
    <col min="10" max="10" width="20.6328125" customWidth="1"/>
    <col min="11" max="11" width="20.453125" customWidth="1"/>
  </cols>
  <sheetData>
    <row r="2" spans="2:8" ht="30" x14ac:dyDescent="0.35">
      <c r="B2" s="52" t="s">
        <v>1625</v>
      </c>
      <c r="C2" s="52"/>
      <c r="D2" s="52"/>
      <c r="E2" s="52"/>
      <c r="F2" s="52"/>
      <c r="G2" s="52"/>
      <c r="H2" s="52"/>
    </row>
    <row r="3" spans="2:8" ht="15.5" x14ac:dyDescent="0.35">
      <c r="B3" s="53" t="s">
        <v>1626</v>
      </c>
      <c r="C3" s="53"/>
      <c r="D3" s="53"/>
      <c r="E3" s="53"/>
      <c r="F3" s="53"/>
      <c r="G3" s="53"/>
      <c r="H3" s="53"/>
    </row>
    <row r="5" spans="2:8" ht="15.5" x14ac:dyDescent="0.35">
      <c r="B5" s="54" t="s">
        <v>1627</v>
      </c>
      <c r="C5" s="24"/>
      <c r="D5" s="54" t="s">
        <v>1628</v>
      </c>
      <c r="E5" s="24"/>
      <c r="F5" s="54" t="s">
        <v>1629</v>
      </c>
      <c r="G5" s="24"/>
      <c r="H5" s="54" t="s">
        <v>1630</v>
      </c>
    </row>
    <row r="6" spans="2:8" s="23" customFormat="1" ht="26" x14ac:dyDescent="0.35">
      <c r="B6" s="51">
        <f>GETPIVOTDATA("Sum of Sales",'03_Calculations'!$N$2)</f>
        <v>4370388</v>
      </c>
      <c r="C6" s="25"/>
      <c r="D6" s="50">
        <f>GETPIVOTDATA("Sum of Profit",'03_Calculations'!$N$2)</f>
        <v>1662238</v>
      </c>
      <c r="E6" s="25"/>
      <c r="F6" s="26">
        <f>GETPIVOTDATA("Count of Order ID",'03_Calculations'!$N$2)</f>
        <v>1000</v>
      </c>
      <c r="G6" s="25"/>
      <c r="H6" s="27">
        <f>IFERROR(D6/B6,0)</f>
        <v>0.38034105896318587</v>
      </c>
    </row>
    <row r="7" spans="2:8" ht="6" customHeight="1" x14ac:dyDescent="0.35"/>
    <row r="45" spans="2:11" ht="32.5" customHeight="1" x14ac:dyDescent="0.35"/>
    <row r="46" spans="2:11" ht="21" x14ac:dyDescent="0.35">
      <c r="B46" s="55" t="s">
        <v>1632</v>
      </c>
      <c r="C46" s="55"/>
      <c r="D46" s="55"/>
      <c r="E46" s="55"/>
      <c r="F46" s="55"/>
      <c r="I46" s="56" t="s">
        <v>1637</v>
      </c>
      <c r="J46" s="56"/>
      <c r="K46" s="41"/>
    </row>
    <row r="47" spans="2:11" ht="18.5" x14ac:dyDescent="0.45">
      <c r="B47" s="29" t="s">
        <v>1633</v>
      </c>
      <c r="I47" s="35" t="s">
        <v>1638</v>
      </c>
      <c r="J47" s="36" t="s">
        <v>1614</v>
      </c>
    </row>
    <row r="48" spans="2:11" ht="15.5" customHeight="1" x14ac:dyDescent="0.35">
      <c r="I48" s="37" t="s">
        <v>1615</v>
      </c>
      <c r="J48" s="38">
        <v>4370388</v>
      </c>
    </row>
    <row r="49" spans="2:10" ht="15.5" x14ac:dyDescent="0.35">
      <c r="I49" s="37" t="s">
        <v>1617</v>
      </c>
      <c r="J49" s="38">
        <v>1662238</v>
      </c>
    </row>
    <row r="50" spans="2:10" ht="18.5" x14ac:dyDescent="0.45">
      <c r="B50" s="29" t="s">
        <v>1634</v>
      </c>
      <c r="I50" s="37" t="s">
        <v>1609</v>
      </c>
      <c r="J50" s="39">
        <v>0.38</v>
      </c>
    </row>
    <row r="51" spans="2:10" ht="15.5" x14ac:dyDescent="0.35">
      <c r="I51" s="37" t="s">
        <v>1618</v>
      </c>
      <c r="J51" s="40">
        <v>1000</v>
      </c>
    </row>
    <row r="53" spans="2:10" ht="18.5" x14ac:dyDescent="0.45">
      <c r="B53" s="29" t="s">
        <v>1635</v>
      </c>
    </row>
    <row r="56" spans="2:10" ht="18.5" x14ac:dyDescent="0.45">
      <c r="B56" s="29" t="s">
        <v>1636</v>
      </c>
    </row>
    <row r="66" spans="2:10" ht="21" x14ac:dyDescent="0.35">
      <c r="B66" s="42"/>
      <c r="C66" s="42"/>
      <c r="D66" s="42"/>
      <c r="E66" s="34"/>
      <c r="F66" s="34"/>
    </row>
    <row r="67" spans="2:10" ht="18.5" x14ac:dyDescent="0.35">
      <c r="B67" s="43"/>
      <c r="C67" s="44"/>
      <c r="D67" s="45"/>
      <c r="E67" s="28"/>
    </row>
    <row r="68" spans="2:10" ht="15.5" customHeight="1" x14ac:dyDescent="0.35">
      <c r="B68" s="46"/>
      <c r="C68" s="44"/>
      <c r="D68" s="47"/>
      <c r="E68" s="28"/>
      <c r="I68" s="30"/>
      <c r="J68" s="15"/>
    </row>
    <row r="69" spans="2:10" ht="15.5" customHeight="1" x14ac:dyDescent="0.35">
      <c r="B69" s="46"/>
      <c r="C69" s="44"/>
      <c r="D69" s="47"/>
      <c r="E69" s="28"/>
      <c r="I69" s="16"/>
      <c r="J69" s="31"/>
    </row>
    <row r="70" spans="2:10" ht="15.5" customHeight="1" x14ac:dyDescent="0.35">
      <c r="B70" s="46"/>
      <c r="C70" s="44"/>
      <c r="D70" s="48"/>
      <c r="E70" s="28"/>
      <c r="I70" s="16"/>
      <c r="J70" s="31"/>
    </row>
    <row r="71" spans="2:10" ht="15.5" customHeight="1" x14ac:dyDescent="0.35">
      <c r="B71" s="46"/>
      <c r="C71" s="44"/>
      <c r="D71" s="49"/>
      <c r="E71" s="28"/>
      <c r="I71" s="16"/>
      <c r="J71" s="32"/>
    </row>
    <row r="72" spans="2:10" x14ac:dyDescent="0.35">
      <c r="I72" s="16"/>
      <c r="J72" s="33"/>
    </row>
  </sheetData>
  <mergeCells count="6">
    <mergeCell ref="C67:C71"/>
    <mergeCell ref="B66:D66"/>
    <mergeCell ref="I46:J46"/>
    <mergeCell ref="B2:H2"/>
    <mergeCell ref="B3:H3"/>
    <mergeCell ref="B46:F4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showGridLines="0" tabSelected="1" topLeftCell="A21" workbookViewId="0">
      <selection activeCell="J14" sqref="J14"/>
    </sheetView>
  </sheetViews>
  <sheetFormatPr defaultRowHeight="14.5" x14ac:dyDescent="0.35"/>
  <cols>
    <col min="1" max="1" width="2.54296875" customWidth="1"/>
  </cols>
  <sheetData>
    <row r="1" spans="1:6" x14ac:dyDescent="0.35">
      <c r="A1" s="57"/>
      <c r="B1" s="57"/>
      <c r="C1" s="57"/>
      <c r="D1" s="57"/>
      <c r="E1" s="57"/>
    </row>
    <row r="2" spans="1:6" ht="18.5" x14ac:dyDescent="0.45">
      <c r="B2" s="29" t="s">
        <v>1605</v>
      </c>
    </row>
    <row r="3" spans="1:6" ht="15.5" x14ac:dyDescent="0.35">
      <c r="B3" s="58" t="s">
        <v>1606</v>
      </c>
      <c r="C3" s="58"/>
      <c r="D3" s="58"/>
      <c r="E3" s="58"/>
      <c r="F3" s="58"/>
    </row>
    <row r="5" spans="1:6" ht="18.5" x14ac:dyDescent="0.45">
      <c r="B5" s="29" t="s">
        <v>1639</v>
      </c>
    </row>
    <row r="6" spans="1:6" ht="15.5" x14ac:dyDescent="0.35">
      <c r="B6" s="28" t="s">
        <v>1640</v>
      </c>
    </row>
    <row r="8" spans="1:6" ht="18.5" x14ac:dyDescent="0.45">
      <c r="B8" s="29" t="s">
        <v>1641</v>
      </c>
    </row>
    <row r="9" spans="1:6" ht="15.5" x14ac:dyDescent="0.35">
      <c r="B9" s="28" t="s">
        <v>1642</v>
      </c>
    </row>
    <row r="10" spans="1:6" ht="15.5" x14ac:dyDescent="0.35">
      <c r="B10" s="28" t="s">
        <v>1643</v>
      </c>
    </row>
    <row r="11" spans="1:6" ht="15.5" x14ac:dyDescent="0.35">
      <c r="B11" s="28" t="s">
        <v>1644</v>
      </c>
    </row>
    <row r="12" spans="1:6" ht="15.5" x14ac:dyDescent="0.35">
      <c r="B12" s="28" t="s">
        <v>1645</v>
      </c>
    </row>
    <row r="13" spans="1:6" ht="15.5" x14ac:dyDescent="0.35">
      <c r="B13" s="28" t="s">
        <v>1646</v>
      </c>
    </row>
    <row r="14" spans="1:6" ht="15.5" x14ac:dyDescent="0.35">
      <c r="B14" s="28" t="s">
        <v>1647</v>
      </c>
    </row>
    <row r="15" spans="1:6" ht="15.5" x14ac:dyDescent="0.35">
      <c r="B15" s="28" t="s">
        <v>1648</v>
      </c>
    </row>
    <row r="17" spans="2:2" ht="18.5" x14ac:dyDescent="0.45">
      <c r="B17" s="29" t="s">
        <v>1649</v>
      </c>
    </row>
    <row r="18" spans="2:2" ht="15.5" x14ac:dyDescent="0.35">
      <c r="B18" s="28" t="s">
        <v>1650</v>
      </c>
    </row>
    <row r="20" spans="2:2" ht="18.5" x14ac:dyDescent="0.45">
      <c r="B20" s="29" t="s">
        <v>1651</v>
      </c>
    </row>
    <row r="21" spans="2:2" ht="15.5" x14ac:dyDescent="0.35">
      <c r="B21" s="28" t="s">
        <v>1652</v>
      </c>
    </row>
    <row r="22" spans="2:2" ht="15.5" x14ac:dyDescent="0.35">
      <c r="B22" s="28" t="s">
        <v>1653</v>
      </c>
    </row>
    <row r="23" spans="2:2" ht="15.5" x14ac:dyDescent="0.35">
      <c r="B23" s="28" t="s">
        <v>1654</v>
      </c>
    </row>
    <row r="24" spans="2:2" ht="15.5" x14ac:dyDescent="0.35">
      <c r="B24" s="28" t="s">
        <v>1655</v>
      </c>
    </row>
    <row r="25" spans="2:2" ht="15.5" x14ac:dyDescent="0.35">
      <c r="B25" s="28" t="s">
        <v>1656</v>
      </c>
    </row>
    <row r="26" spans="2:2" ht="15.5" x14ac:dyDescent="0.35">
      <c r="B26" s="28" t="s">
        <v>1657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01_Raw_Data</vt:lpstr>
      <vt:lpstr>02_Clean_Data</vt:lpstr>
      <vt:lpstr>03_Calculations</vt:lpstr>
      <vt:lpstr>04_Dashboard</vt:lpstr>
      <vt:lpstr>05_ReadMe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Shree</cp:lastModifiedBy>
  <dcterms:created xsi:type="dcterms:W3CDTF">2026-09-04T06:06:48Z</dcterms:created>
  <dcterms:modified xsi:type="dcterms:W3CDTF">2026-09-15T08:29:33Z</dcterms:modified>
</cp:coreProperties>
</file>